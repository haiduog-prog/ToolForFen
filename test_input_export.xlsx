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fig" state="hidden" r:id="rId4"/>
    <sheet sheetId="2" name="QEC review" state="visible" r:id="rId5"/>
    <sheet sheetId="3" name="SKU review" state="visible" r:id="rId6"/>
    <sheet sheetId="4" name="SKU - Customer review" state="visible" r:id="rId7"/>
    <sheet sheetId="5" name="SKU customer review" state="visible" r:id="rId8"/>
    <sheet sheetId="6" name="SKU review - Customer" state="visible" r:id="rId9"/>
    <sheet sheetId="7" name="SKU review customer" state="visible" r:id="rId10"/>
    <sheet sheetId="8" name="Data nguồn" state="visible" r:id="rId11"/>
  </sheets>
  <calcPr calcId="171027"/>
</workbook>
</file>

<file path=xl/sharedStrings.xml><?xml version="1.0" encoding="utf-8"?>
<sst xmlns="http://schemas.openxmlformats.org/spreadsheetml/2006/main" count="2433" uniqueCount="181">
  <si>
    <t>Customer List</t>
  </si>
  <si>
    <t>Product List</t>
  </si>
  <si>
    <t>: HỘ KINH DOANH NGUYỄN NGỌC TÚ 90 - Panda Shop</t>
  </si>
  <si>
    <t>BABY LACTOFERRIN</t>
  </si>
  <si>
    <t>Baby Store Tây Ninh</t>
  </si>
  <si>
    <t>Bùi Thị Hiền - VIA BABY</t>
  </si>
  <si>
    <t>CÔNG TY CỔ PHẦN SURI HOLDING</t>
  </si>
  <si>
    <t>Công ty Cổ phần Thương mại và Phân phối Hướng Dương</t>
  </si>
  <si>
    <t>CÔNG TY THHH THƯƠNG MAI DICH VU LAVICON VIETNAM</t>
  </si>
  <si>
    <t>CÔNG TY TNHH BÁCH KHANG NHI</t>
  </si>
  <si>
    <t>CÔNG TY TNHH BIBOUS - TGBS</t>
  </si>
  <si>
    <t>CÔNG TY TNHH CD DOMESTIC - CHỊ HA SAM</t>
  </si>
  <si>
    <t>CÔNG TY TNHH CÔNG NGHỆ VÀ THƯƠNG MẠI NGÂN GIANG - ĐẠI LÝ MỲ TÔM CỦ CẢI</t>
  </si>
  <si>
    <t>CÔNG TY TNHH ĐẦU TƯ VÀ PTTM MINH  HUY</t>
  </si>
  <si>
    <t>CÔNG TY TNHH JOY BÔNG - JOY BÔNG SHOP</t>
  </si>
  <si>
    <t>CÔNG TY TNHH MẸ VÀ BÉ CHI TIẾN -shop sơ sinh Bình Dương</t>
  </si>
  <si>
    <t>CÔNG TY TNHH MỘT THÀNH VIÊN TM XNK HỒNG SAN - SHOP HANG JAPAN HCM</t>
  </si>
  <si>
    <t>CÔNG TY TNHH MTV MẸ VÀ BÉ KITTY - Siêu Thị Mẹ Và Bé Kitty’s</t>
  </si>
  <si>
    <t>CÔNG TY TNHH MTV TRƯỜNG THỌ GROUP - Siêu Thị Sữa Trường Thọ - Bình Phước</t>
  </si>
  <si>
    <t>CÔNG TY TNHH NGÂN MINH KHÔI</t>
  </si>
  <si>
    <t>CÔNG TY TNHH NHUNG BABY LUXURY - CHIP CHIP NHA TRANG</t>
  </si>
  <si>
    <t>CÔNG TY TNHH PAPA'KIDS</t>
  </si>
  <si>
    <t>CÔNG TY TNHH PHÂN PHỐI DƯỢC PHẨM MC</t>
  </si>
  <si>
    <t>CÔNG TY TNHH THƯƠNG MẠI &amp; DỊCH VỤ CÔNG NGHỆ LCC - SUNNY STORE</t>
  </si>
  <si>
    <t>CÔNG TY TNHH THƯƠNG MẠI THANH KHOA HT</t>
  </si>
  <si>
    <t>CÔNG TY TNHH THƯƠNG MẠI TỔNG HỢP SHINSAM- SHOP C NHI LÊ</t>
  </si>
  <si>
    <t>CÔNG TY TNHH THƯƠNG MẠI VÀ DỊCH VỤ LAKA GLOBAL</t>
  </si>
  <si>
    <t>CÔNG TY TNHH THƯƠNG MẠI VÀ DỊCH VỤ THỊNH DUYÊN</t>
  </si>
  <si>
    <t>CÔNG TY TNHH THƯƠNG MẠI VÀ DV MINH CHÂU - SHOP Chi KIM HIEN NINH BINH</t>
  </si>
  <si>
    <t>CÔNG TY TNHH TM &amp; DV KHANG CHOU</t>
  </si>
  <si>
    <t>CÔNG TY TNHH TM VÀ DV ALIBABY</t>
  </si>
  <si>
    <t>CÔNG TY TNHH TMDV TTG - NPP sữa Thuyết Trang</t>
  </si>
  <si>
    <t>CÔNG TY TNHH TMDV VÀ SẢN XUẤT HƯNG HUỆ</t>
  </si>
  <si>
    <t>CÔNG TY TRÁCH NHIỆM HỮU HẠN HOÀNG VIỆT NATURAL</t>
  </si>
  <si>
    <t>CÔNG TYTNHH THƯƠNG MẠI DỊCH VỤ AN MINH CHÂU - SHOP LAVICON</t>
  </si>
  <si>
    <t>CT TNHH DV VÀ TM HƯNG MINH - BE BE STORE</t>
  </si>
  <si>
    <t>CTY TNHH DV &amp; TM V HOLDING - Vinaquick SALES</t>
  </si>
  <si>
    <t>ĐẶNG THỊ RỒI - CHỊ SALLY NGUYEN</t>
  </si>
  <si>
    <t>Đỗ Tiến Anh - Xoài Family</t>
  </si>
  <si>
    <t>HDK TẠ THÙY DƯƠNG - SHOP CÁO TRÒN- nhận hàng từ 8h đến 16h.</t>
  </si>
  <si>
    <t>HKD BÙI LÊ AN THƯ - CỬA HÀNG MẸ &amp; BÉ RIO KIDS</t>
  </si>
  <si>
    <t>HKD Cocakids - Hải Dương</t>
  </si>
  <si>
    <t>HKD CỦA HÀNG MẸ VÀ BÉ SUKIDS ĐỒNG NAI</t>
  </si>
  <si>
    <t>HKD ĐẶNG THỊ LAN ANH - SHOP ABABY</t>
  </si>
  <si>
    <t>HKD ĐỖ THỊ THẢO 1996 - Khang Baby</t>
  </si>
  <si>
    <t>HKD HELLO CON VŨ PHẠM HÀM HÀ NỘI</t>
  </si>
  <si>
    <t>HKD HIỀN HOA HẬU - MẸ ROFI</t>
  </si>
  <si>
    <t>HKD LA ĐỨC THÀNH - SHOP ABABY</t>
  </si>
  <si>
    <t>HKD LAMA BABY</t>
  </si>
  <si>
    <t>HKD Lê Thị Hồng Nhung 2</t>
  </si>
  <si>
    <t>HKD Mẹ và bé Easy Shop</t>
  </si>
  <si>
    <t>HKD Ngân Linh - Hoàng Thị Ngọc Ánh - Sukem shop</t>
  </si>
  <si>
    <t>HKD NGUYỄN THỊ LIỄU - CHỊ MINH</t>
  </si>
  <si>
    <t>HKD NGUYỄN THU TRÀ - TRA ANNA- STORE BABY &amp; FAMILY</t>
  </si>
  <si>
    <t>HKD NGUYỄN VĂN PHẢI - CH MẸ VÀ BÉ BS HÀ</t>
  </si>
  <si>
    <t>HKD NHÀ ĐẬU ĐẬU</t>
  </si>
  <si>
    <t>HKD SIÊU THỊ CHO MẸ VÀ BÉ - C THẢO BABYMALL&amp;CARE. HN</t>
  </si>
  <si>
    <t>HKD THOC GAO THẾ GIỚI MẸ BÉ - HƯNG YÊN</t>
  </si>
  <si>
    <t>HKD TRẦN THANH TÙNG - MẸ ROFI</t>
  </si>
  <si>
    <t>Hộ kinh doah Bùi Thị Thùy Linh- Linh Yumi Store</t>
  </si>
  <si>
    <t>HỘ KINH DOANH BABYKID - Thế giới bỉm sữa Mẹ và Bé</t>
  </si>
  <si>
    <t>HỘ KINH DOANH BÙI THỊ HUỆ (BABY SHOP) - SHOP Huệ Bùi Baby &amp; Mom - Đồ Sơn</t>
  </si>
  <si>
    <t>HỘ KINH DOANH CHIP CHIP LUXURY NHA TRANG - Chip Chip Nha Trang</t>
  </si>
  <si>
    <t>HỘ KINH DOANH ĐINH THỊ HUYẾN - SHOP NABABY</t>
  </si>
  <si>
    <t>HỘ KINH DOANH HUỲNH KHÁNH NGỌC 95- XOÀI BABY</t>
  </si>
  <si>
    <t>HỘ KINH DOANH LOULOU - LouLou Dream</t>
  </si>
  <si>
    <t>HỘ KINH DOANH LOULOU DREAM HANOI</t>
  </si>
  <si>
    <t>HỘ KINH DOANH MẸ VÀ BÉ BORA STORE</t>
  </si>
  <si>
    <t>HỘ KINH DOANH MẸ VÀ BÉ NAM TRANG - Cherie Baby</t>
  </si>
  <si>
    <t>HỘ KINH DOANH MONCHI</t>
  </si>
  <si>
    <t>Hộ Kinh Doanh Nguyễn Quỳnh Trang</t>
  </si>
  <si>
    <t>Hộ Kinh Doanh Nhà Thuốc Hiếu Anh</t>
  </si>
  <si>
    <t>HỘ KINH DOANH NHÀ THUỐC PHÚC HƯNG - HI MOM 89</t>
  </si>
  <si>
    <t>HỘ KINH DOANH SHOP MẸ &amp; BÉ CHIP KEM BABY</t>
  </si>
  <si>
    <t>HỘ KINH DOANH SHOP MẸ BẦU VÀ EM BÉ - MUMBABY TỪ DŨ</t>
  </si>
  <si>
    <t>HỘ KINH DOANH SHOP PADDY BABY - NOIDIAHAN</t>
  </si>
  <si>
    <t>HỘ KINH DOANH THE CARING CUBE CHĂM SÓC TOÀN DIỆN</t>
  </si>
  <si>
    <t>HỘ KINH DOANH TRẦN QUỐC HOÀNG - LuckyBaby Shop- gửi tem nhãn phụ theo bịch</t>
  </si>
  <si>
    <t>HỘ KINH DOANH VOI BABY - THẾ GIỚI MẸ VÀ BÉ</t>
  </si>
  <si>
    <t>Hộ kinh doanh Xoài Baby - XOAI BABY</t>
  </si>
  <si>
    <t>KHÁCH GHTK 2026</t>
  </si>
  <si>
    <t>KIEM DINH</t>
  </si>
  <si>
    <t>Lê Ngọc Vân - BW STORE</t>
  </si>
  <si>
    <t>NANA BABY - ST MẸ BÉ QUY NHƠN (hàng quấn kiện)</t>
  </si>
  <si>
    <t>NGUYỄN BÍCH NGỌC - CÔ CÁ SHOP</t>
  </si>
  <si>
    <t>NGUYỄN HUY HOÀN - SHOP BUBU</t>
  </si>
  <si>
    <t>NGUYỄN THỊ ÁNH HỒNG - MAAL BABY &amp; MOM- Quấn Kiện</t>
  </si>
  <si>
    <t>Nguyễn Thị Nhàn  (Lavicon)</t>
  </si>
  <si>
    <t>NGUYỄN VIẾT THẾ - SHOP HANG JAPAN HN</t>
  </si>
  <si>
    <t>NHÂN VIÊN</t>
  </si>
  <si>
    <t>Phạm Thanh Huyền -Camie Baby vinsmart</t>
  </si>
  <si>
    <t>PITI HUẾ</t>
  </si>
  <si>
    <t>QUA TANG KOL/KOC</t>
  </si>
  <si>
    <t>SHOP ALIBABY</t>
  </si>
  <si>
    <t>SHOP BÉ BO - NGUYỄN THỊ THÙY DUNG</t>
  </si>
  <si>
    <t>SHOP CHÂU CHÂU</t>
  </si>
  <si>
    <t>SHOP GÀ MÁI MƠ</t>
  </si>
  <si>
    <t>SHOP HÂN QUY NHƠN</t>
  </si>
  <si>
    <t>SHOP LVBABY</t>
  </si>
  <si>
    <t>Shop Mẹ Thì Là</t>
  </si>
  <si>
    <t>SHOP MONNIE KIDS</t>
  </si>
  <si>
    <t>SHOP NGUYỄN YẾN LINH</t>
  </si>
  <si>
    <t>SHOP NHA CUA GAO</t>
  </si>
  <si>
    <t>Shop Sữa Bỉm Tốt</t>
  </si>
  <si>
    <t>The Kid's Collection</t>
  </si>
  <si>
    <t>Trương Thị Minh Châu - Mẹ và bé thiên kim</t>
  </si>
  <si>
    <t>VŨ HẢI ANH - Anh Chan Mart</t>
  </si>
  <si>
    <t>Segment</t>
  </si>
  <si>
    <t>2025 -01</t>
  </si>
  <si>
    <t>2025 -02</t>
  </si>
  <si>
    <t>2025 -03</t>
  </si>
  <si>
    <t>2025 -04</t>
  </si>
  <si>
    <t>2025 -05</t>
  </si>
  <si>
    <t>2025 -06</t>
  </si>
  <si>
    <t>2025 -07</t>
  </si>
  <si>
    <t>2025 -08</t>
  </si>
  <si>
    <t>2025 -09</t>
  </si>
  <si>
    <t>2025 -10</t>
  </si>
  <si>
    <t>2025 -11</t>
  </si>
  <si>
    <t>2025 -12</t>
  </si>
  <si>
    <t>2026 -01</t>
  </si>
  <si>
    <t>2026 -02</t>
  </si>
  <si>
    <t>2026 -03</t>
  </si>
  <si>
    <t>2026 -04</t>
  </si>
  <si>
    <t>2026 -05</t>
  </si>
  <si>
    <t>P3M</t>
  </si>
  <si>
    <t>P6M</t>
  </si>
  <si>
    <t>P9M</t>
  </si>
  <si>
    <t>TREND</t>
  </si>
  <si>
    <t>IFYTD</t>
  </si>
  <si>
    <t>ICYTD</t>
  </si>
  <si>
    <t>IYA</t>
  </si>
  <si>
    <t>B&amp;M</t>
  </si>
  <si>
    <t>WS</t>
  </si>
  <si>
    <t>Ecom</t>
  </si>
  <si>
    <t>ETC</t>
  </si>
  <si>
    <t>IDP</t>
  </si>
  <si>
    <t>KEY</t>
  </si>
  <si>
    <t>OTC</t>
  </si>
  <si>
    <t>MT</t>
  </si>
  <si>
    <t>AK</t>
  </si>
  <si>
    <t>Unmapped</t>
  </si>
  <si>
    <t>Total</t>
  </si>
  <si>
    <t>REGION</t>
  </si>
  <si>
    <t>1. HA NOI</t>
  </si>
  <si>
    <t>2. N-PROVINCE</t>
  </si>
  <si>
    <t>3. CENTRAL</t>
  </si>
  <si>
    <t>4. S-EAST</t>
  </si>
  <si>
    <t>5. HCM</t>
  </si>
  <si>
    <t>6. MKD</t>
  </si>
  <si>
    <t>Mã DSR</t>
  </si>
  <si>
    <t>TOTAL STAFF</t>
  </si>
  <si>
    <t>DSR</t>
  </si>
  <si>
    <t>NV1</t>
  </si>
  <si>
    <t>SM</t>
  </si>
  <si>
    <t>TRUONG MINH CANH</t>
  </si>
  <si>
    <t>Customer code</t>
  </si>
  <si>
    <t>CUSTOMER_CHANGE</t>
  </si>
  <si>
    <t>Tên DSR</t>
  </si>
  <si>
    <t>CITY/PROVINCE</t>
  </si>
  <si>
    <t>TOTAL</t>
  </si>
  <si>
    <t>Forecast 1H CY2023</t>
  </si>
  <si>
    <t>Code</t>
  </si>
  <si>
    <t>BRAND_OF_PRODUCT (PCS)</t>
  </si>
  <si>
    <t>Grand Total</t>
  </si>
  <si>
    <t>BRAND_OF_PRODUCT (VND)</t>
  </si>
  <si>
    <t>CY 2024</t>
  </si>
  <si>
    <t>CY 2025</t>
  </si>
  <si>
    <t>Customer</t>
  </si>
  <si>
    <t>Name SKU</t>
  </si>
  <si>
    <t>Product</t>
  </si>
  <si>
    <t>CUSTOMER</t>
  </si>
  <si>
    <t>Row</t>
  </si>
  <si>
    <t>Ngày</t>
  </si>
  <si>
    <t>Tháng</t>
  </si>
  <si>
    <t>Nhà Thuốc</t>
  </si>
  <si>
    <t>Tên sản phẩm</t>
  </si>
  <si>
    <t>Đơn giá</t>
  </si>
  <si>
    <t>Số lượng (lọ)</t>
  </si>
  <si>
    <t>Thành tiền</t>
  </si>
  <si>
    <t>DOANH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</si>
</sst>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[Red]-#,##0;&quot;-&quot;"/>
    <numFmt numFmtId="165" formatCode="0.00%;[Red]-0.00%;&quot;-&quot;"/>
    <numFmt numFmtId="166" formatCode="#,##0.00;[Red]-#,##0.00;&quot;-&quot;"/>
    <numFmt numFmtId="167" formatCode="dd/mm/yyyy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183B56"/>
    </font>
  </fonts>
  <fills count="4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0" fillId="0" borderId="1" xfId="0" applyNumberFormat="1" applyBorder="1"/>
    <xf numFmtId="166" fontId="2" fillId="3" borderId="1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7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6" fontId="1" fillId="2" borderId="1" xfId="0" applyNumberFormat="1" applyFont="1" applyFill="1" applyBorder="1" applyAlignment="1">
      <alignment horizontal="center" vertical="center" wrapText="1"/>
    </xf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5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1" x14ac:dyDescent="0.25">
      <c r="A3" t="s">
        <v>4</v>
      </c>
    </row>
    <row r="4" spans="1:1" x14ac:dyDescent="0.25">
      <c r="A4" t="s">
        <v>5</v>
      </c>
    </row>
    <row r="5" spans="1:1" x14ac:dyDescent="0.25">
      <c r="A5" t="s">
        <v>6</v>
      </c>
    </row>
    <row r="6" spans="1:1" x14ac:dyDescent="0.25">
      <c r="A6" t="s">
        <v>7</v>
      </c>
    </row>
    <row r="7" spans="1:1" x14ac:dyDescent="0.25">
      <c r="A7" t="s">
        <v>8</v>
      </c>
    </row>
    <row r="8" spans="1:1" x14ac:dyDescent="0.25">
      <c r="A8" t="s">
        <v>9</v>
      </c>
    </row>
    <row r="9" spans="1:1" x14ac:dyDescent="0.25">
      <c r="A9" t="s">
        <v>10</v>
      </c>
    </row>
    <row r="10" spans="1:1" x14ac:dyDescent="0.25">
      <c r="A10" t="s">
        <v>11</v>
      </c>
    </row>
    <row r="11" spans="1:1" x14ac:dyDescent="0.25">
      <c r="A11" t="s">
        <v>12</v>
      </c>
    </row>
    <row r="12" spans="1:1" x14ac:dyDescent="0.25">
      <c r="A12" t="s">
        <v>13</v>
      </c>
    </row>
    <row r="13" spans="1:1" x14ac:dyDescent="0.25">
      <c r="A13" t="s">
        <v>14</v>
      </c>
    </row>
    <row r="14" spans="1:1" x14ac:dyDescent="0.25">
      <c r="A14" t="s">
        <v>15</v>
      </c>
    </row>
    <row r="15" spans="1:1" x14ac:dyDescent="0.25">
      <c r="A15" t="s">
        <v>16</v>
      </c>
    </row>
    <row r="16" spans="1:1" x14ac:dyDescent="0.25">
      <c r="A16" t="s">
        <v>17</v>
      </c>
    </row>
    <row r="17" spans="1:1" x14ac:dyDescent="0.25">
      <c r="A17" t="s">
        <v>18</v>
      </c>
    </row>
    <row r="18" spans="1:1" x14ac:dyDescent="0.25">
      <c r="A18" t="s">
        <v>19</v>
      </c>
    </row>
    <row r="19" spans="1:1" x14ac:dyDescent="0.25">
      <c r="A19" t="s">
        <v>20</v>
      </c>
    </row>
    <row r="20" spans="1:1" x14ac:dyDescent="0.25">
      <c r="A20" t="s">
        <v>21</v>
      </c>
    </row>
    <row r="21" spans="1:1" x14ac:dyDescent="0.25">
      <c r="A21" t="s">
        <v>22</v>
      </c>
    </row>
    <row r="22" spans="1:1" x14ac:dyDescent="0.25">
      <c r="A22" t="s">
        <v>23</v>
      </c>
    </row>
    <row r="23" spans="1:1" x14ac:dyDescent="0.25">
      <c r="A23" t="s">
        <v>24</v>
      </c>
    </row>
    <row r="24" spans="1:1" x14ac:dyDescent="0.25">
      <c r="A24" t="s">
        <v>25</v>
      </c>
    </row>
    <row r="25" spans="1:1" x14ac:dyDescent="0.25">
      <c r="A25" t="s">
        <v>26</v>
      </c>
    </row>
    <row r="26" spans="1:1" x14ac:dyDescent="0.25">
      <c r="A26" t="s">
        <v>27</v>
      </c>
    </row>
    <row r="27" spans="1:1" x14ac:dyDescent="0.25">
      <c r="A27" t="s">
        <v>28</v>
      </c>
    </row>
    <row r="28" spans="1:1" x14ac:dyDescent="0.25">
      <c r="A28" t="s">
        <v>29</v>
      </c>
    </row>
    <row r="29" spans="1:1" x14ac:dyDescent="0.25">
      <c r="A29" t="s">
        <v>30</v>
      </c>
    </row>
    <row r="30" spans="1:1" x14ac:dyDescent="0.25">
      <c r="A30" t="s">
        <v>31</v>
      </c>
    </row>
    <row r="31" spans="1:1" x14ac:dyDescent="0.25">
      <c r="A31" t="s">
        <v>32</v>
      </c>
    </row>
    <row r="32" spans="1:1" x14ac:dyDescent="0.25">
      <c r="A32" t="s">
        <v>33</v>
      </c>
    </row>
    <row r="33" spans="1:1" x14ac:dyDescent="0.25">
      <c r="A33" t="s">
        <v>34</v>
      </c>
    </row>
    <row r="34" spans="1:1" x14ac:dyDescent="0.25">
      <c r="A34" t="s">
        <v>35</v>
      </c>
    </row>
    <row r="35" spans="1:1" x14ac:dyDescent="0.25">
      <c r="A35" t="s">
        <v>36</v>
      </c>
    </row>
    <row r="36" spans="1:1" x14ac:dyDescent="0.25">
      <c r="A36" t="s">
        <v>37</v>
      </c>
    </row>
    <row r="37" spans="1:1" x14ac:dyDescent="0.25">
      <c r="A37" t="s">
        <v>38</v>
      </c>
    </row>
    <row r="38" spans="1:1" x14ac:dyDescent="0.25">
      <c r="A38" t="s">
        <v>39</v>
      </c>
    </row>
    <row r="39" spans="1:1" x14ac:dyDescent="0.25">
      <c r="A39" t="s">
        <v>40</v>
      </c>
    </row>
    <row r="40" spans="1:1" x14ac:dyDescent="0.25">
      <c r="A40" t="s">
        <v>41</v>
      </c>
    </row>
    <row r="41" spans="1:1" x14ac:dyDescent="0.25">
      <c r="A41" t="s">
        <v>42</v>
      </c>
    </row>
    <row r="42" spans="1:1" x14ac:dyDescent="0.25">
      <c r="A42" t="s">
        <v>43</v>
      </c>
    </row>
    <row r="43" spans="1:1" x14ac:dyDescent="0.25">
      <c r="A43" t="s">
        <v>44</v>
      </c>
    </row>
    <row r="44" spans="1:1" x14ac:dyDescent="0.25">
      <c r="A44" t="s">
        <v>45</v>
      </c>
    </row>
    <row r="45" spans="1:1" x14ac:dyDescent="0.25">
      <c r="A45" t="s">
        <v>46</v>
      </c>
    </row>
    <row r="46" spans="1:1" x14ac:dyDescent="0.25">
      <c r="A46" t="s">
        <v>47</v>
      </c>
    </row>
    <row r="47" spans="1:1" x14ac:dyDescent="0.25">
      <c r="A47" t="s">
        <v>48</v>
      </c>
    </row>
    <row r="48" spans="1:1" x14ac:dyDescent="0.25">
      <c r="A48" t="s">
        <v>49</v>
      </c>
    </row>
    <row r="49" spans="1:1" x14ac:dyDescent="0.25">
      <c r="A49" t="s">
        <v>50</v>
      </c>
    </row>
    <row r="50" spans="1:1" x14ac:dyDescent="0.25">
      <c r="A50" t="s">
        <v>51</v>
      </c>
    </row>
    <row r="51" spans="1:1" x14ac:dyDescent="0.25">
      <c r="A51" t="s">
        <v>52</v>
      </c>
    </row>
    <row r="52" spans="1:1" x14ac:dyDescent="0.25">
      <c r="A52" t="s">
        <v>53</v>
      </c>
    </row>
    <row r="53" spans="1:1" x14ac:dyDescent="0.25">
      <c r="A53" t="s">
        <v>54</v>
      </c>
    </row>
    <row r="54" spans="1:1" x14ac:dyDescent="0.25">
      <c r="A54" t="s">
        <v>55</v>
      </c>
    </row>
    <row r="55" spans="1:1" x14ac:dyDescent="0.25">
      <c r="A55" t="s">
        <v>56</v>
      </c>
    </row>
    <row r="56" spans="1:1" x14ac:dyDescent="0.25">
      <c r="A56" t="s">
        <v>57</v>
      </c>
    </row>
    <row r="57" spans="1:1" x14ac:dyDescent="0.25">
      <c r="A57" t="s">
        <v>58</v>
      </c>
    </row>
    <row r="58" spans="1:1" x14ac:dyDescent="0.25">
      <c r="A58" t="s">
        <v>59</v>
      </c>
    </row>
    <row r="59" spans="1:1" x14ac:dyDescent="0.25">
      <c r="A59" t="s">
        <v>60</v>
      </c>
    </row>
    <row r="60" spans="1:1" x14ac:dyDescent="0.25">
      <c r="A60" t="s">
        <v>61</v>
      </c>
    </row>
    <row r="61" spans="1:1" x14ac:dyDescent="0.25">
      <c r="A61" t="s">
        <v>62</v>
      </c>
    </row>
    <row r="62" spans="1:1" x14ac:dyDescent="0.25">
      <c r="A62" t="s">
        <v>63</v>
      </c>
    </row>
    <row r="63" spans="1:1" x14ac:dyDescent="0.25">
      <c r="A63" t="s">
        <v>64</v>
      </c>
    </row>
    <row r="64" spans="1:1" x14ac:dyDescent="0.25">
      <c r="A64" t="s">
        <v>65</v>
      </c>
    </row>
    <row r="65" spans="1:1" x14ac:dyDescent="0.25">
      <c r="A65" t="s">
        <v>66</v>
      </c>
    </row>
    <row r="66" spans="1:1" x14ac:dyDescent="0.25">
      <c r="A66" t="s">
        <v>67</v>
      </c>
    </row>
    <row r="67" spans="1:1" x14ac:dyDescent="0.25">
      <c r="A67" t="s">
        <v>68</v>
      </c>
    </row>
    <row r="68" spans="1:1" x14ac:dyDescent="0.25">
      <c r="A68" t="s">
        <v>69</v>
      </c>
    </row>
    <row r="69" spans="1:1" x14ac:dyDescent="0.25">
      <c r="A69" t="s">
        <v>70</v>
      </c>
    </row>
    <row r="70" spans="1:1" x14ac:dyDescent="0.25">
      <c r="A70" t="s">
        <v>71</v>
      </c>
    </row>
    <row r="71" spans="1:1" x14ac:dyDescent="0.25">
      <c r="A71" t="s">
        <v>72</v>
      </c>
    </row>
    <row r="72" spans="1:1" x14ac:dyDescent="0.25">
      <c r="A72" t="s">
        <v>73</v>
      </c>
    </row>
    <row r="73" spans="1:1" x14ac:dyDescent="0.25">
      <c r="A73" t="s">
        <v>74</v>
      </c>
    </row>
    <row r="74" spans="1:1" x14ac:dyDescent="0.25">
      <c r="A74" t="s">
        <v>75</v>
      </c>
    </row>
    <row r="75" spans="1:1" x14ac:dyDescent="0.25">
      <c r="A75" t="s">
        <v>76</v>
      </c>
    </row>
    <row r="76" spans="1:1" x14ac:dyDescent="0.25">
      <c r="A76" t="s">
        <v>77</v>
      </c>
    </row>
    <row r="77" spans="1:1" x14ac:dyDescent="0.25">
      <c r="A77" t="s">
        <v>78</v>
      </c>
    </row>
    <row r="78" spans="1:1" x14ac:dyDescent="0.25">
      <c r="A78" t="s">
        <v>79</v>
      </c>
    </row>
    <row r="79" spans="1:1" x14ac:dyDescent="0.25">
      <c r="A79" t="s">
        <v>80</v>
      </c>
    </row>
    <row r="80" spans="1:1" x14ac:dyDescent="0.25">
      <c r="A80" t="s">
        <v>81</v>
      </c>
    </row>
    <row r="81" spans="1:1" x14ac:dyDescent="0.25">
      <c r="A81" t="s">
        <v>82</v>
      </c>
    </row>
    <row r="82" spans="1:1" x14ac:dyDescent="0.25">
      <c r="A82" t="s">
        <v>83</v>
      </c>
    </row>
    <row r="83" spans="1:1" x14ac:dyDescent="0.25">
      <c r="A83" t="s">
        <v>84</v>
      </c>
    </row>
    <row r="84" spans="1:1" x14ac:dyDescent="0.25">
      <c r="A84" t="s">
        <v>85</v>
      </c>
    </row>
    <row r="85" spans="1:1" x14ac:dyDescent="0.25">
      <c r="A85" t="s">
        <v>86</v>
      </c>
    </row>
    <row r="86" spans="1:1" x14ac:dyDescent="0.25">
      <c r="A86" t="s">
        <v>87</v>
      </c>
    </row>
    <row r="87" spans="1:1" x14ac:dyDescent="0.25">
      <c r="A87" t="s">
        <v>88</v>
      </c>
    </row>
    <row r="88" spans="1:1" x14ac:dyDescent="0.25">
      <c r="A88" t="s">
        <v>89</v>
      </c>
    </row>
    <row r="89" spans="1:1" x14ac:dyDescent="0.25">
      <c r="A89" t="s">
        <v>90</v>
      </c>
    </row>
    <row r="90" spans="1:1" x14ac:dyDescent="0.25">
      <c r="A90" t="s">
        <v>91</v>
      </c>
    </row>
    <row r="91" spans="1:1" x14ac:dyDescent="0.25">
      <c r="A91" t="s">
        <v>92</v>
      </c>
    </row>
    <row r="92" spans="1:1" x14ac:dyDescent="0.25">
      <c r="A92" t="s">
        <v>93</v>
      </c>
    </row>
    <row r="93" spans="1:1" x14ac:dyDescent="0.25">
      <c r="A93" t="s">
        <v>94</v>
      </c>
    </row>
    <row r="94" spans="1:1" x14ac:dyDescent="0.25">
      <c r="A94" t="s">
        <v>95</v>
      </c>
    </row>
    <row r="95" spans="1:1" x14ac:dyDescent="0.25">
      <c r="A95" t="s">
        <v>96</v>
      </c>
    </row>
    <row r="96" spans="1:1" x14ac:dyDescent="0.25">
      <c r="A96" t="s">
        <v>97</v>
      </c>
    </row>
    <row r="97" spans="1:1" x14ac:dyDescent="0.25">
      <c r="A97" t="s">
        <v>98</v>
      </c>
    </row>
    <row r="98" spans="1:1" x14ac:dyDescent="0.25">
      <c r="A98" t="s">
        <v>99</v>
      </c>
    </row>
    <row r="99" spans="1:1" x14ac:dyDescent="0.25">
      <c r="A99" t="s">
        <v>100</v>
      </c>
    </row>
    <row r="100" spans="1:1" x14ac:dyDescent="0.25">
      <c r="A100" t="s">
        <v>101</v>
      </c>
    </row>
    <row r="101" spans="1:1" x14ac:dyDescent="0.25">
      <c r="A101" t="s">
        <v>102</v>
      </c>
    </row>
    <row r="102" spans="1:1" x14ac:dyDescent="0.25">
      <c r="A102" t="s">
        <v>103</v>
      </c>
    </row>
    <row r="103" spans="1:1" x14ac:dyDescent="0.25">
      <c r="A103" t="s">
        <v>104</v>
      </c>
    </row>
    <row r="104" spans="1:1" x14ac:dyDescent="0.25">
      <c r="A104" t="s">
        <v>105</v>
      </c>
    </row>
    <row r="105" spans="1:1" x14ac:dyDescent="0.25">
      <c r="A105" t="s">
        <v>106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30"/>
  <sheetViews>
    <sheetView workbookViewId="0">
      <pane xSplit="6" ySplit="1" topLeftCell="G2" activePane="bottomRight" state="frozen"/>
      <selection pane="bottomRight"/>
    </sheetView>
  </sheetViews>
  <sheetFormatPr defaultRowHeight="15" outlineLevelRow="0" outlineLevelCol="0" x14ac:dyDescent="55"/>
  <cols>
    <col min="1" max="1" width="12.57" customWidth="1"/>
    <col min="2" max="2" width="73.43" customWidth="1"/>
    <col min="3" max="3" width="13.43" customWidth="1"/>
    <col min="4" max="4" width="24.57" customWidth="1"/>
    <col min="5" max="5" width="26.57" customWidth="1"/>
    <col min="6" max="6" width="21.57" customWidth="1"/>
    <col min="7" max="23" width="14.43" customWidth="1"/>
    <col min="24" max="25" width="21" customWidth="1"/>
    <col min="26" max="27" width="15.43" customWidth="1"/>
    <col min="28" max="30" width="14.43" customWidth="1"/>
    <col min="31" max="31" width="10.14" customWidth="1"/>
    <col min="32" max="32" width="9.43" customWidth="1"/>
    <col min="33" max="33" width="9.57" customWidth="1"/>
    <col min="34" max="34" width="6.57" customWidth="1"/>
  </cols>
  <sheetData>
    <row r="1" ht="24" customHeight="1" spans="6:34" x14ac:dyDescent="0.25"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1" t="s">
        <v>124</v>
      </c>
      <c r="X1" s="1">
        <v>2025</v>
      </c>
      <c r="Y1" s="1">
        <v>2026</v>
      </c>
      <c r="Z1" s="1">
        <v>2025</v>
      </c>
      <c r="AA1" s="1">
        <v>2026</v>
      </c>
      <c r="AB1" s="1" t="s">
        <v>125</v>
      </c>
      <c r="AC1" s="1" t="s">
        <v>126</v>
      </c>
      <c r="AD1" s="1" t="s">
        <v>127</v>
      </c>
      <c r="AE1" s="1" t="s">
        <v>128</v>
      </c>
      <c r="AF1" s="1" t="s">
        <v>129</v>
      </c>
      <c r="AG1" s="1" t="s">
        <v>130</v>
      </c>
      <c r="AH1" s="1" t="s">
        <v>131</v>
      </c>
    </row>
    <row r="2" spans="6:34" x14ac:dyDescent="0.25">
      <c r="F2" s="2" t="s">
        <v>132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4">
        <v>0</v>
      </c>
      <c r="Y2" s="4">
        <v>0</v>
      </c>
      <c r="Z2" s="3">
        <f>SUM(G2:R2)</f>
      </c>
      <c r="AA2" s="3">
        <f>SUM(S2:W2)</f>
      </c>
      <c r="AB2" s="3">
        <f>AVERAGE(U2:W2)</f>
      </c>
      <c r="AC2" s="3">
        <f>AVERAGE(R2:W2)</f>
      </c>
      <c r="AD2" s="3">
        <f>AVERAGE(O2:W2)</f>
      </c>
      <c r="AE2" s="4">
        <f>IFERROR((AB2*2)/(AC2+AD2), 0)</f>
      </c>
      <c r="AF2" s="4">
        <f>IFERROR(AA2/SUM(G2:K2), 0)</f>
      </c>
      <c r="AG2" s="4">
        <f>IFERROR(AA2/SUM(G2:K2), 0)</f>
      </c>
      <c r="AH2" s="4">
        <f>IFERROR(W2/K2, 0)</f>
      </c>
    </row>
    <row r="3" spans="6:34" x14ac:dyDescent="0.25">
      <c r="F3" s="2" t="s">
        <v>133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4">
        <v>0</v>
      </c>
      <c r="Y3" s="4">
        <v>0</v>
      </c>
      <c r="Z3" s="3">
        <f>SUM(G3:R3)</f>
      </c>
      <c r="AA3" s="3">
        <f>SUM(S3:W3)</f>
      </c>
      <c r="AB3" s="3">
        <f>AVERAGE(U3:W3)</f>
      </c>
      <c r="AC3" s="3">
        <f>AVERAGE(R3:W3)</f>
      </c>
      <c r="AD3" s="3">
        <f>AVERAGE(O3:W3)</f>
      </c>
      <c r="AE3" s="4">
        <f>IFERROR((AB3*2)/(AC3+AD3), 0)</f>
      </c>
      <c r="AF3" s="4">
        <f>IFERROR(AA3/SUM(G3:K3), 0)</f>
      </c>
      <c r="AG3" s="4">
        <f>IFERROR(AA3/SUM(G3:K3), 0)</f>
      </c>
      <c r="AH3" s="4">
        <f>IFERROR(W3/K3, 0)</f>
      </c>
    </row>
    <row r="4" spans="6:34" x14ac:dyDescent="0.25">
      <c r="F4" s="2" t="s">
        <v>134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4">
        <v>0</v>
      </c>
      <c r="Y4" s="4">
        <v>0</v>
      </c>
      <c r="Z4" s="3">
        <f>SUM(G4:R4)</f>
      </c>
      <c r="AA4" s="3">
        <f>SUM(S4:W4)</f>
      </c>
      <c r="AB4" s="3">
        <f>AVERAGE(U4:W4)</f>
      </c>
      <c r="AC4" s="3">
        <f>AVERAGE(R4:W4)</f>
      </c>
      <c r="AD4" s="3">
        <f>AVERAGE(O4:W4)</f>
      </c>
      <c r="AE4" s="4">
        <f>IFERROR((AB4*2)/(AC4+AD4), 0)</f>
      </c>
      <c r="AF4" s="4">
        <f>IFERROR(AA4/SUM(G4:K4), 0)</f>
      </c>
      <c r="AG4" s="4">
        <f>IFERROR(AA4/SUM(G4:K4), 0)</f>
      </c>
      <c r="AH4" s="4">
        <f>IFERROR(W4/K4, 0)</f>
      </c>
    </row>
    <row r="5" spans="6:34" x14ac:dyDescent="0.25">
      <c r="F5" s="2" t="s">
        <v>135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4">
        <v>0</v>
      </c>
      <c r="Y5" s="4">
        <v>0</v>
      </c>
      <c r="Z5" s="3">
        <f>SUM(G5:R5)</f>
      </c>
      <c r="AA5" s="3">
        <f>SUM(S5:W5)</f>
      </c>
      <c r="AB5" s="3">
        <f>AVERAGE(U5:W5)</f>
      </c>
      <c r="AC5" s="3">
        <f>AVERAGE(R5:W5)</f>
      </c>
      <c r="AD5" s="3">
        <f>AVERAGE(O5:W5)</f>
      </c>
      <c r="AE5" s="4">
        <f>IFERROR((AB5*2)/(AC5+AD5), 0)</f>
      </c>
      <c r="AF5" s="4">
        <f>IFERROR(AA5/SUM(G5:K5), 0)</f>
      </c>
      <c r="AG5" s="4">
        <f>IFERROR(AA5/SUM(G5:K5), 0)</f>
      </c>
      <c r="AH5" s="4">
        <f>IFERROR(W5/K5, 0)</f>
      </c>
    </row>
    <row r="6" spans="6:34" x14ac:dyDescent="0.25">
      <c r="F6" s="2" t="s">
        <v>136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4">
        <v>0</v>
      </c>
      <c r="Y6" s="4">
        <v>0</v>
      </c>
      <c r="Z6" s="3">
        <f>SUM(G6:R6)</f>
      </c>
      <c r="AA6" s="3">
        <f>SUM(S6:W6)</f>
      </c>
      <c r="AB6" s="3">
        <f>AVERAGE(U6:W6)</f>
      </c>
      <c r="AC6" s="3">
        <f>AVERAGE(R6:W6)</f>
      </c>
      <c r="AD6" s="3">
        <f>AVERAGE(O6:W6)</f>
      </c>
      <c r="AE6" s="4">
        <f>IFERROR((AB6*2)/(AC6+AD6), 0)</f>
      </c>
      <c r="AF6" s="4">
        <f>IFERROR(AA6/SUM(G6:K6), 0)</f>
      </c>
      <c r="AG6" s="4">
        <f>IFERROR(AA6/SUM(G6:K6), 0)</f>
      </c>
      <c r="AH6" s="4">
        <f>IFERROR(W6/K6, 0)</f>
      </c>
    </row>
    <row r="7" spans="6:34" x14ac:dyDescent="0.25">
      <c r="F7" s="2" t="s">
        <v>137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4">
        <v>0</v>
      </c>
      <c r="Y7" s="4">
        <v>0</v>
      </c>
      <c r="Z7" s="3">
        <f>SUM(G7:R7)</f>
      </c>
      <c r="AA7" s="3">
        <f>SUM(S7:W7)</f>
      </c>
      <c r="AB7" s="3">
        <f>AVERAGE(U7:W7)</f>
      </c>
      <c r="AC7" s="3">
        <f>AVERAGE(R7:W7)</f>
      </c>
      <c r="AD7" s="3">
        <f>AVERAGE(O7:W7)</f>
      </c>
      <c r="AE7" s="4">
        <f>IFERROR((AB7*2)/(AC7+AD7), 0)</f>
      </c>
      <c r="AF7" s="4">
        <f>IFERROR(AA7/SUM(G7:K7), 0)</f>
      </c>
      <c r="AG7" s="4">
        <f>IFERROR(AA7/SUM(G7:K7), 0)</f>
      </c>
      <c r="AH7" s="4">
        <f>IFERROR(W7/K7, 0)</f>
      </c>
    </row>
    <row r="8" spans="6:34" x14ac:dyDescent="0.25">
      <c r="F8" s="2" t="s">
        <v>138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4">
        <v>0</v>
      </c>
      <c r="Y8" s="4">
        <v>0</v>
      </c>
      <c r="Z8" s="3">
        <f>SUM(G8:R8)</f>
      </c>
      <c r="AA8" s="3">
        <f>SUM(S8:W8)</f>
      </c>
      <c r="AB8" s="3">
        <f>AVERAGE(U8:W8)</f>
      </c>
      <c r="AC8" s="3">
        <f>AVERAGE(R8:W8)</f>
      </c>
      <c r="AD8" s="3">
        <f>AVERAGE(O8:W8)</f>
      </c>
      <c r="AE8" s="4">
        <f>IFERROR((AB8*2)/(AC8+AD8), 0)</f>
      </c>
      <c r="AF8" s="4">
        <f>IFERROR(AA8/SUM(G8:K8), 0)</f>
      </c>
      <c r="AG8" s="4">
        <f>IFERROR(AA8/SUM(G8:K8), 0)</f>
      </c>
      <c r="AH8" s="4">
        <f>IFERROR(W8/K8, 0)</f>
      </c>
    </row>
    <row r="9" spans="6:34" x14ac:dyDescent="0.25">
      <c r="F9" s="2" t="s">
        <v>139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4">
        <v>0</v>
      </c>
      <c r="Y9" s="4">
        <v>0</v>
      </c>
      <c r="Z9" s="3">
        <f>SUM(G9:R9)</f>
      </c>
      <c r="AA9" s="3">
        <f>SUM(S9:W9)</f>
      </c>
      <c r="AB9" s="3">
        <f>AVERAGE(U9:W9)</f>
      </c>
      <c r="AC9" s="3">
        <f>AVERAGE(R9:W9)</f>
      </c>
      <c r="AD9" s="3">
        <f>AVERAGE(O9:W9)</f>
      </c>
      <c r="AE9" s="4">
        <f>IFERROR((AB9*2)/(AC9+AD9), 0)</f>
      </c>
      <c r="AF9" s="4">
        <f>IFERROR(AA9/SUM(G9:K9), 0)</f>
      </c>
      <c r="AG9" s="4">
        <f>IFERROR(AA9/SUM(G9:K9), 0)</f>
      </c>
      <c r="AH9" s="4">
        <f>IFERROR(W9/K9, 0)</f>
      </c>
    </row>
    <row r="10" spans="6:34" x14ac:dyDescent="0.25">
      <c r="F10" s="2" t="s">
        <v>140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4">
        <v>0</v>
      </c>
      <c r="Y10" s="4">
        <v>0</v>
      </c>
      <c r="Z10" s="3">
        <f>SUM(G10:R10)</f>
      </c>
      <c r="AA10" s="3">
        <f>SUM(S10:W10)</f>
      </c>
      <c r="AB10" s="3">
        <f>AVERAGE(U10:W10)</f>
      </c>
      <c r="AC10" s="3">
        <f>AVERAGE(R10:W10)</f>
      </c>
      <c r="AD10" s="3">
        <f>AVERAGE(O10:W10)</f>
      </c>
      <c r="AE10" s="4">
        <f>IFERROR((AB10*2)/(AC10+AD10), 0)</f>
      </c>
      <c r="AF10" s="4">
        <f>IFERROR(AA10/SUM(G10:K10), 0)</f>
      </c>
      <c r="AG10" s="4">
        <f>IFERROR(AA10/SUM(G10:K10), 0)</f>
      </c>
      <c r="AH10" s="4">
        <f>IFERROR(W10/K10, 0)</f>
      </c>
    </row>
    <row r="11" spans="6:34" x14ac:dyDescent="0.25">
      <c r="F11" s="2" t="s">
        <v>141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1081120000</v>
      </c>
      <c r="S11" s="3">
        <v>5482560000</v>
      </c>
      <c r="T11" s="3">
        <v>4594463849</v>
      </c>
      <c r="U11" s="3">
        <v>9400181071</v>
      </c>
      <c r="V11" s="3">
        <v>3082732800</v>
      </c>
      <c r="W11" s="3">
        <v>2831295060</v>
      </c>
      <c r="X11" s="4">
        <v>1</v>
      </c>
      <c r="Y11" s="4">
        <v>1</v>
      </c>
      <c r="Z11" s="3">
        <f>SUM(G11:R11)</f>
      </c>
      <c r="AA11" s="3">
        <f>SUM(S11:W11)</f>
      </c>
      <c r="AB11" s="3">
        <f>AVERAGE(U11:W11)</f>
      </c>
      <c r="AC11" s="3">
        <f>AVERAGE(R11:W11)</f>
      </c>
      <c r="AD11" s="3">
        <f>AVERAGE(O11:W11)</f>
      </c>
      <c r="AE11" s="4">
        <f>IFERROR((AB11*2)/(AC11+AD11), 0)</f>
      </c>
      <c r="AF11" s="4">
        <f>IFERROR(AA11/SUM(G11:K11), 0)</f>
      </c>
      <c r="AG11" s="4">
        <f>IFERROR(AA11/SUM(G11:K11), 0)</f>
      </c>
      <c r="AH11" s="4">
        <f>IFERROR(W11/K11, 0)</f>
      </c>
    </row>
    <row r="12" spans="6:34" x14ac:dyDescent="0.25">
      <c r="F12" s="5" t="s">
        <v>142</v>
      </c>
      <c r="G12" s="6">
        <f>SUM(G2:G11)</f>
      </c>
      <c r="H12" s="6">
        <f>SUM(H2:H11)</f>
      </c>
      <c r="I12" s="6">
        <f>SUM(I2:I11)</f>
      </c>
      <c r="J12" s="6">
        <f>SUM(J2:J11)</f>
      </c>
      <c r="K12" s="6">
        <f>SUM(K2:K11)</f>
      </c>
      <c r="L12" s="6">
        <f>SUM(L2:L11)</f>
      </c>
      <c r="M12" s="6">
        <f>SUM(M2:M11)</f>
      </c>
      <c r="N12" s="6">
        <f>SUM(N2:N11)</f>
      </c>
      <c r="O12" s="6">
        <f>SUM(O2:O11)</f>
      </c>
      <c r="P12" s="6">
        <f>SUM(P2:P11)</f>
      </c>
      <c r="Q12" s="6">
        <f>SUM(Q2:Q11)</f>
      </c>
      <c r="R12" s="6">
        <f>SUM(R2:R11)</f>
      </c>
      <c r="S12" s="6">
        <f>SUM(S2:S11)</f>
      </c>
      <c r="T12" s="6">
        <f>SUM(T2:T11)</f>
      </c>
      <c r="U12" s="6">
        <f>SUM(U2:U11)</f>
      </c>
      <c r="V12" s="6">
        <f>SUM(V2:V11)</f>
      </c>
      <c r="W12" s="6">
        <f>SUM(W2:W11)</f>
      </c>
      <c r="X12" s="7">
        <v>0</v>
      </c>
      <c r="Y12" s="7">
        <v>0</v>
      </c>
      <c r="Z12" s="6">
        <f>SUM(Z2:Z11)</f>
      </c>
      <c r="AA12" s="6">
        <f>SUM(AA2:AA11)</f>
      </c>
      <c r="AB12" s="6">
        <f>SUM(AB2:AB11)</f>
      </c>
      <c r="AC12" s="6">
        <f>SUM(AC2:AC11)</f>
      </c>
      <c r="AD12" s="6">
        <f>SUM(AD2:AD11)</f>
      </c>
      <c r="AE12" s="7">
        <f>IFERROR((AB12*2)/(AC12+AD12), 0)</f>
      </c>
      <c r="AF12" s="7">
        <f>IFERROR(AA12/SUM(G12:K12), 0)</f>
      </c>
      <c r="AG12" s="7">
        <f>IFERROR(AA12/SUM(G12:K12), 0)</f>
      </c>
      <c r="AH12" s="7">
        <f>IFERROR(W12/K12, 0)</f>
      </c>
    </row>
    <row r="13" ht="14.25" customHeight="1" spans="6:30" x14ac:dyDescent="0.25">
      <c r="F13">
        <v>1</v>
      </c>
      <c r="G13">
        <v>56</v>
      </c>
      <c r="H13">
        <v>56</v>
      </c>
      <c r="X13">
        <v>57</v>
      </c>
      <c r="Z13">
        <v>62</v>
      </c>
      <c r="AB13">
        <v>56</v>
      </c>
      <c r="AC13">
        <v>55.25</v>
      </c>
      <c r="AD13">
        <v>53.857142857142854</v>
      </c>
    </row>
    <row r="14" ht="24" customHeight="1" spans="6:34" x14ac:dyDescent="0.25">
      <c r="F14" s="1" t="s">
        <v>143</v>
      </c>
      <c r="G14" s="1" t="s">
        <v>108</v>
      </c>
      <c r="H14" s="1" t="s">
        <v>109</v>
      </c>
      <c r="I14" s="1" t="s">
        <v>110</v>
      </c>
      <c r="J14" s="1" t="s">
        <v>111</v>
      </c>
      <c r="K14" s="1" t="s">
        <v>112</v>
      </c>
      <c r="L14" s="1" t="s">
        <v>113</v>
      </c>
      <c r="M14" s="1" t="s">
        <v>114</v>
      </c>
      <c r="N14" s="1" t="s">
        <v>115</v>
      </c>
      <c r="O14" s="1" t="s">
        <v>116</v>
      </c>
      <c r="P14" s="1" t="s">
        <v>117</v>
      </c>
      <c r="Q14" s="1" t="s">
        <v>118</v>
      </c>
      <c r="R14" s="1" t="s">
        <v>119</v>
      </c>
      <c r="S14" s="1" t="s">
        <v>120</v>
      </c>
      <c r="T14" s="1" t="s">
        <v>121</v>
      </c>
      <c r="U14" s="1" t="s">
        <v>122</v>
      </c>
      <c r="V14" s="1" t="s">
        <v>123</v>
      </c>
      <c r="W14" s="1" t="s">
        <v>124</v>
      </c>
      <c r="X14" s="1"/>
      <c r="Y14" s="1"/>
      <c r="Z14" s="1">
        <v>2025</v>
      </c>
      <c r="AA14" s="1">
        <v>2026</v>
      </c>
      <c r="AB14" s="1" t="s">
        <v>125</v>
      </c>
      <c r="AC14" s="1" t="s">
        <v>126</v>
      </c>
      <c r="AD14" s="1" t="s">
        <v>127</v>
      </c>
      <c r="AE14" s="1" t="s">
        <v>128</v>
      </c>
      <c r="AF14" s="1" t="s">
        <v>129</v>
      </c>
      <c r="AG14" s="1" t="s">
        <v>130</v>
      </c>
      <c r="AH14" s="1" t="s">
        <v>131</v>
      </c>
    </row>
    <row r="15" spans="6:34" x14ac:dyDescent="0.25">
      <c r="F15" s="2" t="s">
        <v>144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4"/>
      <c r="Y15" s="4"/>
      <c r="Z15" s="3">
        <f>SUM(G15:R15)</f>
      </c>
      <c r="AA15" s="3">
        <f>SUM(S15:W15)</f>
      </c>
      <c r="AB15" s="3">
        <f>AVERAGE(U15:W15)</f>
      </c>
      <c r="AC15" s="3">
        <f>AVERAGE(R15:W15)</f>
      </c>
      <c r="AD15" s="3">
        <f>AVERAGE(O15:W15)</f>
      </c>
      <c r="AE15" s="4">
        <f>IFERROR((AB15*2)/(AC15+AD15), 0)</f>
      </c>
      <c r="AF15" s="4">
        <f>IFERROR(AA15/SUM(G15:K15), 0)</f>
      </c>
      <c r="AG15" s="4">
        <f>IFERROR(AA15/SUM(G15:K15), 0)</f>
      </c>
      <c r="AH15" s="4">
        <f>IFERROR(W15/K15, 0)</f>
      </c>
    </row>
    <row r="16" spans="6:34" x14ac:dyDescent="0.25">
      <c r="F16" s="2" t="s">
        <v>145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4"/>
      <c r="Y16" s="4"/>
      <c r="Z16" s="3">
        <f>SUM(G16:R16)</f>
      </c>
      <c r="AA16" s="3">
        <f>SUM(S16:W16)</f>
      </c>
      <c r="AB16" s="3">
        <f>AVERAGE(U16:W16)</f>
      </c>
      <c r="AC16" s="3">
        <f>AVERAGE(R16:W16)</f>
      </c>
      <c r="AD16" s="3">
        <f>AVERAGE(O16:W16)</f>
      </c>
      <c r="AE16" s="4">
        <f>IFERROR((AB16*2)/(AC16+AD16), 0)</f>
      </c>
      <c r="AF16" s="4">
        <f>IFERROR(AA16/SUM(G16:K16), 0)</f>
      </c>
      <c r="AG16" s="4">
        <f>IFERROR(AA16/SUM(G16:K16), 0)</f>
      </c>
      <c r="AH16" s="4">
        <f>IFERROR(W16/K16, 0)</f>
      </c>
    </row>
    <row r="17" spans="6:34" x14ac:dyDescent="0.25">
      <c r="F17" s="2" t="s">
        <v>146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4"/>
      <c r="Y17" s="4"/>
      <c r="Z17" s="3">
        <f>SUM(G17:R17)</f>
      </c>
      <c r="AA17" s="3">
        <f>SUM(S17:W17)</f>
      </c>
      <c r="AB17" s="3">
        <f>AVERAGE(U17:W17)</f>
      </c>
      <c r="AC17" s="3">
        <f>AVERAGE(R17:W17)</f>
      </c>
      <c r="AD17" s="3">
        <f>AVERAGE(O17:W17)</f>
      </c>
      <c r="AE17" s="4">
        <f>IFERROR((AB17*2)/(AC17+AD17), 0)</f>
      </c>
      <c r="AF17" s="4">
        <f>IFERROR(AA17/SUM(G17:K17), 0)</f>
      </c>
      <c r="AG17" s="4">
        <f>IFERROR(AA17/SUM(G17:K17), 0)</f>
      </c>
      <c r="AH17" s="4">
        <f>IFERROR(W17/K17, 0)</f>
      </c>
    </row>
    <row r="18" spans="6:34" x14ac:dyDescent="0.25">
      <c r="F18" s="2" t="s">
        <v>147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/>
      <c r="Y18" s="4"/>
      <c r="Z18" s="3">
        <f>SUM(G18:R18)</f>
      </c>
      <c r="AA18" s="3">
        <f>SUM(S18:W18)</f>
      </c>
      <c r="AB18" s="3">
        <f>AVERAGE(U18:W18)</f>
      </c>
      <c r="AC18" s="3">
        <f>AVERAGE(R18:W18)</f>
      </c>
      <c r="AD18" s="3">
        <f>AVERAGE(O18:W18)</f>
      </c>
      <c r="AE18" s="4">
        <f>IFERROR((AB18*2)/(AC18+AD18), 0)</f>
      </c>
      <c r="AF18" s="4">
        <f>IFERROR(AA18/SUM(G18:K18), 0)</f>
      </c>
      <c r="AG18" s="4">
        <f>IFERROR(AA18/SUM(G18:K18), 0)</f>
      </c>
      <c r="AH18" s="4">
        <f>IFERROR(W18/K18, 0)</f>
      </c>
    </row>
    <row r="19" spans="6:34" x14ac:dyDescent="0.25">
      <c r="F19" s="2" t="s">
        <v>148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4"/>
      <c r="Y19" s="4"/>
      <c r="Z19" s="3">
        <f>SUM(G19:R19)</f>
      </c>
      <c r="AA19" s="3">
        <f>SUM(S19:W19)</f>
      </c>
      <c r="AB19" s="3">
        <f>AVERAGE(U19:W19)</f>
      </c>
      <c r="AC19" s="3">
        <f>AVERAGE(R19:W19)</f>
      </c>
      <c r="AD19" s="3">
        <f>AVERAGE(O19:W19)</f>
      </c>
      <c r="AE19" s="4">
        <f>IFERROR((AB19*2)/(AC19+AD19), 0)</f>
      </c>
      <c r="AF19" s="4">
        <f>IFERROR(AA19/SUM(G19:K19), 0)</f>
      </c>
      <c r="AG19" s="4">
        <f>IFERROR(AA19/SUM(G19:K19), 0)</f>
      </c>
      <c r="AH19" s="4">
        <f>IFERROR(W19/K19, 0)</f>
      </c>
    </row>
    <row r="20" spans="6:34" x14ac:dyDescent="0.25">
      <c r="F20" s="2" t="s">
        <v>149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4"/>
      <c r="Y20" s="4"/>
      <c r="Z20" s="3">
        <f>SUM(G20:R20)</f>
      </c>
      <c r="AA20" s="3">
        <f>SUM(S20:W20)</f>
      </c>
      <c r="AB20" s="3">
        <f>AVERAGE(U20:W20)</f>
      </c>
      <c r="AC20" s="3">
        <f>AVERAGE(R20:W20)</f>
      </c>
      <c r="AD20" s="3">
        <f>AVERAGE(O20:W20)</f>
      </c>
      <c r="AE20" s="4">
        <f>IFERROR((AB20*2)/(AC20+AD20), 0)</f>
      </c>
      <c r="AF20" s="4">
        <f>IFERROR(AA20/SUM(G20:K20), 0)</f>
      </c>
      <c r="AG20" s="4">
        <f>IFERROR(AA20/SUM(G20:K20), 0)</f>
      </c>
      <c r="AH20" s="4">
        <f>IFERROR(W20/K20, 0)</f>
      </c>
    </row>
    <row r="21" spans="6:34" x14ac:dyDescent="0.25">
      <c r="F21" s="5" t="s">
        <v>142</v>
      </c>
      <c r="G21" s="6">
        <f>SUM(G15:G20)</f>
      </c>
      <c r="H21" s="6">
        <f>SUM(H15:H20)</f>
      </c>
      <c r="I21" s="6">
        <f>SUM(I15:I20)</f>
      </c>
      <c r="J21" s="6">
        <f>SUM(J15:J20)</f>
      </c>
      <c r="K21" s="6">
        <f>SUM(K15:K20)</f>
      </c>
      <c r="L21" s="6">
        <f>SUM(L15:L20)</f>
      </c>
      <c r="M21" s="6">
        <f>SUM(M15:M20)</f>
      </c>
      <c r="N21" s="6">
        <f>SUM(N15:N20)</f>
      </c>
      <c r="O21" s="6">
        <f>SUM(O15:O20)</f>
      </c>
      <c r="P21" s="6">
        <f>SUM(P15:P20)</f>
      </c>
      <c r="Q21" s="6">
        <f>SUM(Q15:Q20)</f>
      </c>
      <c r="R21" s="6">
        <f>SUM(R15:R20)</f>
      </c>
      <c r="S21" s="6">
        <f>SUM(S15:S20)</f>
      </c>
      <c r="T21" s="6">
        <f>SUM(T15:T20)</f>
      </c>
      <c r="U21" s="6">
        <f>SUM(U15:U20)</f>
      </c>
      <c r="V21" s="6">
        <f>SUM(V15:V20)</f>
      </c>
      <c r="W21" s="6">
        <f>SUM(W15:W20)</f>
      </c>
      <c r="X21" s="7"/>
      <c r="Y21" s="7"/>
      <c r="Z21" s="6">
        <f>SUM(Z15:Z20)</f>
      </c>
      <c r="AA21" s="6">
        <f>SUM(AA15:AA20)</f>
      </c>
      <c r="AB21" s="6">
        <f>SUM(AB15:AB20)</f>
      </c>
      <c r="AC21" s="6">
        <f>SUM(AC15:AC20)</f>
      </c>
      <c r="AD21" s="6">
        <f>SUM(AD15:AD20)</f>
      </c>
      <c r="AE21" s="7">
        <f>IFERROR((AB21*2)/(AC21+AD21), 0)</f>
      </c>
      <c r="AF21" s="7">
        <f>IFERROR(AA21/SUM(G21:K21), 0)</f>
      </c>
      <c r="AG21" s="7">
        <f>IFERROR(AA21/SUM(G21:K21), 0)</f>
      </c>
      <c r="AH21" s="7">
        <f>IFERROR(W21/K21, 0)</f>
      </c>
    </row>
    <row r="22" ht="14.25" customHeight="1" hidden="1" spans="7:30" x14ac:dyDescent="0.25">
      <c r="G22">
        <v>34</v>
      </c>
      <c r="H22">
        <v>38</v>
      </c>
      <c r="Z22">
        <v>194</v>
      </c>
      <c r="AB22">
        <v>38</v>
      </c>
      <c r="AC22">
        <v>24</v>
      </c>
      <c r="AD22">
        <v>26.285714285714285</v>
      </c>
    </row>
    <row r="23" ht="24" customHeight="1" spans="4:34" x14ac:dyDescent="0.25">
      <c r="D23" s="1" t="s">
        <v>150</v>
      </c>
      <c r="E23" s="1" t="s">
        <v>151</v>
      </c>
      <c r="F23" s="1" t="s">
        <v>152</v>
      </c>
      <c r="G23" s="1" t="s">
        <v>108</v>
      </c>
      <c r="H23" s="1" t="s">
        <v>109</v>
      </c>
      <c r="I23" s="1" t="s">
        <v>110</v>
      </c>
      <c r="J23" s="1" t="s">
        <v>111</v>
      </c>
      <c r="K23" s="1" t="s">
        <v>112</v>
      </c>
      <c r="L23" s="1" t="s">
        <v>113</v>
      </c>
      <c r="M23" s="1" t="s">
        <v>114</v>
      </c>
      <c r="N23" s="1" t="s">
        <v>115</v>
      </c>
      <c r="O23" s="1" t="s">
        <v>116</v>
      </c>
      <c r="P23" s="1" t="s">
        <v>117</v>
      </c>
      <c r="Q23" s="1" t="s">
        <v>118</v>
      </c>
      <c r="R23" s="1" t="s">
        <v>119</v>
      </c>
      <c r="S23" s="1" t="s">
        <v>120</v>
      </c>
      <c r="T23" s="1" t="s">
        <v>121</v>
      </c>
      <c r="U23" s="1" t="s">
        <v>122</v>
      </c>
      <c r="V23" s="1" t="s">
        <v>123</v>
      </c>
      <c r="W23" s="1" t="s">
        <v>124</v>
      </c>
      <c r="X23" s="1"/>
      <c r="Y23" s="1"/>
      <c r="Z23" s="1">
        <v>2025</v>
      </c>
      <c r="AA23" s="1">
        <v>2026</v>
      </c>
      <c r="AB23" s="1" t="s">
        <v>125</v>
      </c>
      <c r="AC23" s="1" t="s">
        <v>126</v>
      </c>
      <c r="AD23" s="1" t="s">
        <v>127</v>
      </c>
      <c r="AE23" s="1" t="s">
        <v>128</v>
      </c>
      <c r="AF23" s="1" t="s">
        <v>129</v>
      </c>
      <c r="AG23" s="1" t="s">
        <v>130</v>
      </c>
      <c r="AH23" s="1" t="s">
        <v>131</v>
      </c>
    </row>
    <row r="24" spans="4:34" x14ac:dyDescent="0.25">
      <c r="D24" s="2" t="s">
        <v>153</v>
      </c>
      <c r="E24" s="2" t="s">
        <v>154</v>
      </c>
      <c r="F24" s="2" t="s">
        <v>155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1081120000</v>
      </c>
      <c r="S24" s="3">
        <v>5482560000</v>
      </c>
      <c r="T24" s="3">
        <v>4594463849</v>
      </c>
      <c r="U24" s="3">
        <v>9400181071</v>
      </c>
      <c r="V24" s="3">
        <v>3082732800</v>
      </c>
      <c r="W24" s="3">
        <v>2831295060</v>
      </c>
      <c r="X24" s="4"/>
      <c r="Y24" s="4"/>
      <c r="Z24" s="3">
        <f>SUM(G24:R24)</f>
      </c>
      <c r="AA24" s="3">
        <f>SUM(S24:W24)</f>
      </c>
      <c r="AB24" s="3">
        <f>AVERAGE(U24:W24)</f>
      </c>
      <c r="AC24" s="3">
        <f>AVERAGE(R24:W24)</f>
      </c>
      <c r="AD24" s="3">
        <f>AVERAGE(O24:W24)</f>
      </c>
      <c r="AE24" s="4">
        <f>IFERROR((AB24*2)/(AC24+AD24), 0)</f>
      </c>
      <c r="AF24" s="4">
        <f>IFERROR(AA24/SUM(G24:K24), 0)</f>
      </c>
      <c r="AG24" s="4">
        <f>IFERROR(AA24/SUM(G24:K24), 0)</f>
      </c>
      <c r="AH24" s="4">
        <f>IFERROR(W24/K24, 0)</f>
      </c>
    </row>
    <row r="25" spans="4:34" x14ac:dyDescent="0.25">
      <c r="D25" s="5"/>
      <c r="E25" s="5"/>
      <c r="F25" s="5" t="s">
        <v>142</v>
      </c>
      <c r="G25" s="6">
        <f>SUM(G24:G24)</f>
      </c>
      <c r="H25" s="6">
        <f>SUM(H24:H24)</f>
      </c>
      <c r="I25" s="6">
        <f>SUM(I24:I24)</f>
      </c>
      <c r="J25" s="6">
        <f>SUM(J24:J24)</f>
      </c>
      <c r="K25" s="6">
        <f>SUM(K24:K24)</f>
      </c>
      <c r="L25" s="6">
        <f>SUM(L24:L24)</f>
      </c>
      <c r="M25" s="6">
        <f>SUM(M24:M24)</f>
      </c>
      <c r="N25" s="6">
        <f>SUM(N24:N24)</f>
      </c>
      <c r="O25" s="6">
        <f>SUM(O24:O24)</f>
      </c>
      <c r="P25" s="6">
        <f>SUM(P24:P24)</f>
      </c>
      <c r="Q25" s="6">
        <f>SUM(Q24:Q24)</f>
      </c>
      <c r="R25" s="6">
        <f>SUM(R24:R24)</f>
      </c>
      <c r="S25" s="6">
        <f>SUM(S24:S24)</f>
      </c>
      <c r="T25" s="6">
        <f>SUM(T24:T24)</f>
      </c>
      <c r="U25" s="6">
        <f>SUM(U24:U24)</f>
      </c>
      <c r="V25" s="6">
        <f>SUM(V24:V24)</f>
      </c>
      <c r="W25" s="6">
        <f>SUM(W24:W24)</f>
      </c>
      <c r="X25" s="7"/>
      <c r="Y25" s="7"/>
      <c r="Z25" s="6">
        <f>SUM(Z24:Z24)</f>
      </c>
      <c r="AA25" s="6">
        <f>SUM(AA24:AA24)</f>
      </c>
      <c r="AB25" s="6">
        <f>SUM(AB24:AB24)</f>
      </c>
      <c r="AC25" s="6">
        <f>SUM(AC24:AC24)</f>
      </c>
      <c r="AD25" s="6">
        <f>SUM(AD24:AD24)</f>
      </c>
      <c r="AE25" s="7">
        <f>IFERROR((AB25*2)/(AC25+AD25), 0)</f>
      </c>
      <c r="AF25" s="7">
        <f>IFERROR(AA25/SUM(G25:K25), 0)</f>
      </c>
      <c r="AG25" s="7">
        <f>IFERROR(AA25/SUM(G25:K25), 0)</f>
      </c>
      <c r="AH25" s="7">
        <f>IFERROR(W25/K25, 0)</f>
      </c>
    </row>
    <row r="26" ht="14.25" customHeight="1" spans="7:34" x14ac:dyDescent="0.25">
      <c r="G26">
        <v>39</v>
      </c>
      <c r="H26">
        <v>43</v>
      </c>
      <c r="AA26">
        <v>0</v>
      </c>
      <c r="AG26">
        <v>0.6267029972752044</v>
      </c>
      <c r="AH26">
        <v>0</v>
      </c>
    </row>
    <row r="27" ht="24" customHeight="1" spans="1:34" x14ac:dyDescent="0.25">
      <c r="A27" s="1" t="s">
        <v>156</v>
      </c>
      <c r="B27" s="1" t="s">
        <v>157</v>
      </c>
      <c r="C27" s="1" t="s">
        <v>107</v>
      </c>
      <c r="D27" s="1" t="s">
        <v>158</v>
      </c>
      <c r="E27" s="1" t="s">
        <v>159</v>
      </c>
      <c r="F27" s="1" t="s">
        <v>143</v>
      </c>
      <c r="G27" s="1" t="s">
        <v>108</v>
      </c>
      <c r="H27" s="1" t="s">
        <v>109</v>
      </c>
      <c r="I27" s="1" t="s">
        <v>110</v>
      </c>
      <c r="J27" s="1" t="s">
        <v>111</v>
      </c>
      <c r="K27" s="1" t="s">
        <v>112</v>
      </c>
      <c r="L27" s="1" t="s">
        <v>113</v>
      </c>
      <c r="M27" s="1" t="s">
        <v>114</v>
      </c>
      <c r="N27" s="1" t="s">
        <v>115</v>
      </c>
      <c r="O27" s="1" t="s">
        <v>116</v>
      </c>
      <c r="P27" s="1" t="s">
        <v>117</v>
      </c>
      <c r="Q27" s="1" t="s">
        <v>118</v>
      </c>
      <c r="R27" s="1" t="s">
        <v>119</v>
      </c>
      <c r="S27" s="1" t="s">
        <v>120</v>
      </c>
      <c r="T27" s="1" t="s">
        <v>121</v>
      </c>
      <c r="U27" s="1" t="s">
        <v>122</v>
      </c>
      <c r="V27" s="1" t="s">
        <v>123</v>
      </c>
      <c r="W27" s="1" t="s">
        <v>124</v>
      </c>
      <c r="X27" s="1"/>
      <c r="Y27" s="1"/>
      <c r="Z27" s="1">
        <v>2025</v>
      </c>
      <c r="AA27" s="1">
        <v>2026</v>
      </c>
      <c r="AB27" s="1" t="s">
        <v>125</v>
      </c>
      <c r="AC27" s="1" t="s">
        <v>126</v>
      </c>
      <c r="AD27" s="1" t="s">
        <v>127</v>
      </c>
      <c r="AE27" s="1" t="s">
        <v>128</v>
      </c>
      <c r="AF27" s="1" t="s">
        <v>129</v>
      </c>
      <c r="AG27" s="1" t="s">
        <v>130</v>
      </c>
      <c r="AH27" s="1" t="s">
        <v>131</v>
      </c>
    </row>
    <row r="28" spans="1:34" x14ac:dyDescent="0.25">
      <c r="A28" s="2">
        <v>1</v>
      </c>
      <c r="B28" s="2" t="s">
        <v>2</v>
      </c>
      <c r="C28" s="2" t="s">
        <v>141</v>
      </c>
      <c r="D28" s="2"/>
      <c r="E28" s="2"/>
      <c r="F28" s="2"/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51200000</v>
      </c>
      <c r="T28" s="3">
        <v>0</v>
      </c>
      <c r="U28" s="3">
        <v>20480000</v>
      </c>
      <c r="V28" s="3">
        <v>0</v>
      </c>
      <c r="W28" s="3">
        <v>0</v>
      </c>
      <c r="X28" s="4"/>
      <c r="Y28" s="4"/>
      <c r="Z28" s="3">
        <f>SUM(G28:R28)</f>
      </c>
      <c r="AA28" s="3">
        <f>SUM(S28:W28)</f>
      </c>
      <c r="AB28" s="3">
        <f>AVERAGE(U28:W28)</f>
      </c>
      <c r="AC28" s="3">
        <f>AVERAGE(R28:W28)</f>
      </c>
      <c r="AD28" s="3">
        <f>AVERAGE(O28:W28)</f>
      </c>
      <c r="AE28" s="4">
        <f>IFERROR((AB28*2)/(AC28+AD28), 0)</f>
      </c>
      <c r="AF28" s="4">
        <f>IFERROR(AA28/SUM(G28:K28), 0)</f>
      </c>
      <c r="AG28" s="4">
        <f>IFERROR(AA28/SUM(G28:K28), 0)</f>
      </c>
      <c r="AH28" s="4">
        <f>IFERROR(W28/K28, 0)</f>
      </c>
    </row>
    <row r="29" spans="1:34" x14ac:dyDescent="0.25">
      <c r="A29" s="2">
        <v>2</v>
      </c>
      <c r="B29" s="2" t="s">
        <v>4</v>
      </c>
      <c r="C29" s="2" t="s">
        <v>141</v>
      </c>
      <c r="D29" s="2"/>
      <c r="E29" s="2"/>
      <c r="F29" s="2"/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15120000</v>
      </c>
      <c r="X29" s="4"/>
      <c r="Y29" s="4"/>
      <c r="Z29" s="3">
        <f>SUM(G29:R29)</f>
      </c>
      <c r="AA29" s="3">
        <f>SUM(S29:W29)</f>
      </c>
      <c r="AB29" s="3">
        <f>AVERAGE(U29:W29)</f>
      </c>
      <c r="AC29" s="3">
        <f>AVERAGE(R29:W29)</f>
      </c>
      <c r="AD29" s="3">
        <f>AVERAGE(O29:W29)</f>
      </c>
      <c r="AE29" s="4">
        <f>IFERROR((AB29*2)/(AC29+AD29), 0)</f>
      </c>
      <c r="AF29" s="4">
        <f>IFERROR(AA29/SUM(G29:K29), 0)</f>
      </c>
      <c r="AG29" s="4">
        <f>IFERROR(AA29/SUM(G29:K29), 0)</f>
      </c>
      <c r="AH29" s="4">
        <f>IFERROR(W29/K29, 0)</f>
      </c>
    </row>
    <row r="30" spans="1:34" x14ac:dyDescent="0.25">
      <c r="A30" s="2">
        <v>3</v>
      </c>
      <c r="B30" s="2" t="s">
        <v>5</v>
      </c>
      <c r="C30" s="2" t="s">
        <v>141</v>
      </c>
      <c r="D30" s="2"/>
      <c r="E30" s="2"/>
      <c r="F30" s="2"/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20480000</v>
      </c>
      <c r="U30" s="3">
        <v>0</v>
      </c>
      <c r="V30" s="3">
        <v>0</v>
      </c>
      <c r="W30" s="3">
        <v>0</v>
      </c>
      <c r="X30" s="4"/>
      <c r="Y30" s="4"/>
      <c r="Z30" s="3">
        <f>SUM(G30:R30)</f>
      </c>
      <c r="AA30" s="3">
        <f>SUM(S30:W30)</f>
      </c>
      <c r="AB30" s="3">
        <f>AVERAGE(U30:W30)</f>
      </c>
      <c r="AC30" s="3">
        <f>AVERAGE(R30:W30)</f>
      </c>
      <c r="AD30" s="3">
        <f>AVERAGE(O30:W30)</f>
      </c>
      <c r="AE30" s="4">
        <f>IFERROR((AB30*2)/(AC30+AD30), 0)</f>
      </c>
      <c r="AF30" s="4">
        <f>IFERROR(AA30/SUM(G30:K30), 0)</f>
      </c>
      <c r="AG30" s="4">
        <f>IFERROR(AA30/SUM(G30:K30), 0)</f>
      </c>
      <c r="AH30" s="4">
        <f>IFERROR(W30/K30, 0)</f>
      </c>
    </row>
    <row r="31" spans="1:34" x14ac:dyDescent="0.25">
      <c r="A31" s="2">
        <v>4</v>
      </c>
      <c r="B31" s="2" t="s">
        <v>6</v>
      </c>
      <c r="C31" s="2" t="s">
        <v>141</v>
      </c>
      <c r="D31" s="2"/>
      <c r="E31" s="2"/>
      <c r="F31" s="2"/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288000000</v>
      </c>
      <c r="S31" s="3">
        <v>76800000</v>
      </c>
      <c r="T31" s="3">
        <v>288000000</v>
      </c>
      <c r="U31" s="3">
        <v>403200000</v>
      </c>
      <c r="V31" s="3">
        <v>0</v>
      </c>
      <c r="W31" s="3">
        <v>0</v>
      </c>
      <c r="X31" s="4"/>
      <c r="Y31" s="4"/>
      <c r="Z31" s="3">
        <f>SUM(G31:R31)</f>
      </c>
      <c r="AA31" s="3">
        <f>SUM(S31:W31)</f>
      </c>
      <c r="AB31" s="3">
        <f>AVERAGE(U31:W31)</f>
      </c>
      <c r="AC31" s="3">
        <f>AVERAGE(R31:W31)</f>
      </c>
      <c r="AD31" s="3">
        <f>AVERAGE(O31:W31)</f>
      </c>
      <c r="AE31" s="4">
        <f>IFERROR((AB31*2)/(AC31+AD31), 0)</f>
      </c>
      <c r="AF31" s="4">
        <f>IFERROR(AA31/SUM(G31:K31), 0)</f>
      </c>
      <c r="AG31" s="4">
        <f>IFERROR(AA31/SUM(G31:K31), 0)</f>
      </c>
      <c r="AH31" s="4">
        <f>IFERROR(W31/K31, 0)</f>
      </c>
    </row>
    <row r="32" spans="1:34" x14ac:dyDescent="0.25">
      <c r="A32" s="2">
        <v>5</v>
      </c>
      <c r="B32" s="2" t="s">
        <v>7</v>
      </c>
      <c r="C32" s="2" t="s">
        <v>141</v>
      </c>
      <c r="D32" s="2"/>
      <c r="E32" s="2"/>
      <c r="F32" s="2"/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311894014</v>
      </c>
      <c r="V32" s="3">
        <v>0</v>
      </c>
      <c r="W32" s="3">
        <v>0</v>
      </c>
      <c r="X32" s="4"/>
      <c r="Y32" s="4"/>
      <c r="Z32" s="3">
        <f>SUM(G32:R32)</f>
      </c>
      <c r="AA32" s="3">
        <f>SUM(S32:W32)</f>
      </c>
      <c r="AB32" s="3">
        <f>AVERAGE(U32:W32)</f>
      </c>
      <c r="AC32" s="3">
        <f>AVERAGE(R32:W32)</f>
      </c>
      <c r="AD32" s="3">
        <f>AVERAGE(O32:W32)</f>
      </c>
      <c r="AE32" s="4">
        <f>IFERROR((AB32*2)/(AC32+AD32), 0)</f>
      </c>
      <c r="AF32" s="4">
        <f>IFERROR(AA32/SUM(G32:K32), 0)</f>
      </c>
      <c r="AG32" s="4">
        <f>IFERROR(AA32/SUM(G32:K32), 0)</f>
      </c>
      <c r="AH32" s="4">
        <f>IFERROR(W32/K32, 0)</f>
      </c>
    </row>
    <row r="33" spans="1:34" x14ac:dyDescent="0.25">
      <c r="A33" s="2">
        <v>6</v>
      </c>
      <c r="B33" s="2" t="s">
        <v>8</v>
      </c>
      <c r="C33" s="2" t="s">
        <v>141</v>
      </c>
      <c r="D33" s="2"/>
      <c r="E33" s="2"/>
      <c r="F33" s="2"/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10880000</v>
      </c>
      <c r="S33" s="3">
        <v>30720000</v>
      </c>
      <c r="T33" s="3">
        <v>0</v>
      </c>
      <c r="U33" s="3">
        <v>0</v>
      </c>
      <c r="V33" s="3">
        <v>0</v>
      </c>
      <c r="W33" s="3">
        <v>0</v>
      </c>
      <c r="X33" s="4"/>
      <c r="Y33" s="4"/>
      <c r="Z33" s="3">
        <f>SUM(G33:R33)</f>
      </c>
      <c r="AA33" s="3">
        <f>SUM(S33:W33)</f>
      </c>
      <c r="AB33" s="3">
        <f>AVERAGE(U33:W33)</f>
      </c>
      <c r="AC33" s="3">
        <f>AVERAGE(R33:W33)</f>
      </c>
      <c r="AD33" s="3">
        <f>AVERAGE(O33:W33)</f>
      </c>
      <c r="AE33" s="4">
        <f>IFERROR((AB33*2)/(AC33+AD33), 0)</f>
      </c>
      <c r="AF33" s="4">
        <f>IFERROR(AA33/SUM(G33:K33), 0)</f>
      </c>
      <c r="AG33" s="4">
        <f>IFERROR(AA33/SUM(G33:K33), 0)</f>
      </c>
      <c r="AH33" s="4">
        <f>IFERROR(W33/K33, 0)</f>
      </c>
    </row>
    <row r="34" spans="1:34" x14ac:dyDescent="0.25">
      <c r="A34" s="2">
        <v>7</v>
      </c>
      <c r="B34" s="2" t="s">
        <v>9</v>
      </c>
      <c r="C34" s="2" t="s">
        <v>141</v>
      </c>
      <c r="D34" s="2"/>
      <c r="E34" s="2"/>
      <c r="F34" s="2"/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263424000</v>
      </c>
      <c r="X34" s="4"/>
      <c r="Y34" s="4"/>
      <c r="Z34" s="3">
        <f>SUM(G34:R34)</f>
      </c>
      <c r="AA34" s="3">
        <f>SUM(S34:W34)</f>
      </c>
      <c r="AB34" s="3">
        <f>AVERAGE(U34:W34)</f>
      </c>
      <c r="AC34" s="3">
        <f>AVERAGE(R34:W34)</f>
      </c>
      <c r="AD34" s="3">
        <f>AVERAGE(O34:W34)</f>
      </c>
      <c r="AE34" s="4">
        <f>IFERROR((AB34*2)/(AC34+AD34), 0)</f>
      </c>
      <c r="AF34" s="4">
        <f>IFERROR(AA34/SUM(G34:K34), 0)</f>
      </c>
      <c r="AG34" s="4">
        <f>IFERROR(AA34/SUM(G34:K34), 0)</f>
      </c>
      <c r="AH34" s="4">
        <f>IFERROR(W34/K34, 0)</f>
      </c>
    </row>
    <row r="35" spans="1:34" x14ac:dyDescent="0.25">
      <c r="A35" s="2">
        <v>8</v>
      </c>
      <c r="B35" s="2" t="s">
        <v>10</v>
      </c>
      <c r="C35" s="2" t="s">
        <v>141</v>
      </c>
      <c r="D35" s="2"/>
      <c r="E35" s="2"/>
      <c r="F35" s="2"/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96000000</v>
      </c>
      <c r="V35" s="3">
        <v>302400000</v>
      </c>
      <c r="W35" s="3">
        <v>0</v>
      </c>
      <c r="X35" s="4"/>
      <c r="Y35" s="4"/>
      <c r="Z35" s="3">
        <f>SUM(G35:R35)</f>
      </c>
      <c r="AA35" s="3">
        <f>SUM(S35:W35)</f>
      </c>
      <c r="AB35" s="3">
        <f>AVERAGE(U35:W35)</f>
      </c>
      <c r="AC35" s="3">
        <f>AVERAGE(R35:W35)</f>
      </c>
      <c r="AD35" s="3">
        <f>AVERAGE(O35:W35)</f>
      </c>
      <c r="AE35" s="4">
        <f>IFERROR((AB35*2)/(AC35+AD35), 0)</f>
      </c>
      <c r="AF35" s="4">
        <f>IFERROR(AA35/SUM(G35:K35), 0)</f>
      </c>
      <c r="AG35" s="4">
        <f>IFERROR(AA35/SUM(G35:K35), 0)</f>
      </c>
      <c r="AH35" s="4">
        <f>IFERROR(W35/K35, 0)</f>
      </c>
    </row>
    <row r="36" spans="1:34" x14ac:dyDescent="0.25">
      <c r="A36" s="2">
        <v>9</v>
      </c>
      <c r="B36" s="2" t="s">
        <v>11</v>
      </c>
      <c r="C36" s="2" t="s">
        <v>141</v>
      </c>
      <c r="D36" s="2"/>
      <c r="E36" s="2"/>
      <c r="F36" s="2"/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297600000</v>
      </c>
      <c r="V36" s="3">
        <v>0</v>
      </c>
      <c r="W36" s="3">
        <v>0</v>
      </c>
      <c r="X36" s="4"/>
      <c r="Y36" s="4"/>
      <c r="Z36" s="3">
        <f>SUM(G36:R36)</f>
      </c>
      <c r="AA36" s="3">
        <f>SUM(S36:W36)</f>
      </c>
      <c r="AB36" s="3">
        <f>AVERAGE(U36:W36)</f>
      </c>
      <c r="AC36" s="3">
        <f>AVERAGE(R36:W36)</f>
      </c>
      <c r="AD36" s="3">
        <f>AVERAGE(O36:W36)</f>
      </c>
      <c r="AE36" s="4">
        <f>IFERROR((AB36*2)/(AC36+AD36), 0)</f>
      </c>
      <c r="AF36" s="4">
        <f>IFERROR(AA36/SUM(G36:K36), 0)</f>
      </c>
      <c r="AG36" s="4">
        <f>IFERROR(AA36/SUM(G36:K36), 0)</f>
      </c>
      <c r="AH36" s="4">
        <f>IFERROR(W36/K36, 0)</f>
      </c>
    </row>
    <row r="37" spans="1:34" x14ac:dyDescent="0.25">
      <c r="A37" s="2">
        <v>10</v>
      </c>
      <c r="B37" s="2" t="s">
        <v>12</v>
      </c>
      <c r="C37" s="2" t="s">
        <v>141</v>
      </c>
      <c r="D37" s="2"/>
      <c r="E37" s="2"/>
      <c r="F37" s="2"/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107520000</v>
      </c>
      <c r="X37" s="4"/>
      <c r="Y37" s="4"/>
      <c r="Z37" s="3">
        <f>SUM(G37:R37)</f>
      </c>
      <c r="AA37" s="3">
        <f>SUM(S37:W37)</f>
      </c>
      <c r="AB37" s="3">
        <f>AVERAGE(U37:W37)</f>
      </c>
      <c r="AC37" s="3">
        <f>AVERAGE(R37:W37)</f>
      </c>
      <c r="AD37" s="3">
        <f>AVERAGE(O37:W37)</f>
      </c>
      <c r="AE37" s="4">
        <f>IFERROR((AB37*2)/(AC37+AD37), 0)</f>
      </c>
      <c r="AF37" s="4">
        <f>IFERROR(AA37/SUM(G37:K37), 0)</f>
      </c>
      <c r="AG37" s="4">
        <f>IFERROR(AA37/SUM(G37:K37), 0)</f>
      </c>
      <c r="AH37" s="4">
        <f>IFERROR(W37/K37, 0)</f>
      </c>
    </row>
    <row r="38" spans="1:34" x14ac:dyDescent="0.25">
      <c r="A38" s="2">
        <v>11</v>
      </c>
      <c r="B38" s="2" t="s">
        <v>13</v>
      </c>
      <c r="C38" s="2" t="s">
        <v>141</v>
      </c>
      <c r="D38" s="2"/>
      <c r="E38" s="2"/>
      <c r="F38" s="2"/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102144000</v>
      </c>
      <c r="X38" s="4"/>
      <c r="Y38" s="4"/>
      <c r="Z38" s="3">
        <f>SUM(G38:R38)</f>
      </c>
      <c r="AA38" s="3">
        <f>SUM(S38:W38)</f>
      </c>
      <c r="AB38" s="3">
        <f>AVERAGE(U38:W38)</f>
      </c>
      <c r="AC38" s="3">
        <f>AVERAGE(R38:W38)</f>
      </c>
      <c r="AD38" s="3">
        <f>AVERAGE(O38:W38)</f>
      </c>
      <c r="AE38" s="4">
        <f>IFERROR((AB38*2)/(AC38+AD38), 0)</f>
      </c>
      <c r="AF38" s="4">
        <f>IFERROR(AA38/SUM(G38:K38), 0)</f>
      </c>
      <c r="AG38" s="4">
        <f>IFERROR(AA38/SUM(G38:K38), 0)</f>
      </c>
      <c r="AH38" s="4">
        <f>IFERROR(W38/K38, 0)</f>
      </c>
    </row>
    <row r="39" spans="1:34" x14ac:dyDescent="0.25">
      <c r="A39" s="2">
        <v>12</v>
      </c>
      <c r="B39" s="2" t="s">
        <v>14</v>
      </c>
      <c r="C39" s="2" t="s">
        <v>141</v>
      </c>
      <c r="D39" s="2"/>
      <c r="E39" s="2"/>
      <c r="F39" s="2"/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20480000</v>
      </c>
      <c r="T39" s="3">
        <v>0</v>
      </c>
      <c r="U39" s="3">
        <v>0</v>
      </c>
      <c r="V39" s="3">
        <v>0</v>
      </c>
      <c r="W39" s="3">
        <v>0</v>
      </c>
      <c r="X39" s="4"/>
      <c r="Y39" s="4"/>
      <c r="Z39" s="3">
        <f>SUM(G39:R39)</f>
      </c>
      <c r="AA39" s="3">
        <f>SUM(S39:W39)</f>
      </c>
      <c r="AB39" s="3">
        <f>AVERAGE(U39:W39)</f>
      </c>
      <c r="AC39" s="3">
        <f>AVERAGE(R39:W39)</f>
      </c>
      <c r="AD39" s="3">
        <f>AVERAGE(O39:W39)</f>
      </c>
      <c r="AE39" s="4">
        <f>IFERROR((AB39*2)/(AC39+AD39), 0)</f>
      </c>
      <c r="AF39" s="4">
        <f>IFERROR(AA39/SUM(G39:K39), 0)</f>
      </c>
      <c r="AG39" s="4">
        <f>IFERROR(AA39/SUM(G39:K39), 0)</f>
      </c>
      <c r="AH39" s="4">
        <f>IFERROR(W39/K39, 0)</f>
      </c>
    </row>
    <row r="40" spans="1:34" x14ac:dyDescent="0.25">
      <c r="A40" s="2">
        <v>13</v>
      </c>
      <c r="B40" s="2" t="s">
        <v>15</v>
      </c>
      <c r="C40" s="2" t="s">
        <v>141</v>
      </c>
      <c r="D40" s="2"/>
      <c r="E40" s="2"/>
      <c r="F40" s="2"/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10080000</v>
      </c>
      <c r="W40" s="3">
        <v>0</v>
      </c>
      <c r="X40" s="4"/>
      <c r="Y40" s="4"/>
      <c r="Z40" s="3">
        <f>SUM(G40:R40)</f>
      </c>
      <c r="AA40" s="3">
        <f>SUM(S40:W40)</f>
      </c>
      <c r="AB40" s="3">
        <f>AVERAGE(U40:W40)</f>
      </c>
      <c r="AC40" s="3">
        <f>AVERAGE(R40:W40)</f>
      </c>
      <c r="AD40" s="3">
        <f>AVERAGE(O40:W40)</f>
      </c>
      <c r="AE40" s="4">
        <f>IFERROR((AB40*2)/(AC40+AD40), 0)</f>
      </c>
      <c r="AF40" s="4">
        <f>IFERROR(AA40/SUM(G40:K40), 0)</f>
      </c>
      <c r="AG40" s="4">
        <f>IFERROR(AA40/SUM(G40:K40), 0)</f>
      </c>
      <c r="AH40" s="4">
        <f>IFERROR(W40/K40, 0)</f>
      </c>
    </row>
    <row r="41" spans="1:34" x14ac:dyDescent="0.25">
      <c r="A41" s="2">
        <v>14</v>
      </c>
      <c r="B41" s="2" t="s">
        <v>16</v>
      </c>
      <c r="C41" s="2" t="s">
        <v>141</v>
      </c>
      <c r="D41" s="2"/>
      <c r="E41" s="2"/>
      <c r="F41" s="2"/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48000000</v>
      </c>
      <c r="S41" s="3">
        <v>48000000</v>
      </c>
      <c r="T41" s="3">
        <v>48000000</v>
      </c>
      <c r="U41" s="3">
        <v>107520000</v>
      </c>
      <c r="V41" s="3">
        <v>0</v>
      </c>
      <c r="W41" s="3">
        <v>107520000</v>
      </c>
      <c r="X41" s="4"/>
      <c r="Y41" s="4"/>
      <c r="Z41" s="3">
        <f>SUM(G41:R41)</f>
      </c>
      <c r="AA41" s="3">
        <f>SUM(S41:W41)</f>
      </c>
      <c r="AB41" s="3">
        <f>AVERAGE(U41:W41)</f>
      </c>
      <c r="AC41" s="3">
        <f>AVERAGE(R41:W41)</f>
      </c>
      <c r="AD41" s="3">
        <f>AVERAGE(O41:W41)</f>
      </c>
      <c r="AE41" s="4">
        <f>IFERROR((AB41*2)/(AC41+AD41), 0)</f>
      </c>
      <c r="AF41" s="4">
        <f>IFERROR(AA41/SUM(G41:K41), 0)</f>
      </c>
      <c r="AG41" s="4">
        <f>IFERROR(AA41/SUM(G41:K41), 0)</f>
      </c>
      <c r="AH41" s="4">
        <f>IFERROR(W41/K41, 0)</f>
      </c>
    </row>
    <row r="42" spans="1:34" x14ac:dyDescent="0.25">
      <c r="A42" s="2">
        <v>15</v>
      </c>
      <c r="B42" s="2" t="s">
        <v>17</v>
      </c>
      <c r="C42" s="2" t="s">
        <v>141</v>
      </c>
      <c r="D42" s="2"/>
      <c r="E42" s="2"/>
      <c r="F42" s="2"/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101760000</v>
      </c>
      <c r="V42" s="3">
        <v>0</v>
      </c>
      <c r="W42" s="3">
        <v>0</v>
      </c>
      <c r="X42" s="4"/>
      <c r="Y42" s="4"/>
      <c r="Z42" s="3">
        <f>SUM(G42:R42)</f>
      </c>
      <c r="AA42" s="3">
        <f>SUM(S42:W42)</f>
      </c>
      <c r="AB42" s="3">
        <f>AVERAGE(U42:W42)</f>
      </c>
      <c r="AC42" s="3">
        <f>AVERAGE(R42:W42)</f>
      </c>
      <c r="AD42" s="3">
        <f>AVERAGE(O42:W42)</f>
      </c>
      <c r="AE42" s="4">
        <f>IFERROR((AB42*2)/(AC42+AD42), 0)</f>
      </c>
      <c r="AF42" s="4">
        <f>IFERROR(AA42/SUM(G42:K42), 0)</f>
      </c>
      <c r="AG42" s="4">
        <f>IFERROR(AA42/SUM(G42:K42), 0)</f>
      </c>
      <c r="AH42" s="4">
        <f>IFERROR(W42/K42, 0)</f>
      </c>
    </row>
    <row r="43" spans="1:34" x14ac:dyDescent="0.25">
      <c r="A43" s="2">
        <v>16</v>
      </c>
      <c r="B43" s="2" t="s">
        <v>18</v>
      </c>
      <c r="C43" s="2" t="s">
        <v>141</v>
      </c>
      <c r="D43" s="2"/>
      <c r="E43" s="2"/>
      <c r="F43" s="2"/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15120000</v>
      </c>
      <c r="X43" s="4"/>
      <c r="Y43" s="4"/>
      <c r="Z43" s="3">
        <f>SUM(G43:R43)</f>
      </c>
      <c r="AA43" s="3">
        <f>SUM(S43:W43)</f>
      </c>
      <c r="AB43" s="3">
        <f>AVERAGE(U43:W43)</f>
      </c>
      <c r="AC43" s="3">
        <f>AVERAGE(R43:W43)</f>
      </c>
      <c r="AD43" s="3">
        <f>AVERAGE(O43:W43)</f>
      </c>
      <c r="AE43" s="4">
        <f>IFERROR((AB43*2)/(AC43+AD43), 0)</f>
      </c>
      <c r="AF43" s="4">
        <f>IFERROR(AA43/SUM(G43:K43), 0)</f>
      </c>
      <c r="AG43" s="4">
        <f>IFERROR(AA43/SUM(G43:K43), 0)</f>
      </c>
      <c r="AH43" s="4">
        <f>IFERROR(W43/K43, 0)</f>
      </c>
    </row>
    <row r="44" spans="1:34" x14ac:dyDescent="0.25">
      <c r="A44" s="2">
        <v>17</v>
      </c>
      <c r="B44" s="2" t="s">
        <v>19</v>
      </c>
      <c r="C44" s="2" t="s">
        <v>141</v>
      </c>
      <c r="D44" s="2"/>
      <c r="E44" s="2"/>
      <c r="F44" s="2"/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81920000</v>
      </c>
      <c r="V44" s="3">
        <v>215040000</v>
      </c>
      <c r="W44" s="3">
        <v>0</v>
      </c>
      <c r="X44" s="4"/>
      <c r="Y44" s="4"/>
      <c r="Z44" s="3">
        <f>SUM(G44:R44)</f>
      </c>
      <c r="AA44" s="3">
        <f>SUM(S44:W44)</f>
      </c>
      <c r="AB44" s="3">
        <f>AVERAGE(U44:W44)</f>
      </c>
      <c r="AC44" s="3">
        <f>AVERAGE(R44:W44)</f>
      </c>
      <c r="AD44" s="3">
        <f>AVERAGE(O44:W44)</f>
      </c>
      <c r="AE44" s="4">
        <f>IFERROR((AB44*2)/(AC44+AD44), 0)</f>
      </c>
      <c r="AF44" s="4">
        <f>IFERROR(AA44/SUM(G44:K44), 0)</f>
      </c>
      <c r="AG44" s="4">
        <f>IFERROR(AA44/SUM(G44:K44), 0)</f>
      </c>
      <c r="AH44" s="4">
        <f>IFERROR(W44/K44, 0)</f>
      </c>
    </row>
    <row r="45" spans="1:34" x14ac:dyDescent="0.25">
      <c r="A45" s="2">
        <v>18</v>
      </c>
      <c r="B45" s="2" t="s">
        <v>20</v>
      </c>
      <c r="C45" s="2" t="s">
        <v>141</v>
      </c>
      <c r="D45" s="2"/>
      <c r="E45" s="2"/>
      <c r="F45" s="2"/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11424000</v>
      </c>
      <c r="V45" s="3">
        <v>0</v>
      </c>
      <c r="W45" s="3">
        <v>30240000</v>
      </c>
      <c r="X45" s="4"/>
      <c r="Y45" s="4"/>
      <c r="Z45" s="3">
        <f>SUM(G45:R45)</f>
      </c>
      <c r="AA45" s="3">
        <f>SUM(S45:W45)</f>
      </c>
      <c r="AB45" s="3">
        <f>AVERAGE(U45:W45)</f>
      </c>
      <c r="AC45" s="3">
        <f>AVERAGE(R45:W45)</f>
      </c>
      <c r="AD45" s="3">
        <f>AVERAGE(O45:W45)</f>
      </c>
      <c r="AE45" s="4">
        <f>IFERROR((AB45*2)/(AC45+AD45), 0)</f>
      </c>
      <c r="AF45" s="4">
        <f>IFERROR(AA45/SUM(G45:K45), 0)</f>
      </c>
      <c r="AG45" s="4">
        <f>IFERROR(AA45/SUM(G45:K45), 0)</f>
      </c>
      <c r="AH45" s="4">
        <f>IFERROR(W45/K45, 0)</f>
      </c>
    </row>
    <row r="46" spans="1:34" x14ac:dyDescent="0.25">
      <c r="A46" s="2">
        <v>19</v>
      </c>
      <c r="B46" s="2" t="s">
        <v>21</v>
      </c>
      <c r="C46" s="2" t="s">
        <v>141</v>
      </c>
      <c r="D46" s="2"/>
      <c r="E46" s="2"/>
      <c r="F46" s="2"/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48000000</v>
      </c>
      <c r="T46" s="3">
        <v>67200000</v>
      </c>
      <c r="U46" s="3">
        <v>0</v>
      </c>
      <c r="V46" s="3">
        <v>0</v>
      </c>
      <c r="W46" s="3">
        <v>0</v>
      </c>
      <c r="X46" s="4"/>
      <c r="Y46" s="4"/>
      <c r="Z46" s="3">
        <f>SUM(G46:R46)</f>
      </c>
      <c r="AA46" s="3">
        <f>SUM(S46:W46)</f>
      </c>
      <c r="AB46" s="3">
        <f>AVERAGE(U46:W46)</f>
      </c>
      <c r="AC46" s="3">
        <f>AVERAGE(R46:W46)</f>
      </c>
      <c r="AD46" s="3">
        <f>AVERAGE(O46:W46)</f>
      </c>
      <c r="AE46" s="4">
        <f>IFERROR((AB46*2)/(AC46+AD46), 0)</f>
      </c>
      <c r="AF46" s="4">
        <f>IFERROR(AA46/SUM(G46:K46), 0)</f>
      </c>
      <c r="AG46" s="4">
        <f>IFERROR(AA46/SUM(G46:K46), 0)</f>
      </c>
      <c r="AH46" s="4">
        <f>IFERROR(W46/K46, 0)</f>
      </c>
    </row>
    <row r="47" spans="1:34" x14ac:dyDescent="0.25">
      <c r="A47" s="2">
        <v>20</v>
      </c>
      <c r="B47" s="2" t="s">
        <v>22</v>
      </c>
      <c r="C47" s="2" t="s">
        <v>141</v>
      </c>
      <c r="D47" s="2"/>
      <c r="E47" s="2"/>
      <c r="F47" s="2"/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869400000</v>
      </c>
      <c r="V47" s="3">
        <v>0</v>
      </c>
      <c r="W47" s="3">
        <v>0</v>
      </c>
      <c r="X47" s="4"/>
      <c r="Y47" s="4"/>
      <c r="Z47" s="3">
        <f>SUM(G47:R47)</f>
      </c>
      <c r="AA47" s="3">
        <f>SUM(S47:W47)</f>
      </c>
      <c r="AB47" s="3">
        <f>AVERAGE(U47:W47)</f>
      </c>
      <c r="AC47" s="3">
        <f>AVERAGE(R47:W47)</f>
      </c>
      <c r="AD47" s="3">
        <f>AVERAGE(O47:W47)</f>
      </c>
      <c r="AE47" s="4">
        <f>IFERROR((AB47*2)/(AC47+AD47), 0)</f>
      </c>
      <c r="AF47" s="4">
        <f>IFERROR(AA47/SUM(G47:K47), 0)</f>
      </c>
      <c r="AG47" s="4">
        <f>IFERROR(AA47/SUM(G47:K47), 0)</f>
      </c>
      <c r="AH47" s="4">
        <f>IFERROR(W47/K47, 0)</f>
      </c>
    </row>
    <row r="48" spans="1:34" x14ac:dyDescent="0.25">
      <c r="A48" s="2">
        <v>21</v>
      </c>
      <c r="B48" s="2" t="s">
        <v>23</v>
      </c>
      <c r="C48" s="2" t="s">
        <v>141</v>
      </c>
      <c r="D48" s="2"/>
      <c r="E48" s="2"/>
      <c r="F48" s="2"/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40960000</v>
      </c>
      <c r="T48" s="3">
        <v>20480000</v>
      </c>
      <c r="U48" s="3">
        <v>0</v>
      </c>
      <c r="V48" s="3">
        <v>0</v>
      </c>
      <c r="W48" s="3">
        <v>0</v>
      </c>
      <c r="X48" s="4"/>
      <c r="Y48" s="4"/>
      <c r="Z48" s="3">
        <f>SUM(G48:R48)</f>
      </c>
      <c r="AA48" s="3">
        <f>SUM(S48:W48)</f>
      </c>
      <c r="AB48" s="3">
        <f>AVERAGE(U48:W48)</f>
      </c>
      <c r="AC48" s="3">
        <f>AVERAGE(R48:W48)</f>
      </c>
      <c r="AD48" s="3">
        <f>AVERAGE(O48:W48)</f>
      </c>
      <c r="AE48" s="4">
        <f>IFERROR((AB48*2)/(AC48+AD48), 0)</f>
      </c>
      <c r="AF48" s="4">
        <f>IFERROR(AA48/SUM(G48:K48), 0)</f>
      </c>
      <c r="AG48" s="4">
        <f>IFERROR(AA48/SUM(G48:K48), 0)</f>
      </c>
      <c r="AH48" s="4">
        <f>IFERROR(W48/K48, 0)</f>
      </c>
    </row>
    <row r="49" spans="1:34" x14ac:dyDescent="0.25">
      <c r="A49" s="2">
        <v>22</v>
      </c>
      <c r="B49" s="2" t="s">
        <v>24</v>
      </c>
      <c r="C49" s="2" t="s">
        <v>141</v>
      </c>
      <c r="D49" s="2"/>
      <c r="E49" s="2"/>
      <c r="F49" s="2"/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51072000</v>
      </c>
      <c r="X49" s="4"/>
      <c r="Y49" s="4"/>
      <c r="Z49" s="3">
        <f>SUM(G49:R49)</f>
      </c>
      <c r="AA49" s="3">
        <f>SUM(S49:W49)</f>
      </c>
      <c r="AB49" s="3">
        <f>AVERAGE(U49:W49)</f>
      </c>
      <c r="AC49" s="3">
        <f>AVERAGE(R49:W49)</f>
      </c>
      <c r="AD49" s="3">
        <f>AVERAGE(O49:W49)</f>
      </c>
      <c r="AE49" s="4">
        <f>IFERROR((AB49*2)/(AC49+AD49), 0)</f>
      </c>
      <c r="AF49" s="4">
        <f>IFERROR(AA49/SUM(G49:K49), 0)</f>
      </c>
      <c r="AG49" s="4">
        <f>IFERROR(AA49/SUM(G49:K49), 0)</f>
      </c>
      <c r="AH49" s="4">
        <f>IFERROR(W49/K49, 0)</f>
      </c>
    </row>
    <row r="50" spans="1:34" x14ac:dyDescent="0.25">
      <c r="A50" s="2">
        <v>23</v>
      </c>
      <c r="B50" s="2" t="s">
        <v>25</v>
      </c>
      <c r="C50" s="2" t="s">
        <v>141</v>
      </c>
      <c r="D50" s="2"/>
      <c r="E50" s="2"/>
      <c r="F50" s="2"/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10880000</v>
      </c>
      <c r="T50" s="3">
        <v>0</v>
      </c>
      <c r="U50" s="3">
        <v>10880000</v>
      </c>
      <c r="V50" s="3">
        <v>0</v>
      </c>
      <c r="W50" s="3">
        <v>0</v>
      </c>
      <c r="X50" s="4"/>
      <c r="Y50" s="4"/>
      <c r="Z50" s="3">
        <f>SUM(G50:R50)</f>
      </c>
      <c r="AA50" s="3">
        <f>SUM(S50:W50)</f>
      </c>
      <c r="AB50" s="3">
        <f>AVERAGE(U50:W50)</f>
      </c>
      <c r="AC50" s="3">
        <f>AVERAGE(R50:W50)</f>
      </c>
      <c r="AD50" s="3">
        <f>AVERAGE(O50:W50)</f>
      </c>
      <c r="AE50" s="4">
        <f>IFERROR((AB50*2)/(AC50+AD50), 0)</f>
      </c>
      <c r="AF50" s="4">
        <f>IFERROR(AA50/SUM(G50:K50), 0)</f>
      </c>
      <c r="AG50" s="4">
        <f>IFERROR(AA50/SUM(G50:K50), 0)</f>
      </c>
      <c r="AH50" s="4">
        <f>IFERROR(W50/K50, 0)</f>
      </c>
    </row>
    <row r="51" spans="1:34" x14ac:dyDescent="0.25">
      <c r="A51" s="2">
        <v>24</v>
      </c>
      <c r="B51" s="2" t="s">
        <v>26</v>
      </c>
      <c r="C51" s="2" t="s">
        <v>141</v>
      </c>
      <c r="D51" s="2"/>
      <c r="E51" s="2"/>
      <c r="F51" s="2"/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480000000</v>
      </c>
      <c r="V51" s="3">
        <v>215040000</v>
      </c>
      <c r="W51" s="3">
        <v>0</v>
      </c>
      <c r="X51" s="4"/>
      <c r="Y51" s="4"/>
      <c r="Z51" s="3">
        <f>SUM(G51:R51)</f>
      </c>
      <c r="AA51" s="3">
        <f>SUM(S51:W51)</f>
      </c>
      <c r="AB51" s="3">
        <f>AVERAGE(U51:W51)</f>
      </c>
      <c r="AC51" s="3">
        <f>AVERAGE(R51:W51)</f>
      </c>
      <c r="AD51" s="3">
        <f>AVERAGE(O51:W51)</f>
      </c>
      <c r="AE51" s="4">
        <f>IFERROR((AB51*2)/(AC51+AD51), 0)</f>
      </c>
      <c r="AF51" s="4">
        <f>IFERROR(AA51/SUM(G51:K51), 0)</f>
      </c>
      <c r="AG51" s="4">
        <f>IFERROR(AA51/SUM(G51:K51), 0)</f>
      </c>
      <c r="AH51" s="4">
        <f>IFERROR(W51/K51, 0)</f>
      </c>
    </row>
    <row r="52" spans="1:34" x14ac:dyDescent="0.25">
      <c r="A52" s="2">
        <v>25</v>
      </c>
      <c r="B52" s="2" t="s">
        <v>27</v>
      </c>
      <c r="C52" s="2" t="s">
        <v>141</v>
      </c>
      <c r="D52" s="2"/>
      <c r="E52" s="2"/>
      <c r="F52" s="2"/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584236800</v>
      </c>
      <c r="V52" s="3">
        <v>584236800</v>
      </c>
      <c r="W52" s="3">
        <v>0</v>
      </c>
      <c r="X52" s="4"/>
      <c r="Y52" s="4"/>
      <c r="Z52" s="3">
        <f>SUM(G52:R52)</f>
      </c>
      <c r="AA52" s="3">
        <f>SUM(S52:W52)</f>
      </c>
      <c r="AB52" s="3">
        <f>AVERAGE(U52:W52)</f>
      </c>
      <c r="AC52" s="3">
        <f>AVERAGE(R52:W52)</f>
      </c>
      <c r="AD52" s="3">
        <f>AVERAGE(O52:W52)</f>
      </c>
      <c r="AE52" s="4">
        <f>IFERROR((AB52*2)/(AC52+AD52), 0)</f>
      </c>
      <c r="AF52" s="4">
        <f>IFERROR(AA52/SUM(G52:K52), 0)</f>
      </c>
      <c r="AG52" s="4">
        <f>IFERROR(AA52/SUM(G52:K52), 0)</f>
      </c>
      <c r="AH52" s="4">
        <f>IFERROR(W52/K52, 0)</f>
      </c>
    </row>
    <row r="53" spans="1:34" x14ac:dyDescent="0.25">
      <c r="A53" s="2">
        <v>26</v>
      </c>
      <c r="B53" s="2" t="s">
        <v>28</v>
      </c>
      <c r="C53" s="2" t="s">
        <v>141</v>
      </c>
      <c r="D53" s="2"/>
      <c r="E53" s="2"/>
      <c r="F53" s="2"/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30720000</v>
      </c>
      <c r="S53" s="3">
        <v>240000000</v>
      </c>
      <c r="T53" s="3">
        <v>0</v>
      </c>
      <c r="U53" s="3">
        <v>0</v>
      </c>
      <c r="V53" s="3">
        <v>107520000</v>
      </c>
      <c r="W53" s="3">
        <v>53760000</v>
      </c>
      <c r="X53" s="4"/>
      <c r="Y53" s="4"/>
      <c r="Z53" s="3">
        <f>SUM(G53:R53)</f>
      </c>
      <c r="AA53" s="3">
        <f>SUM(S53:W53)</f>
      </c>
      <c r="AB53" s="3">
        <f>AVERAGE(U53:W53)</f>
      </c>
      <c r="AC53" s="3">
        <f>AVERAGE(R53:W53)</f>
      </c>
      <c r="AD53" s="3">
        <f>AVERAGE(O53:W53)</f>
      </c>
      <c r="AE53" s="4">
        <f>IFERROR((AB53*2)/(AC53+AD53), 0)</f>
      </c>
      <c r="AF53" s="4">
        <f>IFERROR(AA53/SUM(G53:K53), 0)</f>
      </c>
      <c r="AG53" s="4">
        <f>IFERROR(AA53/SUM(G53:K53), 0)</f>
      </c>
      <c r="AH53" s="4">
        <f>IFERROR(W53/K53, 0)</f>
      </c>
    </row>
    <row r="54" spans="1:34" x14ac:dyDescent="0.25">
      <c r="A54" s="2">
        <v>27</v>
      </c>
      <c r="B54" s="2" t="s">
        <v>29</v>
      </c>
      <c r="C54" s="2" t="s">
        <v>141</v>
      </c>
      <c r="D54" s="2"/>
      <c r="E54" s="2"/>
      <c r="F54" s="2"/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336000000</v>
      </c>
      <c r="V54" s="3">
        <v>0</v>
      </c>
      <c r="W54" s="3">
        <v>575017065</v>
      </c>
      <c r="X54" s="4"/>
      <c r="Y54" s="4"/>
      <c r="Z54" s="3">
        <f>SUM(G54:R54)</f>
      </c>
      <c r="AA54" s="3">
        <f>SUM(S54:W54)</f>
      </c>
      <c r="AB54" s="3">
        <f>AVERAGE(U54:W54)</f>
      </c>
      <c r="AC54" s="3">
        <f>AVERAGE(R54:W54)</f>
      </c>
      <c r="AD54" s="3">
        <f>AVERAGE(O54:W54)</f>
      </c>
      <c r="AE54" s="4">
        <f>IFERROR((AB54*2)/(AC54+AD54), 0)</f>
      </c>
      <c r="AF54" s="4">
        <f>IFERROR(AA54/SUM(G54:K54), 0)</f>
      </c>
      <c r="AG54" s="4">
        <f>IFERROR(AA54/SUM(G54:K54), 0)</f>
      </c>
      <c r="AH54" s="4">
        <f>IFERROR(W54/K54, 0)</f>
      </c>
    </row>
    <row r="55" spans="1:34" x14ac:dyDescent="0.25">
      <c r="A55" s="2">
        <v>28</v>
      </c>
      <c r="B55" s="2" t="s">
        <v>30</v>
      </c>
      <c r="C55" s="2" t="s">
        <v>141</v>
      </c>
      <c r="D55" s="2"/>
      <c r="E55" s="2"/>
      <c r="F55" s="2"/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53760000</v>
      </c>
      <c r="W55" s="3">
        <v>0</v>
      </c>
      <c r="X55" s="4"/>
      <c r="Y55" s="4"/>
      <c r="Z55" s="3">
        <f>SUM(G55:R55)</f>
      </c>
      <c r="AA55" s="3">
        <f>SUM(S55:W55)</f>
      </c>
      <c r="AB55" s="3">
        <f>AVERAGE(U55:W55)</f>
      </c>
      <c r="AC55" s="3">
        <f>AVERAGE(R55:W55)</f>
      </c>
      <c r="AD55" s="3">
        <f>AVERAGE(O55:W55)</f>
      </c>
      <c r="AE55" s="4">
        <f>IFERROR((AB55*2)/(AC55+AD55), 0)</f>
      </c>
      <c r="AF55" s="4">
        <f>IFERROR(AA55/SUM(G55:K55), 0)</f>
      </c>
      <c r="AG55" s="4">
        <f>IFERROR(AA55/SUM(G55:K55), 0)</f>
      </c>
      <c r="AH55" s="4">
        <f>IFERROR(W55/K55, 0)</f>
      </c>
    </row>
    <row r="56" spans="1:34" x14ac:dyDescent="0.25">
      <c r="A56" s="2">
        <v>29</v>
      </c>
      <c r="B56" s="2" t="s">
        <v>31</v>
      </c>
      <c r="C56" s="2" t="s">
        <v>141</v>
      </c>
      <c r="D56" s="2"/>
      <c r="E56" s="2"/>
      <c r="F56" s="2"/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1589760000</v>
      </c>
      <c r="T56" s="3">
        <v>2472960000</v>
      </c>
      <c r="U56" s="3">
        <v>3409152000</v>
      </c>
      <c r="V56" s="3">
        <v>0</v>
      </c>
      <c r="W56" s="3">
        <v>0</v>
      </c>
      <c r="X56" s="4"/>
      <c r="Y56" s="4"/>
      <c r="Z56" s="3">
        <f>SUM(G56:R56)</f>
      </c>
      <c r="AA56" s="3">
        <f>SUM(S56:W56)</f>
      </c>
      <c r="AB56" s="3">
        <f>AVERAGE(U56:W56)</f>
      </c>
      <c r="AC56" s="3">
        <f>AVERAGE(R56:W56)</f>
      </c>
      <c r="AD56" s="3">
        <f>AVERAGE(O56:W56)</f>
      </c>
      <c r="AE56" s="4">
        <f>IFERROR((AB56*2)/(AC56+AD56), 0)</f>
      </c>
      <c r="AF56" s="4">
        <f>IFERROR(AA56/SUM(G56:K56), 0)</f>
      </c>
      <c r="AG56" s="4">
        <f>IFERROR(AA56/SUM(G56:K56), 0)</f>
      </c>
      <c r="AH56" s="4">
        <f>IFERROR(W56/K56, 0)</f>
      </c>
    </row>
    <row r="57" spans="1:34" x14ac:dyDescent="0.25">
      <c r="A57" s="2">
        <v>30</v>
      </c>
      <c r="B57" s="2" t="s">
        <v>32</v>
      </c>
      <c r="C57" s="2" t="s">
        <v>141</v>
      </c>
      <c r="D57" s="2"/>
      <c r="E57" s="2"/>
      <c r="F57" s="2"/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153216000</v>
      </c>
      <c r="X57" s="4"/>
      <c r="Y57" s="4"/>
      <c r="Z57" s="3">
        <f>SUM(G57:R57)</f>
      </c>
      <c r="AA57" s="3">
        <f>SUM(S57:W57)</f>
      </c>
      <c r="AB57" s="3">
        <f>AVERAGE(U57:W57)</f>
      </c>
      <c r="AC57" s="3">
        <f>AVERAGE(R57:W57)</f>
      </c>
      <c r="AD57" s="3">
        <f>AVERAGE(O57:W57)</f>
      </c>
      <c r="AE57" s="4">
        <f>IFERROR((AB57*2)/(AC57+AD57), 0)</f>
      </c>
      <c r="AF57" s="4">
        <f>IFERROR(AA57/SUM(G57:K57), 0)</f>
      </c>
      <c r="AG57" s="4">
        <f>IFERROR(AA57/SUM(G57:K57), 0)</f>
      </c>
      <c r="AH57" s="4">
        <f>IFERROR(W57/K57, 0)</f>
      </c>
    </row>
    <row r="58" spans="1:34" x14ac:dyDescent="0.25">
      <c r="A58" s="2">
        <v>31</v>
      </c>
      <c r="B58" s="2" t="s">
        <v>33</v>
      </c>
      <c r="C58" s="2" t="s">
        <v>141</v>
      </c>
      <c r="D58" s="2"/>
      <c r="E58" s="2"/>
      <c r="F58" s="2"/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297600000</v>
      </c>
      <c r="S58" s="3">
        <v>1080000000</v>
      </c>
      <c r="T58" s="3">
        <v>576000000</v>
      </c>
      <c r="U58" s="3">
        <v>192000000</v>
      </c>
      <c r="V58" s="3">
        <v>0</v>
      </c>
      <c r="W58" s="3">
        <v>0</v>
      </c>
      <c r="X58" s="4"/>
      <c r="Y58" s="4"/>
      <c r="Z58" s="3">
        <f>SUM(G58:R58)</f>
      </c>
      <c r="AA58" s="3">
        <f>SUM(S58:W58)</f>
      </c>
      <c r="AB58" s="3">
        <f>AVERAGE(U58:W58)</f>
      </c>
      <c r="AC58" s="3">
        <f>AVERAGE(R58:W58)</f>
      </c>
      <c r="AD58" s="3">
        <f>AVERAGE(O58:W58)</f>
      </c>
      <c r="AE58" s="4">
        <f>IFERROR((AB58*2)/(AC58+AD58), 0)</f>
      </c>
      <c r="AF58" s="4">
        <f>IFERROR(AA58/SUM(G58:K58), 0)</f>
      </c>
      <c r="AG58" s="4">
        <f>IFERROR(AA58/SUM(G58:K58), 0)</f>
      </c>
      <c r="AH58" s="4">
        <f>IFERROR(W58/K58, 0)</f>
      </c>
    </row>
    <row r="59" spans="1:34" x14ac:dyDescent="0.25">
      <c r="A59" s="2">
        <v>32</v>
      </c>
      <c r="B59" s="2" t="s">
        <v>34</v>
      </c>
      <c r="C59" s="2" t="s">
        <v>141</v>
      </c>
      <c r="D59" s="2"/>
      <c r="E59" s="2"/>
      <c r="F59" s="2"/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10080000</v>
      </c>
      <c r="W59" s="3">
        <v>0</v>
      </c>
      <c r="X59" s="4"/>
      <c r="Y59" s="4"/>
      <c r="Z59" s="3">
        <f>SUM(G59:R59)</f>
      </c>
      <c r="AA59" s="3">
        <f>SUM(S59:W59)</f>
      </c>
      <c r="AB59" s="3">
        <f>AVERAGE(U59:W59)</f>
      </c>
      <c r="AC59" s="3">
        <f>AVERAGE(R59:W59)</f>
      </c>
      <c r="AD59" s="3">
        <f>AVERAGE(O59:W59)</f>
      </c>
      <c r="AE59" s="4">
        <f>IFERROR((AB59*2)/(AC59+AD59), 0)</f>
      </c>
      <c r="AF59" s="4">
        <f>IFERROR(AA59/SUM(G59:K59), 0)</f>
      </c>
      <c r="AG59" s="4">
        <f>IFERROR(AA59/SUM(G59:K59), 0)</f>
      </c>
      <c r="AH59" s="4">
        <f>IFERROR(W59/K59, 0)</f>
      </c>
    </row>
    <row r="60" spans="1:34" x14ac:dyDescent="0.25">
      <c r="A60" s="2">
        <v>33</v>
      </c>
      <c r="B60" s="2" t="s">
        <v>35</v>
      </c>
      <c r="C60" s="2" t="s">
        <v>141</v>
      </c>
      <c r="D60" s="2"/>
      <c r="E60" s="2"/>
      <c r="F60" s="2"/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71680000</v>
      </c>
      <c r="T60" s="3">
        <v>40960000</v>
      </c>
      <c r="U60" s="3">
        <v>0</v>
      </c>
      <c r="V60" s="3">
        <v>53760000</v>
      </c>
      <c r="W60" s="3">
        <v>0</v>
      </c>
      <c r="X60" s="4"/>
      <c r="Y60" s="4"/>
      <c r="Z60" s="3">
        <f>SUM(G60:R60)</f>
      </c>
      <c r="AA60" s="3">
        <f>SUM(S60:W60)</f>
      </c>
      <c r="AB60" s="3">
        <f>AVERAGE(U60:W60)</f>
      </c>
      <c r="AC60" s="3">
        <f>AVERAGE(R60:W60)</f>
      </c>
      <c r="AD60" s="3">
        <f>AVERAGE(O60:W60)</f>
      </c>
      <c r="AE60" s="4">
        <f>IFERROR((AB60*2)/(AC60+AD60), 0)</f>
      </c>
      <c r="AF60" s="4">
        <f>IFERROR(AA60/SUM(G60:K60), 0)</f>
      </c>
      <c r="AG60" s="4">
        <f>IFERROR(AA60/SUM(G60:K60), 0)</f>
      </c>
      <c r="AH60" s="4">
        <f>IFERROR(W60/K60, 0)</f>
      </c>
    </row>
    <row r="61" spans="1:34" x14ac:dyDescent="0.25">
      <c r="A61" s="2">
        <v>34</v>
      </c>
      <c r="B61" s="2" t="s">
        <v>36</v>
      </c>
      <c r="C61" s="2" t="s">
        <v>141</v>
      </c>
      <c r="D61" s="2"/>
      <c r="E61" s="2"/>
      <c r="F61" s="2"/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10880000</v>
      </c>
      <c r="V61" s="3">
        <v>45360000</v>
      </c>
      <c r="W61" s="3">
        <v>70560000</v>
      </c>
      <c r="X61" s="4"/>
      <c r="Y61" s="4"/>
      <c r="Z61" s="3">
        <f>SUM(G61:R61)</f>
      </c>
      <c r="AA61" s="3">
        <f>SUM(S61:W61)</f>
      </c>
      <c r="AB61" s="3">
        <f>AVERAGE(U61:W61)</f>
      </c>
      <c r="AC61" s="3">
        <f>AVERAGE(R61:W61)</f>
      </c>
      <c r="AD61" s="3">
        <f>AVERAGE(O61:W61)</f>
      </c>
      <c r="AE61" s="4">
        <f>IFERROR((AB61*2)/(AC61+AD61), 0)</f>
      </c>
      <c r="AF61" s="4">
        <f>IFERROR(AA61/SUM(G61:K61), 0)</f>
      </c>
      <c r="AG61" s="4">
        <f>IFERROR(AA61/SUM(G61:K61), 0)</f>
      </c>
      <c r="AH61" s="4">
        <f>IFERROR(W61/K61, 0)</f>
      </c>
    </row>
    <row r="62" spans="1:34" x14ac:dyDescent="0.25">
      <c r="A62" s="2">
        <v>35</v>
      </c>
      <c r="B62" s="2" t="s">
        <v>37</v>
      </c>
      <c r="C62" s="2" t="s">
        <v>141</v>
      </c>
      <c r="D62" s="2"/>
      <c r="E62" s="2"/>
      <c r="F62" s="2"/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144000000</v>
      </c>
      <c r="T62" s="3">
        <v>0</v>
      </c>
      <c r="U62" s="3">
        <v>288000000</v>
      </c>
      <c r="V62" s="3">
        <v>201600000</v>
      </c>
      <c r="W62" s="3">
        <v>0</v>
      </c>
      <c r="X62" s="4"/>
      <c r="Y62" s="4"/>
      <c r="Z62" s="3">
        <f>SUM(G62:R62)</f>
      </c>
      <c r="AA62" s="3">
        <f>SUM(S62:W62)</f>
      </c>
      <c r="AB62" s="3">
        <f>AVERAGE(U62:W62)</f>
      </c>
      <c r="AC62" s="3">
        <f>AVERAGE(R62:W62)</f>
      </c>
      <c r="AD62" s="3">
        <f>AVERAGE(O62:W62)</f>
      </c>
      <c r="AE62" s="4">
        <f>IFERROR((AB62*2)/(AC62+AD62), 0)</f>
      </c>
      <c r="AF62" s="4">
        <f>IFERROR(AA62/SUM(G62:K62), 0)</f>
      </c>
      <c r="AG62" s="4">
        <f>IFERROR(AA62/SUM(G62:K62), 0)</f>
      </c>
      <c r="AH62" s="4">
        <f>IFERROR(W62/K62, 0)</f>
      </c>
    </row>
    <row r="63" spans="1:34" x14ac:dyDescent="0.25">
      <c r="A63" s="2">
        <v>36</v>
      </c>
      <c r="B63" s="2" t="s">
        <v>38</v>
      </c>
      <c r="C63" s="2" t="s">
        <v>141</v>
      </c>
      <c r="D63" s="2"/>
      <c r="E63" s="2"/>
      <c r="F63" s="2"/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20480000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4"/>
      <c r="Y63" s="4"/>
      <c r="Z63" s="3">
        <f>SUM(G63:R63)</f>
      </c>
      <c r="AA63" s="3">
        <f>SUM(S63:W63)</f>
      </c>
      <c r="AB63" s="3">
        <f>AVERAGE(U63:W63)</f>
      </c>
      <c r="AC63" s="3">
        <f>AVERAGE(R63:W63)</f>
      </c>
      <c r="AD63" s="3">
        <f>AVERAGE(O63:W63)</f>
      </c>
      <c r="AE63" s="4">
        <f>IFERROR((AB63*2)/(AC63+AD63), 0)</f>
      </c>
      <c r="AF63" s="4">
        <f>IFERROR(AA63/SUM(G63:K63), 0)</f>
      </c>
      <c r="AG63" s="4">
        <f>IFERROR(AA63/SUM(G63:K63), 0)</f>
      </c>
      <c r="AH63" s="4">
        <f>IFERROR(W63/K63, 0)</f>
      </c>
    </row>
    <row r="64" spans="1:34" x14ac:dyDescent="0.25">
      <c r="A64" s="2">
        <v>37</v>
      </c>
      <c r="B64" s="2" t="s">
        <v>39</v>
      </c>
      <c r="C64" s="2" t="s">
        <v>141</v>
      </c>
      <c r="D64" s="2"/>
      <c r="E64" s="2"/>
      <c r="F64" s="2"/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40960000</v>
      </c>
      <c r="T64" s="3">
        <v>0</v>
      </c>
      <c r="U64" s="3">
        <v>201600000</v>
      </c>
      <c r="V64" s="3">
        <v>0</v>
      </c>
      <c r="W64" s="3">
        <v>0</v>
      </c>
      <c r="X64" s="4"/>
      <c r="Y64" s="4"/>
      <c r="Z64" s="3">
        <f>SUM(G64:R64)</f>
      </c>
      <c r="AA64" s="3">
        <f>SUM(S64:W64)</f>
      </c>
      <c r="AB64" s="3">
        <f>AVERAGE(U64:W64)</f>
      </c>
      <c r="AC64" s="3">
        <f>AVERAGE(R64:W64)</f>
      </c>
      <c r="AD64" s="3">
        <f>AVERAGE(O64:W64)</f>
      </c>
      <c r="AE64" s="4">
        <f>IFERROR((AB64*2)/(AC64+AD64), 0)</f>
      </c>
      <c r="AF64" s="4">
        <f>IFERROR(AA64/SUM(G64:K64), 0)</f>
      </c>
      <c r="AG64" s="4">
        <f>IFERROR(AA64/SUM(G64:K64), 0)</f>
      </c>
      <c r="AH64" s="4">
        <f>IFERROR(W64/K64, 0)</f>
      </c>
    </row>
    <row r="65" spans="1:34" x14ac:dyDescent="0.25">
      <c r="A65" s="2">
        <v>38</v>
      </c>
      <c r="B65" s="2" t="s">
        <v>40</v>
      </c>
      <c r="C65" s="2" t="s">
        <v>141</v>
      </c>
      <c r="D65" s="2"/>
      <c r="E65" s="2"/>
      <c r="F65" s="2"/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10880000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4"/>
      <c r="Y65" s="4"/>
      <c r="Z65" s="3">
        <f>SUM(G65:R65)</f>
      </c>
      <c r="AA65" s="3">
        <f>SUM(S65:W65)</f>
      </c>
      <c r="AB65" s="3">
        <f>AVERAGE(U65:W65)</f>
      </c>
      <c r="AC65" s="3">
        <f>AVERAGE(R65:W65)</f>
      </c>
      <c r="AD65" s="3">
        <f>AVERAGE(O65:W65)</f>
      </c>
      <c r="AE65" s="4">
        <f>IFERROR((AB65*2)/(AC65+AD65), 0)</f>
      </c>
      <c r="AF65" s="4">
        <f>IFERROR(AA65/SUM(G65:K65), 0)</f>
      </c>
      <c r="AG65" s="4">
        <f>IFERROR(AA65/SUM(G65:K65), 0)</f>
      </c>
      <c r="AH65" s="4">
        <f>IFERROR(W65/K65, 0)</f>
      </c>
    </row>
    <row r="66" spans="1:34" x14ac:dyDescent="0.25">
      <c r="A66" s="2">
        <v>39</v>
      </c>
      <c r="B66" s="2" t="s">
        <v>41</v>
      </c>
      <c r="C66" s="2" t="s">
        <v>141</v>
      </c>
      <c r="D66" s="2"/>
      <c r="E66" s="2"/>
      <c r="F66" s="2"/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40960000</v>
      </c>
      <c r="T66" s="3">
        <v>96000000</v>
      </c>
      <c r="U66" s="3">
        <v>0</v>
      </c>
      <c r="V66" s="3">
        <v>0</v>
      </c>
      <c r="W66" s="3">
        <v>0</v>
      </c>
      <c r="X66" s="4"/>
      <c r="Y66" s="4"/>
      <c r="Z66" s="3">
        <f>SUM(G66:R66)</f>
      </c>
      <c r="AA66" s="3">
        <f>SUM(S66:W66)</f>
      </c>
      <c r="AB66" s="3">
        <f>AVERAGE(U66:W66)</f>
      </c>
      <c r="AC66" s="3">
        <f>AVERAGE(R66:W66)</f>
      </c>
      <c r="AD66" s="3">
        <f>AVERAGE(O66:W66)</f>
      </c>
      <c r="AE66" s="4">
        <f>IFERROR((AB66*2)/(AC66+AD66), 0)</f>
      </c>
      <c r="AF66" s="4">
        <f>IFERROR(AA66/SUM(G66:K66), 0)</f>
      </c>
      <c r="AG66" s="4">
        <f>IFERROR(AA66/SUM(G66:K66), 0)</f>
      </c>
      <c r="AH66" s="4">
        <f>IFERROR(W66/K66, 0)</f>
      </c>
    </row>
    <row r="67" spans="1:34" x14ac:dyDescent="0.25">
      <c r="A67" s="2">
        <v>40</v>
      </c>
      <c r="B67" s="2" t="s">
        <v>42</v>
      </c>
      <c r="C67" s="2" t="s">
        <v>141</v>
      </c>
      <c r="D67" s="2"/>
      <c r="E67" s="2"/>
      <c r="F67" s="2"/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10880000</v>
      </c>
      <c r="U67" s="3">
        <v>0</v>
      </c>
      <c r="V67" s="3">
        <v>0</v>
      </c>
      <c r="W67" s="3">
        <v>0</v>
      </c>
      <c r="X67" s="4"/>
      <c r="Y67" s="4"/>
      <c r="Z67" s="3">
        <f>SUM(G67:R67)</f>
      </c>
      <c r="AA67" s="3">
        <f>SUM(S67:W67)</f>
      </c>
      <c r="AB67" s="3">
        <f>AVERAGE(U67:W67)</f>
      </c>
      <c r="AC67" s="3">
        <f>AVERAGE(R67:W67)</f>
      </c>
      <c r="AD67" s="3">
        <f>AVERAGE(O67:W67)</f>
      </c>
      <c r="AE67" s="4">
        <f>IFERROR((AB67*2)/(AC67+AD67), 0)</f>
      </c>
      <c r="AF67" s="4">
        <f>IFERROR(AA67/SUM(G67:K67), 0)</f>
      </c>
      <c r="AG67" s="4">
        <f>IFERROR(AA67/SUM(G67:K67), 0)</f>
      </c>
      <c r="AH67" s="4">
        <f>IFERROR(W67/K67, 0)</f>
      </c>
    </row>
    <row r="68" spans="1:34" x14ac:dyDescent="0.25">
      <c r="A68" s="2">
        <v>41</v>
      </c>
      <c r="B68" s="2" t="s">
        <v>43</v>
      </c>
      <c r="C68" s="2" t="s">
        <v>141</v>
      </c>
      <c r="D68" s="2"/>
      <c r="E68" s="2"/>
      <c r="F68" s="2"/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75264000</v>
      </c>
      <c r="W68" s="3">
        <v>53760000</v>
      </c>
      <c r="X68" s="4"/>
      <c r="Y68" s="4"/>
      <c r="Z68" s="3">
        <f>SUM(G68:R68)</f>
      </c>
      <c r="AA68" s="3">
        <f>SUM(S68:W68)</f>
      </c>
      <c r="AB68" s="3">
        <f>AVERAGE(U68:W68)</f>
      </c>
      <c r="AC68" s="3">
        <f>AVERAGE(R68:W68)</f>
      </c>
      <c r="AD68" s="3">
        <f>AVERAGE(O68:W68)</f>
      </c>
      <c r="AE68" s="4">
        <f>IFERROR((AB68*2)/(AC68+AD68), 0)</f>
      </c>
      <c r="AF68" s="4">
        <f>IFERROR(AA68/SUM(G68:K68), 0)</f>
      </c>
      <c r="AG68" s="4">
        <f>IFERROR(AA68/SUM(G68:K68), 0)</f>
      </c>
      <c r="AH68" s="4">
        <f>IFERROR(W68/K68, 0)</f>
      </c>
    </row>
    <row r="69" spans="1:34" x14ac:dyDescent="0.25">
      <c r="A69" s="2">
        <v>42</v>
      </c>
      <c r="B69" s="2" t="s">
        <v>44</v>
      </c>
      <c r="C69" s="2" t="s">
        <v>141</v>
      </c>
      <c r="D69" s="2"/>
      <c r="E69" s="2"/>
      <c r="F69" s="2"/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40960000</v>
      </c>
      <c r="S69" s="3">
        <v>720000000</v>
      </c>
      <c r="T69" s="3">
        <v>288000000</v>
      </c>
      <c r="U69" s="3">
        <v>0</v>
      </c>
      <c r="V69" s="3">
        <v>0</v>
      </c>
      <c r="W69" s="3">
        <v>0</v>
      </c>
      <c r="X69" s="4"/>
      <c r="Y69" s="4"/>
      <c r="Z69" s="3">
        <f>SUM(G69:R69)</f>
      </c>
      <c r="AA69" s="3">
        <f>SUM(S69:W69)</f>
      </c>
      <c r="AB69" s="3">
        <f>AVERAGE(U69:W69)</f>
      </c>
      <c r="AC69" s="3">
        <f>AVERAGE(R69:W69)</f>
      </c>
      <c r="AD69" s="3">
        <f>AVERAGE(O69:W69)</f>
      </c>
      <c r="AE69" s="4">
        <f>IFERROR((AB69*2)/(AC69+AD69), 0)</f>
      </c>
      <c r="AF69" s="4">
        <f>IFERROR(AA69/SUM(G69:K69), 0)</f>
      </c>
      <c r="AG69" s="4">
        <f>IFERROR(AA69/SUM(G69:K69), 0)</f>
      </c>
      <c r="AH69" s="4">
        <f>IFERROR(W69/K69, 0)</f>
      </c>
    </row>
    <row r="70" spans="1:34" x14ac:dyDescent="0.25">
      <c r="A70" s="2">
        <v>43</v>
      </c>
      <c r="B70" s="2" t="s">
        <v>45</v>
      </c>
      <c r="C70" s="2" t="s">
        <v>141</v>
      </c>
      <c r="D70" s="2"/>
      <c r="E70" s="2"/>
      <c r="F70" s="2"/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53760000</v>
      </c>
      <c r="W70" s="3">
        <v>0</v>
      </c>
      <c r="X70" s="4"/>
      <c r="Y70" s="4"/>
      <c r="Z70" s="3">
        <f>SUM(G70:R70)</f>
      </c>
      <c r="AA70" s="3">
        <f>SUM(S70:W70)</f>
      </c>
      <c r="AB70" s="3">
        <f>AVERAGE(U70:W70)</f>
      </c>
      <c r="AC70" s="3">
        <f>AVERAGE(R70:W70)</f>
      </c>
      <c r="AD70" s="3">
        <f>AVERAGE(O70:W70)</f>
      </c>
      <c r="AE70" s="4">
        <f>IFERROR((AB70*2)/(AC70+AD70), 0)</f>
      </c>
      <c r="AF70" s="4">
        <f>IFERROR(AA70/SUM(G70:K70), 0)</f>
      </c>
      <c r="AG70" s="4">
        <f>IFERROR(AA70/SUM(G70:K70), 0)</f>
      </c>
      <c r="AH70" s="4">
        <f>IFERROR(W70/K70, 0)</f>
      </c>
    </row>
    <row r="71" spans="1:34" x14ac:dyDescent="0.25">
      <c r="A71" s="2">
        <v>44</v>
      </c>
      <c r="B71" s="2" t="s">
        <v>46</v>
      </c>
      <c r="C71" s="2" t="s">
        <v>141</v>
      </c>
      <c r="D71" s="2"/>
      <c r="E71" s="2"/>
      <c r="F71" s="2"/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393600000</v>
      </c>
      <c r="V71" s="3">
        <v>0</v>
      </c>
      <c r="W71" s="3">
        <v>0</v>
      </c>
      <c r="X71" s="4"/>
      <c r="Y71" s="4"/>
      <c r="Z71" s="3">
        <f>SUM(G71:R71)</f>
      </c>
      <c r="AA71" s="3">
        <f>SUM(S71:W71)</f>
      </c>
      <c r="AB71" s="3">
        <f>AVERAGE(U71:W71)</f>
      </c>
      <c r="AC71" s="3">
        <f>AVERAGE(R71:W71)</f>
      </c>
      <c r="AD71" s="3">
        <f>AVERAGE(O71:W71)</f>
      </c>
      <c r="AE71" s="4">
        <f>IFERROR((AB71*2)/(AC71+AD71), 0)</f>
      </c>
      <c r="AF71" s="4">
        <f>IFERROR(AA71/SUM(G71:K71), 0)</f>
      </c>
      <c r="AG71" s="4">
        <f>IFERROR(AA71/SUM(G71:K71), 0)</f>
      </c>
      <c r="AH71" s="4">
        <f>IFERROR(W71/K71, 0)</f>
      </c>
    </row>
    <row r="72" spans="1:34" x14ac:dyDescent="0.25">
      <c r="A72" s="2">
        <v>45</v>
      </c>
      <c r="B72" s="2" t="s">
        <v>47</v>
      </c>
      <c r="C72" s="2" t="s">
        <v>141</v>
      </c>
      <c r="D72" s="2"/>
      <c r="E72" s="2"/>
      <c r="F72" s="2"/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13600000</v>
      </c>
      <c r="S72" s="3">
        <v>40960000</v>
      </c>
      <c r="T72" s="3">
        <v>40960000</v>
      </c>
      <c r="U72" s="3">
        <v>0</v>
      </c>
      <c r="V72" s="3">
        <v>0</v>
      </c>
      <c r="W72" s="3">
        <v>0</v>
      </c>
      <c r="X72" s="4"/>
      <c r="Y72" s="4"/>
      <c r="Z72" s="3">
        <f>SUM(G72:R72)</f>
      </c>
      <c r="AA72" s="3">
        <f>SUM(S72:W72)</f>
      </c>
      <c r="AB72" s="3">
        <f>AVERAGE(U72:W72)</f>
      </c>
      <c r="AC72" s="3">
        <f>AVERAGE(R72:W72)</f>
      </c>
      <c r="AD72" s="3">
        <f>AVERAGE(O72:W72)</f>
      </c>
      <c r="AE72" s="4">
        <f>IFERROR((AB72*2)/(AC72+AD72), 0)</f>
      </c>
      <c r="AF72" s="4">
        <f>IFERROR(AA72/SUM(G72:K72), 0)</f>
      </c>
      <c r="AG72" s="4">
        <f>IFERROR(AA72/SUM(G72:K72), 0)</f>
      </c>
      <c r="AH72" s="4">
        <f>IFERROR(W72/K72, 0)</f>
      </c>
    </row>
    <row r="73" spans="1:34" x14ac:dyDescent="0.25">
      <c r="A73" s="2">
        <v>46</v>
      </c>
      <c r="B73" s="2" t="s">
        <v>48</v>
      </c>
      <c r="C73" s="2" t="s">
        <v>141</v>
      </c>
      <c r="D73" s="2"/>
      <c r="E73" s="2"/>
      <c r="F73" s="2"/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10080000</v>
      </c>
      <c r="W73" s="3">
        <v>0</v>
      </c>
      <c r="X73" s="4"/>
      <c r="Y73" s="4"/>
      <c r="Z73" s="3">
        <f>SUM(G73:R73)</f>
      </c>
      <c r="AA73" s="3">
        <f>SUM(S73:W73)</f>
      </c>
      <c r="AB73" s="3">
        <f>AVERAGE(U73:W73)</f>
      </c>
      <c r="AC73" s="3">
        <f>AVERAGE(R73:W73)</f>
      </c>
      <c r="AD73" s="3">
        <f>AVERAGE(O73:W73)</f>
      </c>
      <c r="AE73" s="4">
        <f>IFERROR((AB73*2)/(AC73+AD73), 0)</f>
      </c>
      <c r="AF73" s="4">
        <f>IFERROR(AA73/SUM(G73:K73), 0)</f>
      </c>
      <c r="AG73" s="4">
        <f>IFERROR(AA73/SUM(G73:K73), 0)</f>
      </c>
      <c r="AH73" s="4">
        <f>IFERROR(W73/K73, 0)</f>
      </c>
    </row>
    <row r="74" spans="1:34" x14ac:dyDescent="0.25">
      <c r="A74" s="2">
        <v>47</v>
      </c>
      <c r="B74" s="2" t="s">
        <v>49</v>
      </c>
      <c r="C74" s="2" t="s">
        <v>141</v>
      </c>
      <c r="D74" s="2"/>
      <c r="E74" s="2"/>
      <c r="F74" s="2"/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20480000</v>
      </c>
      <c r="U74" s="3">
        <v>20480000</v>
      </c>
      <c r="V74" s="3">
        <v>0</v>
      </c>
      <c r="W74" s="3">
        <v>0</v>
      </c>
      <c r="X74" s="4"/>
      <c r="Y74" s="4"/>
      <c r="Z74" s="3">
        <f>SUM(G74:R74)</f>
      </c>
      <c r="AA74" s="3">
        <f>SUM(S74:W74)</f>
      </c>
      <c r="AB74" s="3">
        <f>AVERAGE(U74:W74)</f>
      </c>
      <c r="AC74" s="3">
        <f>AVERAGE(R74:W74)</f>
      </c>
      <c r="AD74" s="3">
        <f>AVERAGE(O74:W74)</f>
      </c>
      <c r="AE74" s="4">
        <f>IFERROR((AB74*2)/(AC74+AD74), 0)</f>
      </c>
      <c r="AF74" s="4">
        <f>IFERROR(AA74/SUM(G74:K74), 0)</f>
      </c>
      <c r="AG74" s="4">
        <f>IFERROR(AA74/SUM(G74:K74), 0)</f>
      </c>
      <c r="AH74" s="4">
        <f>IFERROR(W74/K74, 0)</f>
      </c>
    </row>
    <row r="75" spans="1:34" x14ac:dyDescent="0.25">
      <c r="A75" s="2">
        <v>48</v>
      </c>
      <c r="B75" s="2" t="s">
        <v>50</v>
      </c>
      <c r="C75" s="2" t="s">
        <v>141</v>
      </c>
      <c r="D75" s="2"/>
      <c r="E75" s="2"/>
      <c r="F75" s="2"/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10880000</v>
      </c>
      <c r="T75" s="3">
        <v>0</v>
      </c>
      <c r="U75" s="3">
        <v>10880000</v>
      </c>
      <c r="V75" s="3">
        <v>0</v>
      </c>
      <c r="W75" s="3">
        <v>15072658</v>
      </c>
      <c r="X75" s="4"/>
      <c r="Y75" s="4"/>
      <c r="Z75" s="3">
        <f>SUM(G75:R75)</f>
      </c>
      <c r="AA75" s="3">
        <f>SUM(S75:W75)</f>
      </c>
      <c r="AB75" s="3">
        <f>AVERAGE(U75:W75)</f>
      </c>
      <c r="AC75" s="3">
        <f>AVERAGE(R75:W75)</f>
      </c>
      <c r="AD75" s="3">
        <f>AVERAGE(O75:W75)</f>
      </c>
      <c r="AE75" s="4">
        <f>IFERROR((AB75*2)/(AC75+AD75), 0)</f>
      </c>
      <c r="AF75" s="4">
        <f>IFERROR(AA75/SUM(G75:K75), 0)</f>
      </c>
      <c r="AG75" s="4">
        <f>IFERROR(AA75/SUM(G75:K75), 0)</f>
      </c>
      <c r="AH75" s="4">
        <f>IFERROR(W75/K75, 0)</f>
      </c>
    </row>
    <row r="76" spans="1:34" x14ac:dyDescent="0.25">
      <c r="A76" s="2">
        <v>49</v>
      </c>
      <c r="B76" s="2" t="s">
        <v>51</v>
      </c>
      <c r="C76" s="2" t="s">
        <v>141</v>
      </c>
      <c r="D76" s="2"/>
      <c r="E76" s="2"/>
      <c r="F76" s="2"/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10880000</v>
      </c>
      <c r="T76" s="3">
        <v>41600000</v>
      </c>
      <c r="U76" s="3">
        <v>0</v>
      </c>
      <c r="V76" s="3">
        <v>0</v>
      </c>
      <c r="W76" s="3">
        <v>0</v>
      </c>
      <c r="X76" s="4"/>
      <c r="Y76" s="4"/>
      <c r="Z76" s="3">
        <f>SUM(G76:R76)</f>
      </c>
      <c r="AA76" s="3">
        <f>SUM(S76:W76)</f>
      </c>
      <c r="AB76" s="3">
        <f>AVERAGE(U76:W76)</f>
      </c>
      <c r="AC76" s="3">
        <f>AVERAGE(R76:W76)</f>
      </c>
      <c r="AD76" s="3">
        <f>AVERAGE(O76:W76)</f>
      </c>
      <c r="AE76" s="4">
        <f>IFERROR((AB76*2)/(AC76+AD76), 0)</f>
      </c>
      <c r="AF76" s="4">
        <f>IFERROR(AA76/SUM(G76:K76), 0)</f>
      </c>
      <c r="AG76" s="4">
        <f>IFERROR(AA76/SUM(G76:K76), 0)</f>
      </c>
      <c r="AH76" s="4">
        <f>IFERROR(W76/K76, 0)</f>
      </c>
    </row>
    <row r="77" spans="1:34" x14ac:dyDescent="0.25">
      <c r="A77" s="2">
        <v>50</v>
      </c>
      <c r="B77" s="2" t="s">
        <v>52</v>
      </c>
      <c r="C77" s="2" t="s">
        <v>141</v>
      </c>
      <c r="D77" s="2"/>
      <c r="E77" s="2"/>
      <c r="F77" s="2"/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48000000</v>
      </c>
      <c r="T77" s="3">
        <v>0</v>
      </c>
      <c r="U77" s="3">
        <v>0</v>
      </c>
      <c r="V77" s="3">
        <v>0</v>
      </c>
      <c r="W77" s="3">
        <v>0</v>
      </c>
      <c r="X77" s="4"/>
      <c r="Y77" s="4"/>
      <c r="Z77" s="3">
        <f>SUM(G77:R77)</f>
      </c>
      <c r="AA77" s="3">
        <f>SUM(S77:W77)</f>
      </c>
      <c r="AB77" s="3">
        <f>AVERAGE(U77:W77)</f>
      </c>
      <c r="AC77" s="3">
        <f>AVERAGE(R77:W77)</f>
      </c>
      <c r="AD77" s="3">
        <f>AVERAGE(O77:W77)</f>
      </c>
      <c r="AE77" s="4">
        <f>IFERROR((AB77*2)/(AC77+AD77), 0)</f>
      </c>
      <c r="AF77" s="4">
        <f>IFERROR(AA77/SUM(G77:K77), 0)</f>
      </c>
      <c r="AG77" s="4">
        <f>IFERROR(AA77/SUM(G77:K77), 0)</f>
      </c>
      <c r="AH77" s="4">
        <f>IFERROR(W77/K77, 0)</f>
      </c>
    </row>
    <row r="78" spans="1:34" x14ac:dyDescent="0.25">
      <c r="A78" s="2">
        <v>51</v>
      </c>
      <c r="B78" s="2" t="s">
        <v>53</v>
      </c>
      <c r="C78" s="2" t="s">
        <v>141</v>
      </c>
      <c r="D78" s="2"/>
      <c r="E78" s="2"/>
      <c r="F78" s="2"/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20480000</v>
      </c>
      <c r="U78" s="3">
        <v>0</v>
      </c>
      <c r="V78" s="3">
        <v>53760000</v>
      </c>
      <c r="W78" s="3">
        <v>0</v>
      </c>
      <c r="X78" s="4"/>
      <c r="Y78" s="4"/>
      <c r="Z78" s="3">
        <f>SUM(G78:R78)</f>
      </c>
      <c r="AA78" s="3">
        <f>SUM(S78:W78)</f>
      </c>
      <c r="AB78" s="3">
        <f>AVERAGE(U78:W78)</f>
      </c>
      <c r="AC78" s="3">
        <f>AVERAGE(R78:W78)</f>
      </c>
      <c r="AD78" s="3">
        <f>AVERAGE(O78:W78)</f>
      </c>
      <c r="AE78" s="4">
        <f>IFERROR((AB78*2)/(AC78+AD78), 0)</f>
      </c>
      <c r="AF78" s="4">
        <f>IFERROR(AA78/SUM(G78:K78), 0)</f>
      </c>
      <c r="AG78" s="4">
        <f>IFERROR(AA78/SUM(G78:K78), 0)</f>
      </c>
      <c r="AH78" s="4">
        <f>IFERROR(W78/K78, 0)</f>
      </c>
    </row>
    <row r="79" spans="1:34" x14ac:dyDescent="0.25">
      <c r="A79" s="2">
        <v>52</v>
      </c>
      <c r="B79" s="2" t="s">
        <v>54</v>
      </c>
      <c r="C79" s="2" t="s">
        <v>141</v>
      </c>
      <c r="D79" s="2"/>
      <c r="E79" s="2"/>
      <c r="F79" s="2"/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10880000</v>
      </c>
      <c r="V79" s="3">
        <v>0</v>
      </c>
      <c r="W79" s="3">
        <v>0</v>
      </c>
      <c r="X79" s="4"/>
      <c r="Y79" s="4"/>
      <c r="Z79" s="3">
        <f>SUM(G79:R79)</f>
      </c>
      <c r="AA79" s="3">
        <f>SUM(S79:W79)</f>
      </c>
      <c r="AB79" s="3">
        <f>AVERAGE(U79:W79)</f>
      </c>
      <c r="AC79" s="3">
        <f>AVERAGE(R79:W79)</f>
      </c>
      <c r="AD79" s="3">
        <f>AVERAGE(O79:W79)</f>
      </c>
      <c r="AE79" s="4">
        <f>IFERROR((AB79*2)/(AC79+AD79), 0)</f>
      </c>
      <c r="AF79" s="4">
        <f>IFERROR(AA79/SUM(G79:K79), 0)</f>
      </c>
      <c r="AG79" s="4">
        <f>IFERROR(AA79/SUM(G79:K79), 0)</f>
      </c>
      <c r="AH79" s="4">
        <f>IFERROR(W79/K79, 0)</f>
      </c>
    </row>
    <row r="80" spans="1:34" x14ac:dyDescent="0.25">
      <c r="A80" s="2">
        <v>53</v>
      </c>
      <c r="B80" s="2" t="s">
        <v>55</v>
      </c>
      <c r="C80" s="2" t="s">
        <v>141</v>
      </c>
      <c r="D80" s="2"/>
      <c r="E80" s="2"/>
      <c r="F80" s="2"/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21760000</v>
      </c>
      <c r="S80" s="3">
        <v>20480000</v>
      </c>
      <c r="T80" s="3">
        <v>0</v>
      </c>
      <c r="U80" s="3">
        <v>0</v>
      </c>
      <c r="V80" s="3">
        <v>0</v>
      </c>
      <c r="W80" s="3">
        <v>0</v>
      </c>
      <c r="X80" s="4"/>
      <c r="Y80" s="4"/>
      <c r="Z80" s="3">
        <f>SUM(G80:R80)</f>
      </c>
      <c r="AA80" s="3">
        <f>SUM(S80:W80)</f>
      </c>
      <c r="AB80" s="3">
        <f>AVERAGE(U80:W80)</f>
      </c>
      <c r="AC80" s="3">
        <f>AVERAGE(R80:W80)</f>
      </c>
      <c r="AD80" s="3">
        <f>AVERAGE(O80:W80)</f>
      </c>
      <c r="AE80" s="4">
        <f>IFERROR((AB80*2)/(AC80+AD80), 0)</f>
      </c>
      <c r="AF80" s="4">
        <f>IFERROR(AA80/SUM(G80:K80), 0)</f>
      </c>
      <c r="AG80" s="4">
        <f>IFERROR(AA80/SUM(G80:K80), 0)</f>
      </c>
      <c r="AH80" s="4">
        <f>IFERROR(W80/K80, 0)</f>
      </c>
    </row>
    <row r="81" spans="1:34" x14ac:dyDescent="0.25">
      <c r="A81" s="2">
        <v>54</v>
      </c>
      <c r="B81" s="2" t="s">
        <v>56</v>
      </c>
      <c r="C81" s="2" t="s">
        <v>141</v>
      </c>
      <c r="D81" s="2"/>
      <c r="E81" s="2"/>
      <c r="F81" s="2"/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61440000</v>
      </c>
      <c r="V81" s="3">
        <v>53760000</v>
      </c>
      <c r="W81" s="3">
        <v>0</v>
      </c>
      <c r="X81" s="4"/>
      <c r="Y81" s="4"/>
      <c r="Z81" s="3">
        <f>SUM(G81:R81)</f>
      </c>
      <c r="AA81" s="3">
        <f>SUM(S81:W81)</f>
      </c>
      <c r="AB81" s="3">
        <f>AVERAGE(U81:W81)</f>
      </c>
      <c r="AC81" s="3">
        <f>AVERAGE(R81:W81)</f>
      </c>
      <c r="AD81" s="3">
        <f>AVERAGE(O81:W81)</f>
      </c>
      <c r="AE81" s="4">
        <f>IFERROR((AB81*2)/(AC81+AD81), 0)</f>
      </c>
      <c r="AF81" s="4">
        <f>IFERROR(AA81/SUM(G81:K81), 0)</f>
      </c>
      <c r="AG81" s="4">
        <f>IFERROR(AA81/SUM(G81:K81), 0)</f>
      </c>
      <c r="AH81" s="4">
        <f>IFERROR(W81/K81, 0)</f>
      </c>
    </row>
    <row r="82" spans="1:34" x14ac:dyDescent="0.25">
      <c r="A82" s="2">
        <v>55</v>
      </c>
      <c r="B82" s="2" t="s">
        <v>57</v>
      </c>
      <c r="C82" s="2" t="s">
        <v>141</v>
      </c>
      <c r="D82" s="2"/>
      <c r="E82" s="2"/>
      <c r="F82" s="2"/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20480000</v>
      </c>
      <c r="S82" s="3">
        <v>20480000</v>
      </c>
      <c r="T82" s="3">
        <v>0</v>
      </c>
      <c r="U82" s="3">
        <v>20480000</v>
      </c>
      <c r="V82" s="3">
        <v>22848000</v>
      </c>
      <c r="W82" s="3">
        <v>53760000</v>
      </c>
      <c r="X82" s="4"/>
      <c r="Y82" s="4"/>
      <c r="Z82" s="3">
        <f>SUM(G82:R82)</f>
      </c>
      <c r="AA82" s="3">
        <f>SUM(S82:W82)</f>
      </c>
      <c r="AB82" s="3">
        <f>AVERAGE(U82:W82)</f>
      </c>
      <c r="AC82" s="3">
        <f>AVERAGE(R82:W82)</f>
      </c>
      <c r="AD82" s="3">
        <f>AVERAGE(O82:W82)</f>
      </c>
      <c r="AE82" s="4">
        <f>IFERROR((AB82*2)/(AC82+AD82), 0)</f>
      </c>
      <c r="AF82" s="4">
        <f>IFERROR(AA82/SUM(G82:K82), 0)</f>
      </c>
      <c r="AG82" s="4">
        <f>IFERROR(AA82/SUM(G82:K82), 0)</f>
      </c>
      <c r="AH82" s="4">
        <f>IFERROR(W82/K82, 0)</f>
      </c>
    </row>
    <row r="83" spans="1:34" x14ac:dyDescent="0.25">
      <c r="A83" s="2">
        <v>56</v>
      </c>
      <c r="B83" s="2" t="s">
        <v>58</v>
      </c>
      <c r="C83" s="2" t="s">
        <v>141</v>
      </c>
      <c r="D83" s="2"/>
      <c r="E83" s="2"/>
      <c r="F83" s="2"/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336000000</v>
      </c>
      <c r="T83" s="3">
        <v>192000000</v>
      </c>
      <c r="U83" s="3">
        <v>393600000</v>
      </c>
      <c r="V83" s="3">
        <v>537600000</v>
      </c>
      <c r="W83" s="3">
        <v>645120000</v>
      </c>
      <c r="X83" s="4"/>
      <c r="Y83" s="4"/>
      <c r="Z83" s="3">
        <f>SUM(G83:R83)</f>
      </c>
      <c r="AA83" s="3">
        <f>SUM(S83:W83)</f>
      </c>
      <c r="AB83" s="3">
        <f>AVERAGE(U83:W83)</f>
      </c>
      <c r="AC83" s="3">
        <f>AVERAGE(R83:W83)</f>
      </c>
      <c r="AD83" s="3">
        <f>AVERAGE(O83:W83)</f>
      </c>
      <c r="AE83" s="4">
        <f>IFERROR((AB83*2)/(AC83+AD83), 0)</f>
      </c>
      <c r="AF83" s="4">
        <f>IFERROR(AA83/SUM(G83:K83), 0)</f>
      </c>
      <c r="AG83" s="4">
        <f>IFERROR(AA83/SUM(G83:K83), 0)</f>
      </c>
      <c r="AH83" s="4">
        <f>IFERROR(W83/K83, 0)</f>
      </c>
    </row>
    <row r="84" spans="1:34" x14ac:dyDescent="0.25">
      <c r="A84" s="2">
        <v>57</v>
      </c>
      <c r="B84" s="2" t="s">
        <v>59</v>
      </c>
      <c r="C84" s="2" t="s">
        <v>141</v>
      </c>
      <c r="D84" s="2"/>
      <c r="E84" s="2"/>
      <c r="F84" s="2"/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10880000</v>
      </c>
      <c r="V84" s="3">
        <v>0</v>
      </c>
      <c r="W84" s="3">
        <v>0</v>
      </c>
      <c r="X84" s="4"/>
      <c r="Y84" s="4"/>
      <c r="Z84" s="3">
        <f>SUM(G84:R84)</f>
      </c>
      <c r="AA84" s="3">
        <f>SUM(S84:W84)</f>
      </c>
      <c r="AB84" s="3">
        <f>AVERAGE(U84:W84)</f>
      </c>
      <c r="AC84" s="3">
        <f>AVERAGE(R84:W84)</f>
      </c>
      <c r="AD84" s="3">
        <f>AVERAGE(O84:W84)</f>
      </c>
      <c r="AE84" s="4">
        <f>IFERROR((AB84*2)/(AC84+AD84), 0)</f>
      </c>
      <c r="AF84" s="4">
        <f>IFERROR(AA84/SUM(G84:K84), 0)</f>
      </c>
      <c r="AG84" s="4">
        <f>IFERROR(AA84/SUM(G84:K84), 0)</f>
      </c>
      <c r="AH84" s="4">
        <f>IFERROR(W84/K84, 0)</f>
      </c>
    </row>
    <row r="85" spans="1:34" x14ac:dyDescent="0.25">
      <c r="A85" s="2">
        <v>58</v>
      </c>
      <c r="B85" s="2" t="s">
        <v>60</v>
      </c>
      <c r="C85" s="2" t="s">
        <v>141</v>
      </c>
      <c r="D85" s="2"/>
      <c r="E85" s="2"/>
      <c r="F85" s="2"/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96000000</v>
      </c>
      <c r="T85" s="3">
        <v>0</v>
      </c>
      <c r="U85" s="3">
        <v>0</v>
      </c>
      <c r="V85" s="3">
        <v>0</v>
      </c>
      <c r="W85" s="3">
        <v>0</v>
      </c>
      <c r="X85" s="4"/>
      <c r="Y85" s="4"/>
      <c r="Z85" s="3">
        <f>SUM(G85:R85)</f>
      </c>
      <c r="AA85" s="3">
        <f>SUM(S85:W85)</f>
      </c>
      <c r="AB85" s="3">
        <f>AVERAGE(U85:W85)</f>
      </c>
      <c r="AC85" s="3">
        <f>AVERAGE(R85:W85)</f>
      </c>
      <c r="AD85" s="3">
        <f>AVERAGE(O85:W85)</f>
      </c>
      <c r="AE85" s="4">
        <f>IFERROR((AB85*2)/(AC85+AD85), 0)</f>
      </c>
      <c r="AF85" s="4">
        <f>IFERROR(AA85/SUM(G85:K85), 0)</f>
      </c>
      <c r="AG85" s="4">
        <f>IFERROR(AA85/SUM(G85:K85), 0)</f>
      </c>
      <c r="AH85" s="4">
        <f>IFERROR(W85/K85, 0)</f>
      </c>
    </row>
    <row r="86" spans="1:34" x14ac:dyDescent="0.25">
      <c r="A86" s="2">
        <v>59</v>
      </c>
      <c r="B86" s="2" t="s">
        <v>61</v>
      </c>
      <c r="C86" s="2" t="s">
        <v>141</v>
      </c>
      <c r="D86" s="2"/>
      <c r="E86" s="2"/>
      <c r="F86" s="2"/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10880000</v>
      </c>
      <c r="T86" s="3">
        <v>0</v>
      </c>
      <c r="U86" s="3">
        <v>0</v>
      </c>
      <c r="V86" s="3">
        <v>0</v>
      </c>
      <c r="W86" s="3">
        <v>0</v>
      </c>
      <c r="X86" s="4"/>
      <c r="Y86" s="4"/>
      <c r="Z86" s="3">
        <f>SUM(G86:R86)</f>
      </c>
      <c r="AA86" s="3">
        <f>SUM(S86:W86)</f>
      </c>
      <c r="AB86" s="3">
        <f>AVERAGE(U86:W86)</f>
      </c>
      <c r="AC86" s="3">
        <f>AVERAGE(R86:W86)</f>
      </c>
      <c r="AD86" s="3">
        <f>AVERAGE(O86:W86)</f>
      </c>
      <c r="AE86" s="4">
        <f>IFERROR((AB86*2)/(AC86+AD86), 0)</f>
      </c>
      <c r="AF86" s="4">
        <f>IFERROR(AA86/SUM(G86:K86), 0)</f>
      </c>
      <c r="AG86" s="4">
        <f>IFERROR(AA86/SUM(G86:K86), 0)</f>
      </c>
      <c r="AH86" s="4">
        <f>IFERROR(W86/K86, 0)</f>
      </c>
    </row>
    <row r="87" spans="1:34" x14ac:dyDescent="0.25">
      <c r="A87" s="2">
        <v>60</v>
      </c>
      <c r="B87" s="2" t="s">
        <v>62</v>
      </c>
      <c r="C87" s="2" t="s">
        <v>141</v>
      </c>
      <c r="D87" s="2"/>
      <c r="E87" s="2"/>
      <c r="F87" s="2"/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10880000</v>
      </c>
      <c r="S87" s="3">
        <v>10880000</v>
      </c>
      <c r="T87" s="3">
        <v>0</v>
      </c>
      <c r="U87" s="3">
        <v>0</v>
      </c>
      <c r="V87" s="3">
        <v>0</v>
      </c>
      <c r="W87" s="3">
        <v>0</v>
      </c>
      <c r="X87" s="4"/>
      <c r="Y87" s="4"/>
      <c r="Z87" s="3">
        <f>SUM(G87:R87)</f>
      </c>
      <c r="AA87" s="3">
        <f>SUM(S87:W87)</f>
      </c>
      <c r="AB87" s="3">
        <f>AVERAGE(U87:W87)</f>
      </c>
      <c r="AC87" s="3">
        <f>AVERAGE(R87:W87)</f>
      </c>
      <c r="AD87" s="3">
        <f>AVERAGE(O87:W87)</f>
      </c>
      <c r="AE87" s="4">
        <f>IFERROR((AB87*2)/(AC87+AD87), 0)</f>
      </c>
      <c r="AF87" s="4">
        <f>IFERROR(AA87/SUM(G87:K87), 0)</f>
      </c>
      <c r="AG87" s="4">
        <f>IFERROR(AA87/SUM(G87:K87), 0)</f>
      </c>
      <c r="AH87" s="4">
        <f>IFERROR(W87/K87, 0)</f>
      </c>
    </row>
    <row r="88" spans="1:34" x14ac:dyDescent="0.25">
      <c r="A88" s="2">
        <v>61</v>
      </c>
      <c r="B88" s="2" t="s">
        <v>63</v>
      </c>
      <c r="C88" s="2" t="s">
        <v>141</v>
      </c>
      <c r="D88" s="2"/>
      <c r="E88" s="2"/>
      <c r="F88" s="2"/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15120000</v>
      </c>
      <c r="W88" s="3">
        <v>0</v>
      </c>
      <c r="X88" s="4"/>
      <c r="Y88" s="4"/>
      <c r="Z88" s="3">
        <f>SUM(G88:R88)</f>
      </c>
      <c r="AA88" s="3">
        <f>SUM(S88:W88)</f>
      </c>
      <c r="AB88" s="3">
        <f>AVERAGE(U88:W88)</f>
      </c>
      <c r="AC88" s="3">
        <f>AVERAGE(R88:W88)</f>
      </c>
      <c r="AD88" s="3">
        <f>AVERAGE(O88:W88)</f>
      </c>
      <c r="AE88" s="4">
        <f>IFERROR((AB88*2)/(AC88+AD88), 0)</f>
      </c>
      <c r="AF88" s="4">
        <f>IFERROR(AA88/SUM(G88:K88), 0)</f>
      </c>
      <c r="AG88" s="4">
        <f>IFERROR(AA88/SUM(G88:K88), 0)</f>
      </c>
      <c r="AH88" s="4">
        <f>IFERROR(W88/K88, 0)</f>
      </c>
    </row>
    <row r="89" spans="1:34" x14ac:dyDescent="0.25">
      <c r="A89" s="2">
        <v>62</v>
      </c>
      <c r="B89" s="2" t="s">
        <v>64</v>
      </c>
      <c r="C89" s="2" t="s">
        <v>141</v>
      </c>
      <c r="D89" s="2"/>
      <c r="E89" s="2"/>
      <c r="F89" s="2"/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40960000</v>
      </c>
      <c r="V89" s="3">
        <v>107520000</v>
      </c>
      <c r="W89" s="3">
        <v>0</v>
      </c>
      <c r="X89" s="4"/>
      <c r="Y89" s="4"/>
      <c r="Z89" s="3">
        <f>SUM(G89:R89)</f>
      </c>
      <c r="AA89" s="3">
        <f>SUM(S89:W89)</f>
      </c>
      <c r="AB89" s="3">
        <f>AVERAGE(U89:W89)</f>
      </c>
      <c r="AC89" s="3">
        <f>AVERAGE(R89:W89)</f>
      </c>
      <c r="AD89" s="3">
        <f>AVERAGE(O89:W89)</f>
      </c>
      <c r="AE89" s="4">
        <f>IFERROR((AB89*2)/(AC89+AD89), 0)</f>
      </c>
      <c r="AF89" s="4">
        <f>IFERROR(AA89/SUM(G89:K89), 0)</f>
      </c>
      <c r="AG89" s="4">
        <f>IFERROR(AA89/SUM(G89:K89), 0)</f>
      </c>
      <c r="AH89" s="4">
        <f>IFERROR(W89/K89, 0)</f>
      </c>
    </row>
    <row r="90" spans="1:34" x14ac:dyDescent="0.25">
      <c r="A90" s="2">
        <v>63</v>
      </c>
      <c r="B90" s="2" t="s">
        <v>65</v>
      </c>
      <c r="C90" s="2" t="s">
        <v>141</v>
      </c>
      <c r="D90" s="2"/>
      <c r="E90" s="2"/>
      <c r="F90" s="2"/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40960000</v>
      </c>
      <c r="T90" s="3">
        <v>40355142</v>
      </c>
      <c r="U90" s="3">
        <v>53760000</v>
      </c>
      <c r="V90" s="3">
        <v>0</v>
      </c>
      <c r="W90" s="3">
        <v>0</v>
      </c>
      <c r="X90" s="4"/>
      <c r="Y90" s="4"/>
      <c r="Z90" s="3">
        <f>SUM(G90:R90)</f>
      </c>
      <c r="AA90" s="3">
        <f>SUM(S90:W90)</f>
      </c>
      <c r="AB90" s="3">
        <f>AVERAGE(U90:W90)</f>
      </c>
      <c r="AC90" s="3">
        <f>AVERAGE(R90:W90)</f>
      </c>
      <c r="AD90" s="3">
        <f>AVERAGE(O90:W90)</f>
      </c>
      <c r="AE90" s="4">
        <f>IFERROR((AB90*2)/(AC90+AD90), 0)</f>
      </c>
      <c r="AF90" s="4">
        <f>IFERROR(AA90/SUM(G90:K90), 0)</f>
      </c>
      <c r="AG90" s="4">
        <f>IFERROR(AA90/SUM(G90:K90), 0)</f>
      </c>
      <c r="AH90" s="4">
        <f>IFERROR(W90/K90, 0)</f>
      </c>
    </row>
    <row r="91" spans="1:34" x14ac:dyDescent="0.25">
      <c r="A91" s="2">
        <v>64</v>
      </c>
      <c r="B91" s="2" t="s">
        <v>66</v>
      </c>
      <c r="C91" s="2" t="s">
        <v>141</v>
      </c>
      <c r="D91" s="2"/>
      <c r="E91" s="2"/>
      <c r="F91" s="2"/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53760000</v>
      </c>
      <c r="V91" s="3">
        <v>0</v>
      </c>
      <c r="W91" s="3">
        <v>107520000</v>
      </c>
      <c r="X91" s="4"/>
      <c r="Y91" s="4"/>
      <c r="Z91" s="3">
        <f>SUM(G91:R91)</f>
      </c>
      <c r="AA91" s="3">
        <f>SUM(S91:W91)</f>
      </c>
      <c r="AB91" s="3">
        <f>AVERAGE(U91:W91)</f>
      </c>
      <c r="AC91" s="3">
        <f>AVERAGE(R91:W91)</f>
      </c>
      <c r="AD91" s="3">
        <f>AVERAGE(O91:W91)</f>
      </c>
      <c r="AE91" s="4">
        <f>IFERROR((AB91*2)/(AC91+AD91), 0)</f>
      </c>
      <c r="AF91" s="4">
        <f>IFERROR(AA91/SUM(G91:K91), 0)</f>
      </c>
      <c r="AG91" s="4">
        <f>IFERROR(AA91/SUM(G91:K91), 0)</f>
      </c>
      <c r="AH91" s="4">
        <f>IFERROR(W91/K91, 0)</f>
      </c>
    </row>
    <row r="92" spans="1:34" x14ac:dyDescent="0.25">
      <c r="A92" s="2">
        <v>65</v>
      </c>
      <c r="B92" s="2" t="s">
        <v>67</v>
      </c>
      <c r="C92" s="2" t="s">
        <v>141</v>
      </c>
      <c r="D92" s="2"/>
      <c r="E92" s="2"/>
      <c r="F92" s="2"/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53760000</v>
      </c>
      <c r="W92" s="3">
        <v>53760000</v>
      </c>
      <c r="X92" s="4"/>
      <c r="Y92" s="4"/>
      <c r="Z92" s="3">
        <f>SUM(G92:R92)</f>
      </c>
      <c r="AA92" s="3">
        <f>SUM(S92:W92)</f>
      </c>
      <c r="AB92" s="3">
        <f>AVERAGE(U92:W92)</f>
      </c>
      <c r="AC92" s="3">
        <f>AVERAGE(R92:W92)</f>
      </c>
      <c r="AD92" s="3">
        <f>AVERAGE(O92:W92)</f>
      </c>
      <c r="AE92" s="4">
        <f>IFERROR((AB92*2)/(AC92+AD92), 0)</f>
      </c>
      <c r="AF92" s="4">
        <f>IFERROR(AA92/SUM(G92:K92), 0)</f>
      </c>
      <c r="AG92" s="4">
        <f>IFERROR(AA92/SUM(G92:K92), 0)</f>
      </c>
      <c r="AH92" s="4">
        <f>IFERROR(W92/K92, 0)</f>
      </c>
    </row>
    <row r="93" spans="1:34" x14ac:dyDescent="0.25">
      <c r="A93" s="2">
        <v>66</v>
      </c>
      <c r="B93" s="2" t="s">
        <v>68</v>
      </c>
      <c r="C93" s="2" t="s">
        <v>141</v>
      </c>
      <c r="D93" s="2"/>
      <c r="E93" s="2"/>
      <c r="F93" s="2"/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10880000</v>
      </c>
      <c r="V93" s="3">
        <v>0</v>
      </c>
      <c r="W93" s="3">
        <v>0</v>
      </c>
      <c r="X93" s="4"/>
      <c r="Y93" s="4"/>
      <c r="Z93" s="3">
        <f>SUM(G93:R93)</f>
      </c>
      <c r="AA93" s="3">
        <f>SUM(S93:W93)</f>
      </c>
      <c r="AB93" s="3">
        <f>AVERAGE(U93:W93)</f>
      </c>
      <c r="AC93" s="3">
        <f>AVERAGE(R93:W93)</f>
      </c>
      <c r="AD93" s="3">
        <f>AVERAGE(O93:W93)</f>
      </c>
      <c r="AE93" s="4">
        <f>IFERROR((AB93*2)/(AC93+AD93), 0)</f>
      </c>
      <c r="AF93" s="4">
        <f>IFERROR(AA93/SUM(G93:K93), 0)</f>
      </c>
      <c r="AG93" s="4">
        <f>IFERROR(AA93/SUM(G93:K93), 0)</f>
      </c>
      <c r="AH93" s="4">
        <f>IFERROR(W93/K93, 0)</f>
      </c>
    </row>
    <row r="94" spans="1:34" x14ac:dyDescent="0.25">
      <c r="A94" s="2">
        <v>67</v>
      </c>
      <c r="B94" s="2" t="s">
        <v>69</v>
      </c>
      <c r="C94" s="2" t="s">
        <v>141</v>
      </c>
      <c r="D94" s="2"/>
      <c r="E94" s="2"/>
      <c r="F94" s="2"/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10880000</v>
      </c>
      <c r="T94" s="3">
        <v>30720000</v>
      </c>
      <c r="U94" s="3">
        <v>20480000</v>
      </c>
      <c r="V94" s="3">
        <v>0</v>
      </c>
      <c r="W94" s="3">
        <v>0</v>
      </c>
      <c r="X94" s="4"/>
      <c r="Y94" s="4"/>
      <c r="Z94" s="3">
        <f>SUM(G94:R94)</f>
      </c>
      <c r="AA94" s="3">
        <f>SUM(S94:W94)</f>
      </c>
      <c r="AB94" s="3">
        <f>AVERAGE(U94:W94)</f>
      </c>
      <c r="AC94" s="3">
        <f>AVERAGE(R94:W94)</f>
      </c>
      <c r="AD94" s="3">
        <f>AVERAGE(O94:W94)</f>
      </c>
      <c r="AE94" s="4">
        <f>IFERROR((AB94*2)/(AC94+AD94), 0)</f>
      </c>
      <c r="AF94" s="4">
        <f>IFERROR(AA94/SUM(G94:K94), 0)</f>
      </c>
      <c r="AG94" s="4">
        <f>IFERROR(AA94/SUM(G94:K94), 0)</f>
      </c>
      <c r="AH94" s="4">
        <f>IFERROR(W94/K94, 0)</f>
      </c>
    </row>
    <row r="95" spans="1:34" x14ac:dyDescent="0.25">
      <c r="A95" s="2">
        <v>68</v>
      </c>
      <c r="B95" s="2" t="s">
        <v>70</v>
      </c>
      <c r="C95" s="2" t="s">
        <v>141</v>
      </c>
      <c r="D95" s="2"/>
      <c r="E95" s="2"/>
      <c r="F95" s="2"/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10880000</v>
      </c>
      <c r="T95" s="3">
        <v>0</v>
      </c>
      <c r="U95" s="3">
        <v>0</v>
      </c>
      <c r="V95" s="3">
        <v>0</v>
      </c>
      <c r="W95" s="3">
        <v>0</v>
      </c>
      <c r="X95" s="4"/>
      <c r="Y95" s="4"/>
      <c r="Z95" s="3">
        <f>SUM(G95:R95)</f>
      </c>
      <c r="AA95" s="3">
        <f>SUM(S95:W95)</f>
      </c>
      <c r="AB95" s="3">
        <f>AVERAGE(U95:W95)</f>
      </c>
      <c r="AC95" s="3">
        <f>AVERAGE(R95:W95)</f>
      </c>
      <c r="AD95" s="3">
        <f>AVERAGE(O95:W95)</f>
      </c>
      <c r="AE95" s="4">
        <f>IFERROR((AB95*2)/(AC95+AD95), 0)</f>
      </c>
      <c r="AF95" s="4">
        <f>IFERROR(AA95/SUM(G95:K95), 0)</f>
      </c>
      <c r="AG95" s="4">
        <f>IFERROR(AA95/SUM(G95:K95), 0)</f>
      </c>
      <c r="AH95" s="4">
        <f>IFERROR(W95/K95, 0)</f>
      </c>
    </row>
    <row r="96" spans="1:34" x14ac:dyDescent="0.25">
      <c r="A96" s="2">
        <v>69</v>
      </c>
      <c r="B96" s="2" t="s">
        <v>71</v>
      </c>
      <c r="C96" s="2" t="s">
        <v>141</v>
      </c>
      <c r="D96" s="2"/>
      <c r="E96" s="2"/>
      <c r="F96" s="2"/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10880000</v>
      </c>
      <c r="U96" s="3">
        <v>0</v>
      </c>
      <c r="V96" s="3">
        <v>0</v>
      </c>
      <c r="W96" s="3">
        <v>0</v>
      </c>
      <c r="X96" s="4"/>
      <c r="Y96" s="4"/>
      <c r="Z96" s="3">
        <f>SUM(G96:R96)</f>
      </c>
      <c r="AA96" s="3">
        <f>SUM(S96:W96)</f>
      </c>
      <c r="AB96" s="3">
        <f>AVERAGE(U96:W96)</f>
      </c>
      <c r="AC96" s="3">
        <f>AVERAGE(R96:W96)</f>
      </c>
      <c r="AD96" s="3">
        <f>AVERAGE(O96:W96)</f>
      </c>
      <c r="AE96" s="4">
        <f>IFERROR((AB96*2)/(AC96+AD96), 0)</f>
      </c>
      <c r="AF96" s="4">
        <f>IFERROR(AA96/SUM(G96:K96), 0)</f>
      </c>
      <c r="AG96" s="4">
        <f>IFERROR(AA96/SUM(G96:K96), 0)</f>
      </c>
      <c r="AH96" s="4">
        <f>IFERROR(W96/K96, 0)</f>
      </c>
    </row>
    <row r="97" spans="1:34" x14ac:dyDescent="0.25">
      <c r="A97" s="2">
        <v>70</v>
      </c>
      <c r="B97" s="2" t="s">
        <v>72</v>
      </c>
      <c r="C97" s="2" t="s">
        <v>141</v>
      </c>
      <c r="D97" s="2"/>
      <c r="E97" s="2"/>
      <c r="F97" s="2"/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22848000</v>
      </c>
      <c r="V97" s="3">
        <v>0</v>
      </c>
      <c r="W97" s="3">
        <v>0</v>
      </c>
      <c r="X97" s="4"/>
      <c r="Y97" s="4"/>
      <c r="Z97" s="3">
        <f>SUM(G97:R97)</f>
      </c>
      <c r="AA97" s="3">
        <f>SUM(S97:W97)</f>
      </c>
      <c r="AB97" s="3">
        <f>AVERAGE(U97:W97)</f>
      </c>
      <c r="AC97" s="3">
        <f>AVERAGE(R97:W97)</f>
      </c>
      <c r="AD97" s="3">
        <f>AVERAGE(O97:W97)</f>
      </c>
      <c r="AE97" s="4">
        <f>IFERROR((AB97*2)/(AC97+AD97), 0)</f>
      </c>
      <c r="AF97" s="4">
        <f>IFERROR(AA97/SUM(G97:K97), 0)</f>
      </c>
      <c r="AG97" s="4">
        <f>IFERROR(AA97/SUM(G97:K97), 0)</f>
      </c>
      <c r="AH97" s="4">
        <f>IFERROR(W97/K97, 0)</f>
      </c>
    </row>
    <row r="98" spans="1:34" x14ac:dyDescent="0.25">
      <c r="A98" s="2">
        <v>71</v>
      </c>
      <c r="B98" s="2" t="s">
        <v>73</v>
      </c>
      <c r="C98" s="2" t="s">
        <v>141</v>
      </c>
      <c r="D98" s="2"/>
      <c r="E98" s="2"/>
      <c r="F98" s="2"/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20480000</v>
      </c>
      <c r="T98" s="3">
        <v>0</v>
      </c>
      <c r="U98" s="3">
        <v>20480000</v>
      </c>
      <c r="V98" s="3">
        <v>0</v>
      </c>
      <c r="W98" s="3">
        <v>0</v>
      </c>
      <c r="X98" s="4"/>
      <c r="Y98" s="4"/>
      <c r="Z98" s="3">
        <f>SUM(G98:R98)</f>
      </c>
      <c r="AA98" s="3">
        <f>SUM(S98:W98)</f>
      </c>
      <c r="AB98" s="3">
        <f>AVERAGE(U98:W98)</f>
      </c>
      <c r="AC98" s="3">
        <f>AVERAGE(R98:W98)</f>
      </c>
      <c r="AD98" s="3">
        <f>AVERAGE(O98:W98)</f>
      </c>
      <c r="AE98" s="4">
        <f>IFERROR((AB98*2)/(AC98+AD98), 0)</f>
      </c>
      <c r="AF98" s="4">
        <f>IFERROR(AA98/SUM(G98:K98), 0)</f>
      </c>
      <c r="AG98" s="4">
        <f>IFERROR(AA98/SUM(G98:K98), 0)</f>
      </c>
      <c r="AH98" s="4">
        <f>IFERROR(W98/K98, 0)</f>
      </c>
    </row>
    <row r="99" spans="1:34" x14ac:dyDescent="0.25">
      <c r="A99" s="2">
        <v>72</v>
      </c>
      <c r="B99" s="2" t="s">
        <v>74</v>
      </c>
      <c r="C99" s="2" t="s">
        <v>141</v>
      </c>
      <c r="D99" s="2"/>
      <c r="E99" s="2"/>
      <c r="F99" s="2"/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10080000</v>
      </c>
      <c r="X99" s="4"/>
      <c r="Y99" s="4"/>
      <c r="Z99" s="3">
        <f>SUM(G99:R99)</f>
      </c>
      <c r="AA99" s="3">
        <f>SUM(S99:W99)</f>
      </c>
      <c r="AB99" s="3">
        <f>AVERAGE(U99:W99)</f>
      </c>
      <c r="AC99" s="3">
        <f>AVERAGE(R99:W99)</f>
      </c>
      <c r="AD99" s="3">
        <f>AVERAGE(O99:W99)</f>
      </c>
      <c r="AE99" s="4">
        <f>IFERROR((AB99*2)/(AC99+AD99), 0)</f>
      </c>
      <c r="AF99" s="4">
        <f>IFERROR(AA99/SUM(G99:K99), 0)</f>
      </c>
      <c r="AG99" s="4">
        <f>IFERROR(AA99/SUM(G99:K99), 0)</f>
      </c>
      <c r="AH99" s="4">
        <f>IFERROR(W99/K99, 0)</f>
      </c>
    </row>
    <row r="100" spans="1:34" x14ac:dyDescent="0.25">
      <c r="A100" s="2">
        <v>73</v>
      </c>
      <c r="B100" s="2" t="s">
        <v>75</v>
      </c>
      <c r="C100" s="2" t="s">
        <v>141</v>
      </c>
      <c r="D100" s="2"/>
      <c r="E100" s="2"/>
      <c r="F100" s="2"/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81920000</v>
      </c>
      <c r="T100" s="3">
        <v>39548707</v>
      </c>
      <c r="U100" s="3">
        <v>145786257</v>
      </c>
      <c r="V100" s="3">
        <v>0</v>
      </c>
      <c r="W100" s="3">
        <v>53760000</v>
      </c>
      <c r="X100" s="4"/>
      <c r="Y100" s="4"/>
      <c r="Z100" s="3">
        <f>SUM(G100:R100)</f>
      </c>
      <c r="AA100" s="3">
        <f>SUM(S100:W100)</f>
      </c>
      <c r="AB100" s="3">
        <f>AVERAGE(U100:W100)</f>
      </c>
      <c r="AC100" s="3">
        <f>AVERAGE(R100:W100)</f>
      </c>
      <c r="AD100" s="3">
        <f>AVERAGE(O100:W100)</f>
      </c>
      <c r="AE100" s="4">
        <f>IFERROR((AB100*2)/(AC100+AD100), 0)</f>
      </c>
      <c r="AF100" s="4">
        <f>IFERROR(AA100/SUM(G100:K100), 0)</f>
      </c>
      <c r="AG100" s="4">
        <f>IFERROR(AA100/SUM(G100:K100), 0)</f>
      </c>
      <c r="AH100" s="4">
        <f>IFERROR(W100/K100, 0)</f>
      </c>
    </row>
    <row r="101" spans="1:34" x14ac:dyDescent="0.25">
      <c r="A101" s="2">
        <v>74</v>
      </c>
      <c r="B101" s="2" t="s">
        <v>76</v>
      </c>
      <c r="C101" s="2" t="s">
        <v>141</v>
      </c>
      <c r="D101" s="2"/>
      <c r="E101" s="2"/>
      <c r="F101" s="2"/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20480000</v>
      </c>
      <c r="T101" s="3">
        <v>10880000</v>
      </c>
      <c r="U101" s="3">
        <v>30720000</v>
      </c>
      <c r="V101" s="3">
        <v>26544000</v>
      </c>
      <c r="W101" s="3">
        <v>14869337</v>
      </c>
      <c r="X101" s="4"/>
      <c r="Y101" s="4"/>
      <c r="Z101" s="3">
        <f>SUM(G101:R101)</f>
      </c>
      <c r="AA101" s="3">
        <f>SUM(S101:W101)</f>
      </c>
      <c r="AB101" s="3">
        <f>AVERAGE(U101:W101)</f>
      </c>
      <c r="AC101" s="3">
        <f>AVERAGE(R101:W101)</f>
      </c>
      <c r="AD101" s="3">
        <f>AVERAGE(O101:W101)</f>
      </c>
      <c r="AE101" s="4">
        <f>IFERROR((AB101*2)/(AC101+AD101), 0)</f>
      </c>
      <c r="AF101" s="4">
        <f>IFERROR(AA101/SUM(G101:K101), 0)</f>
      </c>
      <c r="AG101" s="4">
        <f>IFERROR(AA101/SUM(G101:K101), 0)</f>
      </c>
      <c r="AH101" s="4">
        <f>IFERROR(W101/K101, 0)</f>
      </c>
    </row>
    <row r="102" spans="1:34" x14ac:dyDescent="0.25">
      <c r="A102" s="2">
        <v>75</v>
      </c>
      <c r="B102" s="2" t="s">
        <v>77</v>
      </c>
      <c r="C102" s="2" t="s">
        <v>141</v>
      </c>
      <c r="D102" s="2"/>
      <c r="E102" s="2"/>
      <c r="F102" s="2"/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10880000</v>
      </c>
      <c r="S102" s="3">
        <v>0</v>
      </c>
      <c r="T102" s="3">
        <v>10880000</v>
      </c>
      <c r="U102" s="3">
        <v>0</v>
      </c>
      <c r="V102" s="3">
        <v>0</v>
      </c>
      <c r="W102" s="3">
        <v>0</v>
      </c>
      <c r="X102" s="4"/>
      <c r="Y102" s="4"/>
      <c r="Z102" s="3">
        <f>SUM(G102:R102)</f>
      </c>
      <c r="AA102" s="3">
        <f>SUM(S102:W102)</f>
      </c>
      <c r="AB102" s="3">
        <f>AVERAGE(U102:W102)</f>
      </c>
      <c r="AC102" s="3">
        <f>AVERAGE(R102:W102)</f>
      </c>
      <c r="AD102" s="3">
        <f>AVERAGE(O102:W102)</f>
      </c>
      <c r="AE102" s="4">
        <f>IFERROR((AB102*2)/(AC102+AD102), 0)</f>
      </c>
      <c r="AF102" s="4">
        <f>IFERROR(AA102/SUM(G102:K102), 0)</f>
      </c>
      <c r="AG102" s="4">
        <f>IFERROR(AA102/SUM(G102:K102), 0)</f>
      </c>
      <c r="AH102" s="4">
        <f>IFERROR(W102/K102, 0)</f>
      </c>
    </row>
    <row r="103" spans="1:34" x14ac:dyDescent="0.25">
      <c r="A103" s="2">
        <v>76</v>
      </c>
      <c r="B103" s="2" t="s">
        <v>78</v>
      </c>
      <c r="C103" s="2" t="s">
        <v>141</v>
      </c>
      <c r="D103" s="2"/>
      <c r="E103" s="2"/>
      <c r="F103" s="2"/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20480000</v>
      </c>
      <c r="V103" s="3">
        <v>0</v>
      </c>
      <c r="W103" s="3">
        <v>0</v>
      </c>
      <c r="X103" s="4"/>
      <c r="Y103" s="4"/>
      <c r="Z103" s="3">
        <f>SUM(G103:R103)</f>
      </c>
      <c r="AA103" s="3">
        <f>SUM(S103:W103)</f>
      </c>
      <c r="AB103" s="3">
        <f>AVERAGE(U103:W103)</f>
      </c>
      <c r="AC103" s="3">
        <f>AVERAGE(R103:W103)</f>
      </c>
      <c r="AD103" s="3">
        <f>AVERAGE(O103:W103)</f>
      </c>
      <c r="AE103" s="4">
        <f>IFERROR((AB103*2)/(AC103+AD103), 0)</f>
      </c>
      <c r="AF103" s="4">
        <f>IFERROR(AA103/SUM(G103:K103), 0)</f>
      </c>
      <c r="AG103" s="4">
        <f>IFERROR(AA103/SUM(G103:K103), 0)</f>
      </c>
      <c r="AH103" s="4">
        <f>IFERROR(W103/K103, 0)</f>
      </c>
    </row>
    <row r="104" spans="1:34" x14ac:dyDescent="0.25">
      <c r="A104" s="2">
        <v>77</v>
      </c>
      <c r="B104" s="2" t="s">
        <v>79</v>
      </c>
      <c r="C104" s="2" t="s">
        <v>141</v>
      </c>
      <c r="D104" s="2"/>
      <c r="E104" s="2"/>
      <c r="F104" s="2"/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71680000</v>
      </c>
      <c r="T104" s="3">
        <v>0</v>
      </c>
      <c r="U104" s="3">
        <v>0</v>
      </c>
      <c r="V104" s="3">
        <v>0</v>
      </c>
      <c r="W104" s="3">
        <v>0</v>
      </c>
      <c r="X104" s="4"/>
      <c r="Y104" s="4"/>
      <c r="Z104" s="3">
        <f>SUM(G104:R104)</f>
      </c>
      <c r="AA104" s="3">
        <f>SUM(S104:W104)</f>
      </c>
      <c r="AB104" s="3">
        <f>AVERAGE(U104:W104)</f>
      </c>
      <c r="AC104" s="3">
        <f>AVERAGE(R104:W104)</f>
      </c>
      <c r="AD104" s="3">
        <f>AVERAGE(O104:W104)</f>
      </c>
      <c r="AE104" s="4">
        <f>IFERROR((AB104*2)/(AC104+AD104), 0)</f>
      </c>
      <c r="AF104" s="4">
        <f>IFERROR(AA104/SUM(G104:K104), 0)</f>
      </c>
      <c r="AG104" s="4">
        <f>IFERROR(AA104/SUM(G104:K104), 0)</f>
      </c>
      <c r="AH104" s="4">
        <f>IFERROR(W104/K104, 0)</f>
      </c>
    </row>
    <row r="105" spans="1:34" x14ac:dyDescent="0.25">
      <c r="A105" s="2">
        <v>78</v>
      </c>
      <c r="B105" s="2" t="s">
        <v>80</v>
      </c>
      <c r="C105" s="2" t="s">
        <v>141</v>
      </c>
      <c r="D105" s="2"/>
      <c r="E105" s="2"/>
      <c r="F105" s="2"/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234240000</v>
      </c>
      <c r="S105" s="3">
        <v>190720000</v>
      </c>
      <c r="T105" s="3">
        <v>71680000</v>
      </c>
      <c r="U105" s="3">
        <v>32640000</v>
      </c>
      <c r="V105" s="3">
        <v>196560000</v>
      </c>
      <c r="W105" s="3">
        <v>0</v>
      </c>
      <c r="X105" s="4"/>
      <c r="Y105" s="4"/>
      <c r="Z105" s="3">
        <f>SUM(G105:R105)</f>
      </c>
      <c r="AA105" s="3">
        <f>SUM(S105:W105)</f>
      </c>
      <c r="AB105" s="3">
        <f>AVERAGE(U105:W105)</f>
      </c>
      <c r="AC105" s="3">
        <f>AVERAGE(R105:W105)</f>
      </c>
      <c r="AD105" s="3">
        <f>AVERAGE(O105:W105)</f>
      </c>
      <c r="AE105" s="4">
        <f>IFERROR((AB105*2)/(AC105+AD105), 0)</f>
      </c>
      <c r="AF105" s="4">
        <f>IFERROR(AA105/SUM(G105:K105), 0)</f>
      </c>
      <c r="AG105" s="4">
        <f>IFERROR(AA105/SUM(G105:K105), 0)</f>
      </c>
      <c r="AH105" s="4">
        <f>IFERROR(W105/K105, 0)</f>
      </c>
    </row>
    <row r="106" spans="1:34" x14ac:dyDescent="0.25">
      <c r="A106" s="2">
        <v>79</v>
      </c>
      <c r="B106" s="2" t="s">
        <v>82</v>
      </c>
      <c r="C106" s="2" t="s">
        <v>141</v>
      </c>
      <c r="D106" s="2"/>
      <c r="E106" s="2"/>
      <c r="F106" s="2"/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10880000</v>
      </c>
      <c r="V106" s="3">
        <v>11424000</v>
      </c>
      <c r="W106" s="3">
        <v>0</v>
      </c>
      <c r="X106" s="4"/>
      <c r="Y106" s="4"/>
      <c r="Z106" s="3">
        <f>SUM(G106:R106)</f>
      </c>
      <c r="AA106" s="3">
        <f>SUM(S106:W106)</f>
      </c>
      <c r="AB106" s="3">
        <f>AVERAGE(U106:W106)</f>
      </c>
      <c r="AC106" s="3">
        <f>AVERAGE(R106:W106)</f>
      </c>
      <c r="AD106" s="3">
        <f>AVERAGE(O106:W106)</f>
      </c>
      <c r="AE106" s="4">
        <f>IFERROR((AB106*2)/(AC106+AD106), 0)</f>
      </c>
      <c r="AF106" s="4">
        <f>IFERROR(AA106/SUM(G106:K106), 0)</f>
      </c>
      <c r="AG106" s="4">
        <f>IFERROR(AA106/SUM(G106:K106), 0)</f>
      </c>
      <c r="AH106" s="4">
        <f>IFERROR(W106/K106, 0)</f>
      </c>
    </row>
    <row r="107" spans="1:34" x14ac:dyDescent="0.25">
      <c r="A107" s="2">
        <v>80</v>
      </c>
      <c r="B107" s="2" t="s">
        <v>83</v>
      </c>
      <c r="C107" s="2" t="s">
        <v>141</v>
      </c>
      <c r="D107" s="2"/>
      <c r="E107" s="2"/>
      <c r="F107" s="2"/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30720000</v>
      </c>
      <c r="T107" s="3">
        <v>0</v>
      </c>
      <c r="U107" s="3">
        <v>0</v>
      </c>
      <c r="V107" s="3">
        <v>0</v>
      </c>
      <c r="W107" s="3">
        <v>0</v>
      </c>
      <c r="X107" s="4"/>
      <c r="Y107" s="4"/>
      <c r="Z107" s="3">
        <f>SUM(G107:R107)</f>
      </c>
      <c r="AA107" s="3">
        <f>SUM(S107:W107)</f>
      </c>
      <c r="AB107" s="3">
        <f>AVERAGE(U107:W107)</f>
      </c>
      <c r="AC107" s="3">
        <f>AVERAGE(R107:W107)</f>
      </c>
      <c r="AD107" s="3">
        <f>AVERAGE(O107:W107)</f>
      </c>
      <c r="AE107" s="4">
        <f>IFERROR((AB107*2)/(AC107+AD107), 0)</f>
      </c>
      <c r="AF107" s="4">
        <f>IFERROR(AA107/SUM(G107:K107), 0)</f>
      </c>
      <c r="AG107" s="4">
        <f>IFERROR(AA107/SUM(G107:K107), 0)</f>
      </c>
      <c r="AH107" s="4">
        <f>IFERROR(W107/K107, 0)</f>
      </c>
    </row>
    <row r="108" spans="1:34" x14ac:dyDescent="0.25">
      <c r="A108" s="2">
        <v>81</v>
      </c>
      <c r="B108" s="2" t="s">
        <v>84</v>
      </c>
      <c r="C108" s="2" t="s">
        <v>141</v>
      </c>
      <c r="D108" s="2"/>
      <c r="E108" s="2"/>
      <c r="F108" s="2"/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96000000</v>
      </c>
      <c r="V108" s="3">
        <v>0</v>
      </c>
      <c r="W108" s="3">
        <v>0</v>
      </c>
      <c r="X108" s="4"/>
      <c r="Y108" s="4"/>
      <c r="Z108" s="3">
        <f>SUM(G108:R108)</f>
      </c>
      <c r="AA108" s="3">
        <f>SUM(S108:W108)</f>
      </c>
      <c r="AB108" s="3">
        <f>AVERAGE(U108:W108)</f>
      </c>
      <c r="AC108" s="3">
        <f>AVERAGE(R108:W108)</f>
      </c>
      <c r="AD108" s="3">
        <f>AVERAGE(O108:W108)</f>
      </c>
      <c r="AE108" s="4">
        <f>IFERROR((AB108*2)/(AC108+AD108), 0)</f>
      </c>
      <c r="AF108" s="4">
        <f>IFERROR(AA108/SUM(G108:K108), 0)</f>
      </c>
      <c r="AG108" s="4">
        <f>IFERROR(AA108/SUM(G108:K108), 0)</f>
      </c>
      <c r="AH108" s="4">
        <f>IFERROR(W108/K108, 0)</f>
      </c>
    </row>
    <row r="109" spans="1:34" x14ac:dyDescent="0.25">
      <c r="A109" s="2">
        <v>82</v>
      </c>
      <c r="B109" s="2" t="s">
        <v>85</v>
      </c>
      <c r="C109" s="2" t="s">
        <v>141</v>
      </c>
      <c r="D109" s="2"/>
      <c r="E109" s="2"/>
      <c r="F109" s="2"/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30720000</v>
      </c>
      <c r="V109" s="3">
        <v>0</v>
      </c>
      <c r="W109" s="3">
        <v>53760000</v>
      </c>
      <c r="X109" s="4"/>
      <c r="Y109" s="4"/>
      <c r="Z109" s="3">
        <f>SUM(G109:R109)</f>
      </c>
      <c r="AA109" s="3">
        <f>SUM(S109:W109)</f>
      </c>
      <c r="AB109" s="3">
        <f>AVERAGE(U109:W109)</f>
      </c>
      <c r="AC109" s="3">
        <f>AVERAGE(R109:W109)</f>
      </c>
      <c r="AD109" s="3">
        <f>AVERAGE(O109:W109)</f>
      </c>
      <c r="AE109" s="4">
        <f>IFERROR((AB109*2)/(AC109+AD109), 0)</f>
      </c>
      <c r="AF109" s="4">
        <f>IFERROR(AA109/SUM(G109:K109), 0)</f>
      </c>
      <c r="AG109" s="4">
        <f>IFERROR(AA109/SUM(G109:K109), 0)</f>
      </c>
      <c r="AH109" s="4">
        <f>IFERROR(W109/K109, 0)</f>
      </c>
    </row>
    <row r="110" spans="1:34" x14ac:dyDescent="0.25">
      <c r="A110" s="2">
        <v>83</v>
      </c>
      <c r="B110" s="2" t="s">
        <v>86</v>
      </c>
      <c r="C110" s="2" t="s">
        <v>141</v>
      </c>
      <c r="D110" s="2"/>
      <c r="E110" s="2"/>
      <c r="F110" s="2"/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10880000</v>
      </c>
      <c r="V110" s="3">
        <v>0</v>
      </c>
      <c r="W110" s="3">
        <v>0</v>
      </c>
      <c r="X110" s="4"/>
      <c r="Y110" s="4"/>
      <c r="Z110" s="3">
        <f>SUM(G110:R110)</f>
      </c>
      <c r="AA110" s="3">
        <f>SUM(S110:W110)</f>
      </c>
      <c r="AB110" s="3">
        <f>AVERAGE(U110:W110)</f>
      </c>
      <c r="AC110" s="3">
        <f>AVERAGE(R110:W110)</f>
      </c>
      <c r="AD110" s="3">
        <f>AVERAGE(O110:W110)</f>
      </c>
      <c r="AE110" s="4">
        <f>IFERROR((AB110*2)/(AC110+AD110), 0)</f>
      </c>
      <c r="AF110" s="4">
        <f>IFERROR(AA110/SUM(G110:K110), 0)</f>
      </c>
      <c r="AG110" s="4">
        <f>IFERROR(AA110/SUM(G110:K110), 0)</f>
      </c>
      <c r="AH110" s="4">
        <f>IFERROR(W110/K110, 0)</f>
      </c>
    </row>
    <row r="111" spans="1:34" x14ac:dyDescent="0.25">
      <c r="A111" s="2">
        <v>84</v>
      </c>
      <c r="B111" s="2" t="s">
        <v>87</v>
      </c>
      <c r="C111" s="2" t="s">
        <v>141</v>
      </c>
      <c r="D111" s="2"/>
      <c r="E111" s="2"/>
      <c r="F111" s="2"/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10880000</v>
      </c>
      <c r="V111" s="3">
        <v>0</v>
      </c>
      <c r="W111" s="3">
        <v>0</v>
      </c>
      <c r="X111" s="4"/>
      <c r="Y111" s="4"/>
      <c r="Z111" s="3">
        <f>SUM(G111:R111)</f>
      </c>
      <c r="AA111" s="3">
        <f>SUM(S111:W111)</f>
      </c>
      <c r="AB111" s="3">
        <f>AVERAGE(U111:W111)</f>
      </c>
      <c r="AC111" s="3">
        <f>AVERAGE(R111:W111)</f>
      </c>
      <c r="AD111" s="3">
        <f>AVERAGE(O111:W111)</f>
      </c>
      <c r="AE111" s="4">
        <f>IFERROR((AB111*2)/(AC111+AD111), 0)</f>
      </c>
      <c r="AF111" s="4">
        <f>IFERROR(AA111/SUM(G111:K111), 0)</f>
      </c>
      <c r="AG111" s="4">
        <f>IFERROR(AA111/SUM(G111:K111), 0)</f>
      </c>
      <c r="AH111" s="4">
        <f>IFERROR(W111/K111, 0)</f>
      </c>
    </row>
    <row r="112" spans="1:34" x14ac:dyDescent="0.25">
      <c r="A112" s="2">
        <v>85</v>
      </c>
      <c r="B112" s="2" t="s">
        <v>88</v>
      </c>
      <c r="C112" s="2" t="s">
        <v>141</v>
      </c>
      <c r="D112" s="2"/>
      <c r="E112" s="2"/>
      <c r="F112" s="2"/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20480000</v>
      </c>
      <c r="U112" s="3">
        <v>0</v>
      </c>
      <c r="V112" s="3">
        <v>0</v>
      </c>
      <c r="W112" s="3">
        <v>0</v>
      </c>
      <c r="X112" s="4"/>
      <c r="Y112" s="4"/>
      <c r="Z112" s="3">
        <f>SUM(G112:R112)</f>
      </c>
      <c r="AA112" s="3">
        <f>SUM(S112:W112)</f>
      </c>
      <c r="AB112" s="3">
        <f>AVERAGE(U112:W112)</f>
      </c>
      <c r="AC112" s="3">
        <f>AVERAGE(R112:W112)</f>
      </c>
      <c r="AD112" s="3">
        <f>AVERAGE(O112:W112)</f>
      </c>
      <c r="AE112" s="4">
        <f>IFERROR((AB112*2)/(AC112+AD112), 0)</f>
      </c>
      <c r="AF112" s="4">
        <f>IFERROR(AA112/SUM(G112:K112), 0)</f>
      </c>
      <c r="AG112" s="4">
        <f>IFERROR(AA112/SUM(G112:K112), 0)</f>
      </c>
      <c r="AH112" s="4">
        <f>IFERROR(W112/K112, 0)</f>
      </c>
    </row>
    <row r="113" spans="1:34" x14ac:dyDescent="0.25">
      <c r="A113" s="2">
        <v>86</v>
      </c>
      <c r="B113" s="2" t="s">
        <v>89</v>
      </c>
      <c r="C113" s="2" t="s">
        <v>141</v>
      </c>
      <c r="D113" s="2"/>
      <c r="E113" s="2"/>
      <c r="F113" s="2"/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2016000</v>
      </c>
      <c r="W113" s="3">
        <v>0</v>
      </c>
      <c r="X113" s="4"/>
      <c r="Y113" s="4"/>
      <c r="Z113" s="3">
        <f>SUM(G113:R113)</f>
      </c>
      <c r="AA113" s="3">
        <f>SUM(S113:W113)</f>
      </c>
      <c r="AB113" s="3">
        <f>AVERAGE(U113:W113)</f>
      </c>
      <c r="AC113" s="3">
        <f>AVERAGE(R113:W113)</f>
      </c>
      <c r="AD113" s="3">
        <f>AVERAGE(O113:W113)</f>
      </c>
      <c r="AE113" s="4">
        <f>IFERROR((AB113*2)/(AC113+AD113), 0)</f>
      </c>
      <c r="AF113" s="4">
        <f>IFERROR(AA113/SUM(G113:K113), 0)</f>
      </c>
      <c r="AG113" s="4">
        <f>IFERROR(AA113/SUM(G113:K113), 0)</f>
      </c>
      <c r="AH113" s="4">
        <f>IFERROR(W113/K113, 0)</f>
      </c>
    </row>
    <row r="114" spans="1:34" x14ac:dyDescent="0.25">
      <c r="A114" s="2">
        <v>87</v>
      </c>
      <c r="B114" s="2" t="s">
        <v>90</v>
      </c>
      <c r="C114" s="2" t="s">
        <v>141</v>
      </c>
      <c r="D114" s="2"/>
      <c r="E114" s="2"/>
      <c r="F114" s="2"/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20480000</v>
      </c>
      <c r="T114" s="3">
        <v>20480000</v>
      </c>
      <c r="U114" s="3">
        <v>0</v>
      </c>
      <c r="V114" s="3">
        <v>0</v>
      </c>
      <c r="W114" s="3">
        <v>0</v>
      </c>
      <c r="X114" s="4"/>
      <c r="Y114" s="4"/>
      <c r="Z114" s="3">
        <f>SUM(G114:R114)</f>
      </c>
      <c r="AA114" s="3">
        <f>SUM(S114:W114)</f>
      </c>
      <c r="AB114" s="3">
        <f>AVERAGE(U114:W114)</f>
      </c>
      <c r="AC114" s="3">
        <f>AVERAGE(R114:W114)</f>
      </c>
      <c r="AD114" s="3">
        <f>AVERAGE(O114:W114)</f>
      </c>
      <c r="AE114" s="4">
        <f>IFERROR((AB114*2)/(AC114+AD114), 0)</f>
      </c>
      <c r="AF114" s="4">
        <f>IFERROR(AA114/SUM(G114:K114), 0)</f>
      </c>
      <c r="AG114" s="4">
        <f>IFERROR(AA114/SUM(G114:K114), 0)</f>
      </c>
      <c r="AH114" s="4">
        <f>IFERROR(W114/K114, 0)</f>
      </c>
    </row>
    <row r="115" spans="1:34" x14ac:dyDescent="0.25">
      <c r="A115" s="2">
        <v>88</v>
      </c>
      <c r="B115" s="2" t="s">
        <v>91</v>
      </c>
      <c r="C115" s="2" t="s">
        <v>141</v>
      </c>
      <c r="D115" s="2"/>
      <c r="E115" s="2"/>
      <c r="F115" s="2"/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10080000</v>
      </c>
      <c r="X115" s="4"/>
      <c r="Y115" s="4"/>
      <c r="Z115" s="3">
        <f>SUM(G115:R115)</f>
      </c>
      <c r="AA115" s="3">
        <f>SUM(S115:W115)</f>
      </c>
      <c r="AB115" s="3">
        <f>AVERAGE(U115:W115)</f>
      </c>
      <c r="AC115" s="3">
        <f>AVERAGE(R115:W115)</f>
      </c>
      <c r="AD115" s="3">
        <f>AVERAGE(O115:W115)</f>
      </c>
      <c r="AE115" s="4">
        <f>IFERROR((AB115*2)/(AC115+AD115), 0)</f>
      </c>
      <c r="AF115" s="4">
        <f>IFERROR(AA115/SUM(G115:K115), 0)</f>
      </c>
      <c r="AG115" s="4">
        <f>IFERROR(AA115/SUM(G115:K115), 0)</f>
      </c>
      <c r="AH115" s="4">
        <f>IFERROR(W115/K115, 0)</f>
      </c>
    </row>
    <row r="116" spans="1:34" x14ac:dyDescent="0.25">
      <c r="A116" s="2">
        <v>89</v>
      </c>
      <c r="B116" s="2" t="s">
        <v>93</v>
      </c>
      <c r="C116" s="2" t="s">
        <v>141</v>
      </c>
      <c r="D116" s="2"/>
      <c r="E116" s="2"/>
      <c r="F116" s="2"/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30720000</v>
      </c>
      <c r="T116" s="3">
        <v>0</v>
      </c>
      <c r="U116" s="3">
        <v>0</v>
      </c>
      <c r="V116" s="3">
        <v>0</v>
      </c>
      <c r="W116" s="3">
        <v>0</v>
      </c>
      <c r="X116" s="4"/>
      <c r="Y116" s="4"/>
      <c r="Z116" s="3">
        <f>SUM(G116:R116)</f>
      </c>
      <c r="AA116" s="3">
        <f>SUM(S116:W116)</f>
      </c>
      <c r="AB116" s="3">
        <f>AVERAGE(U116:W116)</f>
      </c>
      <c r="AC116" s="3">
        <f>AVERAGE(R116:W116)</f>
      </c>
      <c r="AD116" s="3">
        <f>AVERAGE(O116:W116)</f>
      </c>
      <c r="AE116" s="4">
        <f>IFERROR((AB116*2)/(AC116+AD116), 0)</f>
      </c>
      <c r="AF116" s="4">
        <f>IFERROR(AA116/SUM(G116:K116), 0)</f>
      </c>
      <c r="AG116" s="4">
        <f>IFERROR(AA116/SUM(G116:K116), 0)</f>
      </c>
      <c r="AH116" s="4">
        <f>IFERROR(W116/K116, 0)</f>
      </c>
    </row>
    <row r="117" spans="1:34" x14ac:dyDescent="0.25">
      <c r="A117" s="2">
        <v>90</v>
      </c>
      <c r="B117" s="2" t="s">
        <v>94</v>
      </c>
      <c r="C117" s="2" t="s">
        <v>141</v>
      </c>
      <c r="D117" s="2"/>
      <c r="E117" s="2"/>
      <c r="F117" s="2"/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10880000</v>
      </c>
      <c r="S117" s="3">
        <v>0</v>
      </c>
      <c r="T117" s="3">
        <v>0</v>
      </c>
      <c r="U117" s="3">
        <v>10880000</v>
      </c>
      <c r="V117" s="3">
        <v>0</v>
      </c>
      <c r="W117" s="3">
        <v>0</v>
      </c>
      <c r="X117" s="4"/>
      <c r="Y117" s="4"/>
      <c r="Z117" s="3">
        <f>SUM(G117:R117)</f>
      </c>
      <c r="AA117" s="3">
        <f>SUM(S117:W117)</f>
      </c>
      <c r="AB117" s="3">
        <f>AVERAGE(U117:W117)</f>
      </c>
      <c r="AC117" s="3">
        <f>AVERAGE(R117:W117)</f>
      </c>
      <c r="AD117" s="3">
        <f>AVERAGE(O117:W117)</f>
      </c>
      <c r="AE117" s="4">
        <f>IFERROR((AB117*2)/(AC117+AD117), 0)</f>
      </c>
      <c r="AF117" s="4">
        <f>IFERROR(AA117/SUM(G117:K117), 0)</f>
      </c>
      <c r="AG117" s="4">
        <f>IFERROR(AA117/SUM(G117:K117), 0)</f>
      </c>
      <c r="AH117" s="4">
        <f>IFERROR(W117/K117, 0)</f>
      </c>
    </row>
    <row r="118" spans="1:34" x14ac:dyDescent="0.25">
      <c r="A118" s="2">
        <v>91</v>
      </c>
      <c r="B118" s="2" t="s">
        <v>95</v>
      </c>
      <c r="C118" s="2" t="s">
        <v>141</v>
      </c>
      <c r="D118" s="2"/>
      <c r="E118" s="2"/>
      <c r="F118" s="2"/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20480000</v>
      </c>
      <c r="U118" s="3">
        <v>0</v>
      </c>
      <c r="V118" s="3">
        <v>0</v>
      </c>
      <c r="W118" s="3">
        <v>0</v>
      </c>
      <c r="X118" s="4"/>
      <c r="Y118" s="4"/>
      <c r="Z118" s="3">
        <f>SUM(G118:R118)</f>
      </c>
      <c r="AA118" s="3">
        <f>SUM(S118:W118)</f>
      </c>
      <c r="AB118" s="3">
        <f>AVERAGE(U118:W118)</f>
      </c>
      <c r="AC118" s="3">
        <f>AVERAGE(R118:W118)</f>
      </c>
      <c r="AD118" s="3">
        <f>AVERAGE(O118:W118)</f>
      </c>
      <c r="AE118" s="4">
        <f>IFERROR((AB118*2)/(AC118+AD118), 0)</f>
      </c>
      <c r="AF118" s="4">
        <f>IFERROR(AA118/SUM(G118:K118), 0)</f>
      </c>
      <c r="AG118" s="4">
        <f>IFERROR(AA118/SUM(G118:K118), 0)</f>
      </c>
      <c r="AH118" s="4">
        <f>IFERROR(W118/K118, 0)</f>
      </c>
    </row>
    <row r="119" spans="1:34" x14ac:dyDescent="0.25">
      <c r="A119" s="2">
        <v>92</v>
      </c>
      <c r="B119" s="2" t="s">
        <v>96</v>
      </c>
      <c r="C119" s="2" t="s">
        <v>141</v>
      </c>
      <c r="D119" s="2"/>
      <c r="E119" s="2"/>
      <c r="F119" s="2"/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10880000</v>
      </c>
      <c r="U119" s="3">
        <v>0</v>
      </c>
      <c r="V119" s="3">
        <v>0</v>
      </c>
      <c r="W119" s="3">
        <v>215040000</v>
      </c>
      <c r="X119" s="4"/>
      <c r="Y119" s="4"/>
      <c r="Z119" s="3">
        <f>SUM(G119:R119)</f>
      </c>
      <c r="AA119" s="3">
        <f>SUM(S119:W119)</f>
      </c>
      <c r="AB119" s="3">
        <f>AVERAGE(U119:W119)</f>
      </c>
      <c r="AC119" s="3">
        <f>AVERAGE(R119:W119)</f>
      </c>
      <c r="AD119" s="3">
        <f>AVERAGE(O119:W119)</f>
      </c>
      <c r="AE119" s="4">
        <f>IFERROR((AB119*2)/(AC119+AD119), 0)</f>
      </c>
      <c r="AF119" s="4">
        <f>IFERROR(AA119/SUM(G119:K119), 0)</f>
      </c>
      <c r="AG119" s="4">
        <f>IFERROR(AA119/SUM(G119:K119), 0)</f>
      </c>
      <c r="AH119" s="4">
        <f>IFERROR(W119/K119, 0)</f>
      </c>
    </row>
    <row r="120" spans="1:34" x14ac:dyDescent="0.25">
      <c r="A120" s="2">
        <v>93</v>
      </c>
      <c r="B120" s="2" t="s">
        <v>97</v>
      </c>
      <c r="C120" s="2" t="s">
        <v>141</v>
      </c>
      <c r="D120" s="2"/>
      <c r="E120" s="2"/>
      <c r="F120" s="2"/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20480000</v>
      </c>
      <c r="T120" s="3">
        <v>0</v>
      </c>
      <c r="U120" s="3">
        <v>0</v>
      </c>
      <c r="V120" s="3">
        <v>0</v>
      </c>
      <c r="W120" s="3">
        <v>0</v>
      </c>
      <c r="X120" s="4"/>
      <c r="Y120" s="4"/>
      <c r="Z120" s="3">
        <f>SUM(G120:R120)</f>
      </c>
      <c r="AA120" s="3">
        <f>SUM(S120:W120)</f>
      </c>
      <c r="AB120" s="3">
        <f>AVERAGE(U120:W120)</f>
      </c>
      <c r="AC120" s="3">
        <f>AVERAGE(R120:W120)</f>
      </c>
      <c r="AD120" s="3">
        <f>AVERAGE(O120:W120)</f>
      </c>
      <c r="AE120" s="4">
        <f>IFERROR((AB120*2)/(AC120+AD120), 0)</f>
      </c>
      <c r="AF120" s="4">
        <f>IFERROR(AA120/SUM(G120:K120), 0)</f>
      </c>
      <c r="AG120" s="4">
        <f>IFERROR(AA120/SUM(G120:K120), 0)</f>
      </c>
      <c r="AH120" s="4">
        <f>IFERROR(W120/K120, 0)</f>
      </c>
    </row>
    <row r="121" spans="1:34" x14ac:dyDescent="0.25">
      <c r="A121" s="2">
        <v>94</v>
      </c>
      <c r="B121" s="2" t="s">
        <v>98</v>
      </c>
      <c r="C121" s="2" t="s">
        <v>141</v>
      </c>
      <c r="D121" s="2"/>
      <c r="E121" s="2"/>
      <c r="F121" s="2"/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10880000</v>
      </c>
      <c r="U121" s="3">
        <v>0</v>
      </c>
      <c r="V121" s="3">
        <v>0</v>
      </c>
      <c r="W121" s="3">
        <v>0</v>
      </c>
      <c r="X121" s="4"/>
      <c r="Y121" s="4"/>
      <c r="Z121" s="3">
        <f>SUM(G121:R121)</f>
      </c>
      <c r="AA121" s="3">
        <f>SUM(S121:W121)</f>
      </c>
      <c r="AB121" s="3">
        <f>AVERAGE(U121:W121)</f>
      </c>
      <c r="AC121" s="3">
        <f>AVERAGE(R121:W121)</f>
      </c>
      <c r="AD121" s="3">
        <f>AVERAGE(O121:W121)</f>
      </c>
      <c r="AE121" s="4">
        <f>IFERROR((AB121*2)/(AC121+AD121), 0)</f>
      </c>
      <c r="AF121" s="4">
        <f>IFERROR(AA121/SUM(G121:K121), 0)</f>
      </c>
      <c r="AG121" s="4">
        <f>IFERROR(AA121/SUM(G121:K121), 0)</f>
      </c>
      <c r="AH121" s="4">
        <f>IFERROR(W121/K121, 0)</f>
      </c>
    </row>
    <row r="122" spans="1:34" x14ac:dyDescent="0.25">
      <c r="A122" s="2">
        <v>95</v>
      </c>
      <c r="B122" s="2" t="s">
        <v>99</v>
      </c>
      <c r="C122" s="2" t="s">
        <v>141</v>
      </c>
      <c r="D122" s="2"/>
      <c r="E122" s="2"/>
      <c r="F122" s="2"/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40960000</v>
      </c>
      <c r="V122" s="3">
        <v>0</v>
      </c>
      <c r="W122" s="3">
        <v>0</v>
      </c>
      <c r="X122" s="4"/>
      <c r="Y122" s="4"/>
      <c r="Z122" s="3">
        <f>SUM(G122:R122)</f>
      </c>
      <c r="AA122" s="3">
        <f>SUM(S122:W122)</f>
      </c>
      <c r="AB122" s="3">
        <f>AVERAGE(U122:W122)</f>
      </c>
      <c r="AC122" s="3">
        <f>AVERAGE(R122:W122)</f>
      </c>
      <c r="AD122" s="3">
        <f>AVERAGE(O122:W122)</f>
      </c>
      <c r="AE122" s="4">
        <f>IFERROR((AB122*2)/(AC122+AD122), 0)</f>
      </c>
      <c r="AF122" s="4">
        <f>IFERROR(AA122/SUM(G122:K122), 0)</f>
      </c>
      <c r="AG122" s="4">
        <f>IFERROR(AA122/SUM(G122:K122), 0)</f>
      </c>
      <c r="AH122" s="4">
        <f>IFERROR(W122/K122, 0)</f>
      </c>
    </row>
    <row r="123" spans="1:34" x14ac:dyDescent="0.25">
      <c r="A123" s="2">
        <v>96</v>
      </c>
      <c r="B123" s="2" t="s">
        <v>100</v>
      </c>
      <c r="C123" s="2" t="s">
        <v>141</v>
      </c>
      <c r="D123" s="2"/>
      <c r="E123" s="2"/>
      <c r="F123" s="2"/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53760000</v>
      </c>
      <c r="W123" s="3">
        <v>0</v>
      </c>
      <c r="X123" s="4"/>
      <c r="Y123" s="4"/>
      <c r="Z123" s="3">
        <f>SUM(G123:R123)</f>
      </c>
      <c r="AA123" s="3">
        <f>SUM(S123:W123)</f>
      </c>
      <c r="AB123" s="3">
        <f>AVERAGE(U123:W123)</f>
      </c>
      <c r="AC123" s="3">
        <f>AVERAGE(R123:W123)</f>
      </c>
      <c r="AD123" s="3">
        <f>AVERAGE(O123:W123)</f>
      </c>
      <c r="AE123" s="4">
        <f>IFERROR((AB123*2)/(AC123+AD123), 0)</f>
      </c>
      <c r="AF123" s="4">
        <f>IFERROR(AA123/SUM(G123:K123), 0)</f>
      </c>
      <c r="AG123" s="4">
        <f>IFERROR(AA123/SUM(G123:K123), 0)</f>
      </c>
      <c r="AH123" s="4">
        <f>IFERROR(W123/K123, 0)</f>
      </c>
    </row>
    <row r="124" spans="1:34" x14ac:dyDescent="0.25">
      <c r="A124" s="2">
        <v>97</v>
      </c>
      <c r="B124" s="2" t="s">
        <v>101</v>
      </c>
      <c r="C124" s="2" t="s">
        <v>141</v>
      </c>
      <c r="D124" s="2"/>
      <c r="E124" s="2"/>
      <c r="F124" s="2"/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40960000</v>
      </c>
      <c r="T124" s="3">
        <v>20480000</v>
      </c>
      <c r="U124" s="3">
        <v>0</v>
      </c>
      <c r="V124" s="3">
        <v>0</v>
      </c>
      <c r="W124" s="3">
        <v>0</v>
      </c>
      <c r="X124" s="4"/>
      <c r="Y124" s="4"/>
      <c r="Z124" s="3">
        <f>SUM(G124:R124)</f>
      </c>
      <c r="AA124" s="3">
        <f>SUM(S124:W124)</f>
      </c>
      <c r="AB124" s="3">
        <f>AVERAGE(U124:W124)</f>
      </c>
      <c r="AC124" s="3">
        <f>AVERAGE(R124:W124)</f>
      </c>
      <c r="AD124" s="3">
        <f>AVERAGE(O124:W124)</f>
      </c>
      <c r="AE124" s="4">
        <f>IFERROR((AB124*2)/(AC124+AD124), 0)</f>
      </c>
      <c r="AF124" s="4">
        <f>IFERROR(AA124/SUM(G124:K124), 0)</f>
      </c>
      <c r="AG124" s="4">
        <f>IFERROR(AA124/SUM(G124:K124), 0)</f>
      </c>
      <c r="AH124" s="4">
        <f>IFERROR(W124/K124, 0)</f>
      </c>
    </row>
    <row r="125" spans="1:34" x14ac:dyDescent="0.25">
      <c r="A125" s="2">
        <v>98</v>
      </c>
      <c r="B125" s="2" t="s">
        <v>102</v>
      </c>
      <c r="C125" s="2" t="s">
        <v>141</v>
      </c>
      <c r="D125" s="2"/>
      <c r="E125" s="2"/>
      <c r="F125" s="2"/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10880000</v>
      </c>
      <c r="T125" s="3">
        <v>0</v>
      </c>
      <c r="U125" s="3">
        <v>0</v>
      </c>
      <c r="V125" s="3">
        <v>0</v>
      </c>
      <c r="W125" s="3">
        <v>0</v>
      </c>
      <c r="X125" s="4"/>
      <c r="Y125" s="4"/>
      <c r="Z125" s="3">
        <f>SUM(G125:R125)</f>
      </c>
      <c r="AA125" s="3">
        <f>SUM(S125:W125)</f>
      </c>
      <c r="AB125" s="3">
        <f>AVERAGE(U125:W125)</f>
      </c>
      <c r="AC125" s="3">
        <f>AVERAGE(R125:W125)</f>
      </c>
      <c r="AD125" s="3">
        <f>AVERAGE(O125:W125)</f>
      </c>
      <c r="AE125" s="4">
        <f>IFERROR((AB125*2)/(AC125+AD125), 0)</f>
      </c>
      <c r="AF125" s="4">
        <f>IFERROR(AA125/SUM(G125:K125), 0)</f>
      </c>
      <c r="AG125" s="4">
        <f>IFERROR(AA125/SUM(G125:K125), 0)</f>
      </c>
      <c r="AH125" s="4">
        <f>IFERROR(W125/K125, 0)</f>
      </c>
    </row>
    <row r="126" spans="1:34" x14ac:dyDescent="0.25">
      <c r="A126" s="2">
        <v>99</v>
      </c>
      <c r="B126" s="2" t="s">
        <v>103</v>
      </c>
      <c r="C126" s="2" t="s">
        <v>141</v>
      </c>
      <c r="D126" s="2"/>
      <c r="E126" s="2"/>
      <c r="F126" s="2"/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10080000</v>
      </c>
      <c r="W126" s="3">
        <v>0</v>
      </c>
      <c r="X126" s="4"/>
      <c r="Y126" s="4"/>
      <c r="Z126" s="3">
        <f>SUM(G126:R126)</f>
      </c>
      <c r="AA126" s="3">
        <f>SUM(S126:W126)</f>
      </c>
      <c r="AB126" s="3">
        <f>AVERAGE(U126:W126)</f>
      </c>
      <c r="AC126" s="3">
        <f>AVERAGE(R126:W126)</f>
      </c>
      <c r="AD126" s="3">
        <f>AVERAGE(O126:W126)</f>
      </c>
      <c r="AE126" s="4">
        <f>IFERROR((AB126*2)/(AC126+AD126), 0)</f>
      </c>
      <c r="AF126" s="4">
        <f>IFERROR(AA126/SUM(G126:K126), 0)</f>
      </c>
      <c r="AG126" s="4">
        <f>IFERROR(AA126/SUM(G126:K126), 0)</f>
      </c>
      <c r="AH126" s="4">
        <f>IFERROR(W126/K126, 0)</f>
      </c>
    </row>
    <row r="127" spans="1:34" x14ac:dyDescent="0.25">
      <c r="A127" s="2">
        <v>100</v>
      </c>
      <c r="B127" s="2" t="s">
        <v>104</v>
      </c>
      <c r="C127" s="2" t="s">
        <v>141</v>
      </c>
      <c r="D127" s="2"/>
      <c r="E127" s="2"/>
      <c r="F127" s="2"/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10880000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4"/>
      <c r="Y127" s="4"/>
      <c r="Z127" s="3">
        <f>SUM(G127:R127)</f>
      </c>
      <c r="AA127" s="3">
        <f>SUM(S127:W127)</f>
      </c>
      <c r="AB127" s="3">
        <f>AVERAGE(U127:W127)</f>
      </c>
      <c r="AC127" s="3">
        <f>AVERAGE(R127:W127)</f>
      </c>
      <c r="AD127" s="3">
        <f>AVERAGE(O127:W127)</f>
      </c>
      <c r="AE127" s="4">
        <f>IFERROR((AB127*2)/(AC127+AD127), 0)</f>
      </c>
      <c r="AF127" s="4">
        <f>IFERROR(AA127/SUM(G127:K127), 0)</f>
      </c>
      <c r="AG127" s="4">
        <f>IFERROR(AA127/SUM(G127:K127), 0)</f>
      </c>
      <c r="AH127" s="4">
        <f>IFERROR(W127/K127, 0)</f>
      </c>
    </row>
    <row r="128" spans="1:34" x14ac:dyDescent="0.25">
      <c r="A128" s="2">
        <v>101</v>
      </c>
      <c r="B128" s="2" t="s">
        <v>105</v>
      </c>
      <c r="C128" s="2" t="s">
        <v>141</v>
      </c>
      <c r="D128" s="2"/>
      <c r="E128" s="2"/>
      <c r="F128" s="2"/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20480000</v>
      </c>
      <c r="U128" s="3">
        <v>0</v>
      </c>
      <c r="V128" s="3">
        <v>0</v>
      </c>
      <c r="W128" s="3">
        <v>0</v>
      </c>
      <c r="X128" s="4"/>
      <c r="Y128" s="4"/>
      <c r="Z128" s="3">
        <f>SUM(G128:R128)</f>
      </c>
      <c r="AA128" s="3">
        <f>SUM(S128:W128)</f>
      </c>
      <c r="AB128" s="3">
        <f>AVERAGE(U128:W128)</f>
      </c>
      <c r="AC128" s="3">
        <f>AVERAGE(R128:W128)</f>
      </c>
      <c r="AD128" s="3">
        <f>AVERAGE(O128:W128)</f>
      </c>
      <c r="AE128" s="4">
        <f>IFERROR((AB128*2)/(AC128+AD128), 0)</f>
      </c>
      <c r="AF128" s="4">
        <f>IFERROR(AA128/SUM(G128:K128), 0)</f>
      </c>
      <c r="AG128" s="4">
        <f>IFERROR(AA128/SUM(G128:K128), 0)</f>
      </c>
      <c r="AH128" s="4">
        <f>IFERROR(W128/K128, 0)</f>
      </c>
    </row>
    <row r="129" spans="1:34" x14ac:dyDescent="0.25">
      <c r="A129" s="2">
        <v>102</v>
      </c>
      <c r="B129" s="2" t="s">
        <v>106</v>
      </c>
      <c r="C129" s="2" t="s">
        <v>141</v>
      </c>
      <c r="D129" s="2"/>
      <c r="E129" s="2"/>
      <c r="F129" s="2"/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20480000</v>
      </c>
      <c r="T129" s="3">
        <v>10880000</v>
      </c>
      <c r="U129" s="3">
        <v>0</v>
      </c>
      <c r="V129" s="3">
        <v>0</v>
      </c>
      <c r="W129" s="3">
        <v>0</v>
      </c>
      <c r="X129" s="4"/>
      <c r="Y129" s="4"/>
      <c r="Z129" s="3">
        <f>SUM(G129:R129)</f>
      </c>
      <c r="AA129" s="3">
        <f>SUM(S129:W129)</f>
      </c>
      <c r="AB129" s="3">
        <f>AVERAGE(U129:W129)</f>
      </c>
      <c r="AC129" s="3">
        <f>AVERAGE(R129:W129)</f>
      </c>
      <c r="AD129" s="3">
        <f>AVERAGE(O129:W129)</f>
      </c>
      <c r="AE129" s="4">
        <f>IFERROR((AB129*2)/(AC129+AD129), 0)</f>
      </c>
      <c r="AF129" s="4">
        <f>IFERROR(AA129/SUM(G129:K129), 0)</f>
      </c>
      <c r="AG129" s="4">
        <f>IFERROR(AA129/SUM(G129:K129), 0)</f>
      </c>
      <c r="AH129" s="4">
        <f>IFERROR(W129/K129, 0)</f>
      </c>
    </row>
    <row r="130" spans="1:34" x14ac:dyDescent="0.25">
      <c r="A130" s="5"/>
      <c r="B130" s="5" t="s">
        <v>160</v>
      </c>
      <c r="C130" s="5"/>
      <c r="D130" s="5"/>
      <c r="E130" s="5"/>
      <c r="F130" s="5"/>
      <c r="G130" s="6">
        <f>SUM(G28:G129)</f>
      </c>
      <c r="H130" s="6">
        <f>SUM(H28:H129)</f>
      </c>
      <c r="I130" s="6">
        <f>SUM(I28:I129)</f>
      </c>
      <c r="J130" s="6">
        <f>SUM(J28:J129)</f>
      </c>
      <c r="K130" s="6">
        <f>SUM(K28:K129)</f>
      </c>
      <c r="L130" s="6">
        <f>SUM(L28:L129)</f>
      </c>
      <c r="M130" s="6">
        <f>SUM(M28:M129)</f>
      </c>
      <c r="N130" s="6">
        <f>SUM(N28:N129)</f>
      </c>
      <c r="O130" s="6">
        <f>SUM(O28:O129)</f>
      </c>
      <c r="P130" s="6">
        <f>SUM(P28:P129)</f>
      </c>
      <c r="Q130" s="6">
        <f>SUM(Q28:Q129)</f>
      </c>
      <c r="R130" s="6">
        <f>SUM(R28:R129)</f>
      </c>
      <c r="S130" s="6">
        <f>SUM(S28:S129)</f>
      </c>
      <c r="T130" s="6">
        <f>SUM(T28:T129)</f>
      </c>
      <c r="U130" s="6">
        <f>SUM(U28:U129)</f>
      </c>
      <c r="V130" s="6">
        <f>SUM(V28:V129)</f>
      </c>
      <c r="W130" s="6">
        <f>SUM(W28:W129)</f>
      </c>
      <c r="X130" s="7"/>
      <c r="Y130" s="7"/>
      <c r="Z130" s="6">
        <f>SUM(Z28:Z129)</f>
      </c>
      <c r="AA130" s="6">
        <f>SUM(AA28:AA129)</f>
      </c>
      <c r="AB130" s="6">
        <f>SUM(AB28:AB129)</f>
      </c>
      <c r="AC130" s="6">
        <f>SUM(AC28:AC129)</f>
      </c>
      <c r="AD130" s="6">
        <f>SUM(AD28:AD129)</f>
      </c>
      <c r="AE130" s="7">
        <f>IFERROR((AB130*2)/(AC130+AD130), 0)</f>
      </c>
      <c r="AF130" s="7">
        <f>IFERROR(AA130/SUM(G130:K130), 0)</f>
      </c>
      <c r="AG130" s="7">
        <f>IFERROR(AA130/SUM(G130:K130), 0)</f>
      </c>
      <c r="AH130" s="7">
        <f>IFERROR(W130/K130, 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50" customWidth="1"/>
    <col min="3" max="18" width="14" customWidth="1"/>
    <col min="19" max="19" width="5" customWidth="1"/>
    <col min="20" max="20" width="14" customWidth="1"/>
    <col min="21" max="22" width="16" customWidth="1"/>
    <col min="23" max="30" width="12" customWidth="1"/>
  </cols>
  <sheetData>
    <row r="1" ht="14.25" customHeight="1" spans="2:30" x14ac:dyDescent="0.25">
      <c r="B1">
        <v>1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T1">
        <v>43</v>
      </c>
      <c r="U1">
        <v>47</v>
      </c>
      <c r="W1">
        <v>48</v>
      </c>
      <c r="X1">
        <v>49</v>
      </c>
      <c r="Y1">
        <v>50</v>
      </c>
      <c r="Z1">
        <v>51</v>
      </c>
      <c r="AA1">
        <v>52</v>
      </c>
      <c r="AB1">
        <v>53</v>
      </c>
      <c r="AC1">
        <v>54</v>
      </c>
      <c r="AD1" t="s">
        <v>161</v>
      </c>
    </row>
    <row r="2" ht="24" customHeight="1" spans="1:29" x14ac:dyDescent="0.25">
      <c r="A2" s="1" t="s">
        <v>162</v>
      </c>
      <c r="B2" s="1" t="s">
        <v>163</v>
      </c>
      <c r="C2" s="1" t="s">
        <v>108</v>
      </c>
      <c r="D2" s="1" t="s">
        <v>109</v>
      </c>
      <c r="E2" s="1" t="s">
        <v>110</v>
      </c>
      <c r="F2" s="1" t="s">
        <v>111</v>
      </c>
      <c r="G2" s="1" t="s">
        <v>112</v>
      </c>
      <c r="H2" s="1" t="s">
        <v>113</v>
      </c>
      <c r="I2" s="1" t="s">
        <v>114</v>
      </c>
      <c r="J2" s="1" t="s">
        <v>115</v>
      </c>
      <c r="K2" s="1" t="s">
        <v>116</v>
      </c>
      <c r="L2" s="1" t="s">
        <v>117</v>
      </c>
      <c r="M2" s="1" t="s">
        <v>118</v>
      </c>
      <c r="N2" s="1" t="s">
        <v>119</v>
      </c>
      <c r="O2" s="1" t="s">
        <v>120</v>
      </c>
      <c r="P2" s="1" t="s">
        <v>121</v>
      </c>
      <c r="Q2" s="1" t="s">
        <v>122</v>
      </c>
      <c r="R2" s="1" t="s">
        <v>123</v>
      </c>
      <c r="S2" s="1" t="s">
        <v>124</v>
      </c>
      <c r="T2" s="1"/>
      <c r="U2" s="1">
        <v>2025</v>
      </c>
      <c r="V2" s="1">
        <v>2026</v>
      </c>
      <c r="W2" s="1" t="s">
        <v>125</v>
      </c>
      <c r="X2" s="1" t="s">
        <v>126</v>
      </c>
      <c r="Y2" s="1" t="s">
        <v>127</v>
      </c>
      <c r="Z2" s="1" t="s">
        <v>128</v>
      </c>
      <c r="AA2" s="1" t="s">
        <v>129</v>
      </c>
      <c r="AB2" s="1" t="s">
        <v>130</v>
      </c>
      <c r="AC2" s="1" t="s">
        <v>131</v>
      </c>
    </row>
    <row r="3" spans="1:29" x14ac:dyDescent="0.25">
      <c r="A3" s="2">
        <v>0</v>
      </c>
      <c r="B3" s="2" t="s">
        <v>3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1764</v>
      </c>
      <c r="O3" s="8">
        <v>9257</v>
      </c>
      <c r="P3" s="8">
        <v>7953</v>
      </c>
      <c r="Q3" s="8">
        <v>15740</v>
      </c>
      <c r="R3" s="8">
        <v>4757</v>
      </c>
      <c r="S3" s="2">
        <v>4333</v>
      </c>
      <c r="T3" s="2"/>
      <c r="U3" s="8">
        <v>1764</v>
      </c>
      <c r="V3" s="8">
        <v>42040</v>
      </c>
      <c r="W3" s="8">
        <v>8276.666666666666</v>
      </c>
      <c r="X3" s="8">
        <v>7300.666666666667</v>
      </c>
      <c r="Y3" s="8">
        <v>4867.111111111111</v>
      </c>
      <c r="Z3" s="4">
        <v>1.3604237055976622</v>
      </c>
      <c r="AA3" s="4">
        <v>0</v>
      </c>
      <c r="AB3" s="4">
        <v>0</v>
      </c>
      <c r="AC3" s="4">
        <v>0</v>
      </c>
    </row>
    <row r="4" spans="1:29" x14ac:dyDescent="0.25">
      <c r="A4" s="5"/>
      <c r="B4" s="5" t="s">
        <v>164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1764</v>
      </c>
      <c r="O4" s="9">
        <v>9257</v>
      </c>
      <c r="P4" s="9">
        <v>7953</v>
      </c>
      <c r="Q4" s="9">
        <v>15740</v>
      </c>
      <c r="R4" s="9">
        <v>4757</v>
      </c>
      <c r="S4" s="5">
        <v>4333</v>
      </c>
      <c r="T4" s="5"/>
      <c r="U4" s="9">
        <v>1764</v>
      </c>
      <c r="V4" s="9">
        <v>42040</v>
      </c>
      <c r="W4" s="9">
        <v>8276.666666666666</v>
      </c>
      <c r="X4" s="9">
        <v>7300.666666666667</v>
      </c>
      <c r="Y4" s="9">
        <v>4867.111111111111</v>
      </c>
      <c r="Z4" s="7">
        <v>1.3604237055976622</v>
      </c>
      <c r="AA4" s="7">
        <v>0</v>
      </c>
      <c r="AB4" s="7">
        <v>0</v>
      </c>
      <c r="AC4" s="7">
        <v>0</v>
      </c>
    </row>
    <row r="5" ht="14.25" customHeight="1" spans="2:30" x14ac:dyDescent="0.25">
      <c r="B5">
        <v>1</v>
      </c>
      <c r="C5">
        <v>3</v>
      </c>
      <c r="D5">
        <v>4</v>
      </c>
      <c r="E5">
        <v>5</v>
      </c>
      <c r="F5">
        <v>6</v>
      </c>
      <c r="G5">
        <v>7</v>
      </c>
      <c r="H5">
        <v>8</v>
      </c>
      <c r="I5">
        <v>9</v>
      </c>
      <c r="J5">
        <v>10</v>
      </c>
      <c r="K5">
        <v>11</v>
      </c>
      <c r="L5">
        <v>12</v>
      </c>
      <c r="M5">
        <v>13</v>
      </c>
      <c r="N5">
        <v>14</v>
      </c>
      <c r="O5">
        <v>15</v>
      </c>
      <c r="P5">
        <v>16</v>
      </c>
      <c r="Q5">
        <v>17</v>
      </c>
      <c r="R5">
        <v>18</v>
      </c>
      <c r="T5">
        <v>44</v>
      </c>
      <c r="U5" t="e">
        <v>#REF!</v>
      </c>
      <c r="W5">
        <v>49</v>
      </c>
      <c r="X5">
        <v>50</v>
      </c>
      <c r="Y5">
        <v>51</v>
      </c>
      <c r="AD5">
        <v>56</v>
      </c>
    </row>
    <row r="6" ht="24" customHeight="1" spans="1:29" x14ac:dyDescent="0.25">
      <c r="A6" s="1" t="s">
        <v>162</v>
      </c>
      <c r="B6" s="1" t="s">
        <v>165</v>
      </c>
      <c r="C6" s="1" t="s">
        <v>108</v>
      </c>
      <c r="D6" s="1" t="s">
        <v>109</v>
      </c>
      <c r="E6" s="1" t="s">
        <v>110</v>
      </c>
      <c r="F6" s="1" t="s">
        <v>111</v>
      </c>
      <c r="G6" s="1" t="s">
        <v>112</v>
      </c>
      <c r="H6" s="1" t="s">
        <v>113</v>
      </c>
      <c r="I6" s="1" t="s">
        <v>114</v>
      </c>
      <c r="J6" s="1" t="s">
        <v>115</v>
      </c>
      <c r="K6" s="1" t="s">
        <v>116</v>
      </c>
      <c r="L6" s="1" t="s">
        <v>117</v>
      </c>
      <c r="M6" s="1" t="s">
        <v>118</v>
      </c>
      <c r="N6" s="1" t="s">
        <v>119</v>
      </c>
      <c r="O6" s="1" t="s">
        <v>120</v>
      </c>
      <c r="P6" s="1" t="s">
        <v>121</v>
      </c>
      <c r="Q6" s="1" t="s">
        <v>122</v>
      </c>
      <c r="R6" s="1" t="s">
        <v>123</v>
      </c>
      <c r="S6" s="1" t="s">
        <v>124</v>
      </c>
      <c r="T6" s="1" t="s">
        <v>108</v>
      </c>
      <c r="U6" s="1" t="s">
        <v>166</v>
      </c>
      <c r="V6" s="1" t="s">
        <v>167</v>
      </c>
      <c r="W6" s="1" t="s">
        <v>125</v>
      </c>
      <c r="X6" s="1" t="s">
        <v>126</v>
      </c>
      <c r="Y6" s="1" t="s">
        <v>127</v>
      </c>
      <c r="Z6" s="1" t="s">
        <v>128</v>
      </c>
      <c r="AA6" s="1" t="s">
        <v>129</v>
      </c>
      <c r="AB6" s="1" t="s">
        <v>130</v>
      </c>
      <c r="AC6" s="1" t="s">
        <v>131</v>
      </c>
    </row>
    <row r="7" spans="1:29" x14ac:dyDescent="0.25">
      <c r="A7" s="2">
        <v>0</v>
      </c>
      <c r="B7" s="2" t="s">
        <v>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1081120000</v>
      </c>
      <c r="O7" s="3">
        <v>5482560000</v>
      </c>
      <c r="P7" s="3">
        <v>4594463849</v>
      </c>
      <c r="Q7" s="3">
        <v>9400181071</v>
      </c>
      <c r="R7" s="3">
        <v>3082732800</v>
      </c>
      <c r="S7" s="2">
        <v>2831295060</v>
      </c>
      <c r="T7" s="2"/>
      <c r="U7" s="3">
        <v>1081120000</v>
      </c>
      <c r="V7" s="3">
        <v>25391232780</v>
      </c>
      <c r="W7" s="3">
        <v>5104736310.333333</v>
      </c>
      <c r="X7" s="3">
        <v>4412058796.666667</v>
      </c>
      <c r="Y7" s="3">
        <v>2941372531.111111</v>
      </c>
      <c r="Z7" s="4">
        <v>1.3883957251494439</v>
      </c>
      <c r="AA7" s="4">
        <v>0</v>
      </c>
      <c r="AB7" s="4">
        <v>0</v>
      </c>
      <c r="AC7" s="4">
        <v>0</v>
      </c>
    </row>
    <row r="8" spans="1:29" x14ac:dyDescent="0.25">
      <c r="A8" s="5"/>
      <c r="B8" s="5" t="s">
        <v>160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1081120000</v>
      </c>
      <c r="O8" s="6">
        <v>5482560000</v>
      </c>
      <c r="P8" s="6">
        <v>4594463849</v>
      </c>
      <c r="Q8" s="6">
        <v>9400181071</v>
      </c>
      <c r="R8" s="6">
        <v>3082732800</v>
      </c>
      <c r="S8" s="5">
        <v>2831295060</v>
      </c>
      <c r="T8" s="5"/>
      <c r="U8" s="6">
        <v>1081120000</v>
      </c>
      <c r="V8" s="6">
        <v>25391232780</v>
      </c>
      <c r="W8" s="6">
        <v>5104736310.333333</v>
      </c>
      <c r="X8" s="6">
        <v>4412058796.666667</v>
      </c>
      <c r="Y8" s="6">
        <v>2941372531.111111</v>
      </c>
      <c r="Z8" s="7">
        <v>1.3883957251494439</v>
      </c>
      <c r="AA8" s="7">
        <v>0</v>
      </c>
      <c r="AB8" s="7">
        <v>0</v>
      </c>
      <c r="AC8" s="7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E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1" width="14" customWidth="1"/>
    <col min="22" max="22" width="5" customWidth="1"/>
    <col min="23" max="24" width="16" customWidth="1"/>
    <col min="25" max="31" width="12" customWidth="1"/>
  </cols>
  <sheetData>
    <row r="1" ht="24" customHeight="1" spans="1:2" x14ac:dyDescent="0.25">
      <c r="A1" s="10" t="s">
        <v>168</v>
      </c>
      <c r="B1" s="11" t="s">
        <v>2</v>
      </c>
    </row>
    <row r="2" ht="15" customHeight="1" x14ac:dyDescent="0.25"/>
    <row r="3" ht="24" customHeight="1" spans="4:31" x14ac:dyDescent="0.25">
      <c r="D3" s="1" t="s">
        <v>169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Q3" s="1" t="s">
        <v>120</v>
      </c>
      <c r="R3" s="1" t="s">
        <v>121</v>
      </c>
      <c r="S3" s="1" t="s">
        <v>122</v>
      </c>
      <c r="T3" s="1" t="s">
        <v>123</v>
      </c>
      <c r="U3" s="1" t="s">
        <v>124</v>
      </c>
      <c r="W3" s="1">
        <v>2025</v>
      </c>
      <c r="X3" s="1">
        <v>2026</v>
      </c>
      <c r="Y3" s="1" t="s">
        <v>125</v>
      </c>
      <c r="Z3" s="1" t="s">
        <v>126</v>
      </c>
      <c r="AA3" s="1" t="s">
        <v>127</v>
      </c>
      <c r="AB3" s="1" t="s">
        <v>128</v>
      </c>
      <c r="AC3" s="1" t="s">
        <v>129</v>
      </c>
      <c r="AD3" s="1" t="s">
        <v>130</v>
      </c>
      <c r="AE3" s="1" t="s">
        <v>131</v>
      </c>
    </row>
    <row r="4" ht="20" customHeight="1" spans="4:31" x14ac:dyDescent="0.25">
      <c r="D4" s="2" t="s">
        <v>3</v>
      </c>
      <c r="E4" s="3">
        <f>SUMIFS('Data nguồn'!J:J, 'Data nguồn'!D:D, $B$1, 'Data nguồn'!F:F, $D4, 'Data nguồn'!C:C, E$3)</f>
      </c>
      <c r="F4" s="3">
        <f>SUMIFS('Data nguồn'!J:J, 'Data nguồn'!D:D, $B$1, 'Data nguồn'!F:F, $D4, 'Data nguồn'!C:C, F$3)</f>
      </c>
      <c r="G4" s="3">
        <f>SUMIFS('Data nguồn'!J:J, 'Data nguồn'!D:D, $B$1, 'Data nguồn'!F:F, $D4, 'Data nguồn'!C:C, G$3)</f>
      </c>
      <c r="H4" s="3">
        <f>SUMIFS('Data nguồn'!J:J, 'Data nguồn'!D:D, $B$1, 'Data nguồn'!F:F, $D4, 'Data nguồn'!C:C, H$3)</f>
      </c>
      <c r="I4" s="3">
        <f>SUMIFS('Data nguồn'!J:J, 'Data nguồn'!D:D, $B$1, 'Data nguồn'!F:F, $D4, 'Data nguồn'!C:C, I$3)</f>
      </c>
      <c r="J4" s="3">
        <f>SUMIFS('Data nguồn'!J:J, 'Data nguồn'!D:D, $B$1, 'Data nguồn'!F:F, $D4, 'Data nguồn'!C:C, J$3)</f>
      </c>
      <c r="K4" s="3">
        <f>SUMIFS('Data nguồn'!J:J, 'Data nguồn'!D:D, $B$1, 'Data nguồn'!F:F, $D4, 'Data nguồn'!C:C, K$3)</f>
      </c>
      <c r="L4" s="3">
        <f>SUMIFS('Data nguồn'!J:J, 'Data nguồn'!D:D, $B$1, 'Data nguồn'!F:F, $D4, 'Data nguồn'!C:C, L$3)</f>
      </c>
      <c r="M4" s="3">
        <f>SUMIFS('Data nguồn'!J:J, 'Data nguồn'!D:D, $B$1, 'Data nguồn'!F:F, $D4, 'Data nguồn'!C:C, M$3)</f>
      </c>
      <c r="N4" s="3">
        <f>SUMIFS('Data nguồn'!J:J, 'Data nguồn'!D:D, $B$1, 'Data nguồn'!F:F, $D4, 'Data nguồn'!C:C, N$3)</f>
      </c>
      <c r="O4" s="3">
        <f>SUMIFS('Data nguồn'!J:J, 'Data nguồn'!D:D, $B$1, 'Data nguồn'!F:F, $D4, 'Data nguồn'!C:C, O$3)</f>
      </c>
      <c r="P4" s="3">
        <f>SUMIFS('Data nguồn'!J:J, 'Data nguồn'!D:D, $B$1, 'Data nguồn'!F:F, $D4, 'Data nguồn'!C:C, P$3)</f>
      </c>
      <c r="Q4" s="3">
        <f>SUMIFS('Data nguồn'!J:J, 'Data nguồn'!D:D, $B$1, 'Data nguồn'!F:F, $D4, 'Data nguồn'!C:C, Q$3)</f>
      </c>
      <c r="R4" s="3">
        <f>SUMIFS('Data nguồn'!J:J, 'Data nguồn'!D:D, $B$1, 'Data nguồn'!F:F, $D4, 'Data nguồn'!C:C, R$3)</f>
      </c>
      <c r="S4" s="3">
        <f>SUMIFS('Data nguồn'!J:J, 'Data nguồn'!D:D, $B$1, 'Data nguồn'!F:F, $D4, 'Data nguồn'!C:C, S$3)</f>
      </c>
      <c r="T4" s="3">
        <f>SUMIFS('Data nguồn'!J:J, 'Data nguồn'!D:D, $B$1, 'Data nguồn'!F:F, $D4, 'Data nguồn'!C:C, T$3)</f>
      </c>
      <c r="U4" s="3">
        <f>SUMIFS('Data nguồn'!J:J, 'Data nguồn'!D:D, $B$1, 'Data nguồn'!F:F, $D4, 'Data nguồn'!C:C, U$3)</f>
      </c>
      <c r="W4" s="3">
        <f>SUM(E4:P4)</f>
      </c>
      <c r="X4" s="3">
        <f>SUM(Q4:U4)</f>
      </c>
      <c r="Y4" s="3">
        <f>AVERAGE(S4:U4)</f>
      </c>
      <c r="Z4" s="3">
        <f>AVERAGE(P4:U4)</f>
      </c>
      <c r="AA4" s="3">
        <f>AVERAGE(M4:U4)</f>
      </c>
      <c r="AB4" s="4">
        <f>IFERROR((Y4*2)/(Z4+AA4), 0)</f>
      </c>
      <c r="AC4" s="4">
        <f>IFERROR(X4/SUM(E4:I4), 0)</f>
      </c>
      <c r="AD4" s="4">
        <f>IFERROR(X4/SUM(E4:I4), 0)</f>
      </c>
      <c r="AE4" s="4">
        <f>IFERROR(U4/I4, 0)</f>
      </c>
    </row>
    <row r="5" ht="22" customHeight="1" spans="4:31" x14ac:dyDescent="0.25">
      <c r="D5" s="5" t="s">
        <v>160</v>
      </c>
      <c r="E5" s="6">
        <f>SUM(E4:E4)</f>
      </c>
      <c r="F5" s="6">
        <f>SUM(F4:F4)</f>
      </c>
      <c r="G5" s="6">
        <f>SUM(G4:G4)</f>
      </c>
      <c r="H5" s="6">
        <f>SUM(H4:H4)</f>
      </c>
      <c r="I5" s="6">
        <f>SUM(I4:I4)</f>
      </c>
      <c r="J5" s="6">
        <f>SUM(J4:J4)</f>
      </c>
      <c r="K5" s="6">
        <f>SUM(K4:K4)</f>
      </c>
      <c r="L5" s="6">
        <f>SUM(L4:L4)</f>
      </c>
      <c r="M5" s="6">
        <f>SUM(M4:M4)</f>
      </c>
      <c r="N5" s="6">
        <f>SUM(N4:N4)</f>
      </c>
      <c r="O5" s="6">
        <f>SUM(O4:O4)</f>
      </c>
      <c r="P5" s="6">
        <f>SUM(P4:P4)</f>
      </c>
      <c r="Q5" s="6">
        <f>SUM(Q4:Q4)</f>
      </c>
      <c r="R5" s="6">
        <f>SUM(R4:R4)</f>
      </c>
      <c r="S5" s="6">
        <f>SUM(S4:S4)</f>
      </c>
      <c r="T5" s="6">
        <f>SUM(T4:T4)</f>
      </c>
      <c r="U5" s="6">
        <f>SUM(U4:U4)</f>
      </c>
      <c r="W5" s="6">
        <f>SUM(W4:W4)</f>
      </c>
      <c r="X5" s="6">
        <f>SUM(X4:X4)</f>
      </c>
      <c r="Y5" s="6">
        <f>SUM(Y4:Y4)</f>
      </c>
      <c r="Z5" s="6">
        <f>SUM(Z4:Z4)</f>
      </c>
      <c r="AA5" s="6">
        <f>SUM(AA4:AA4)</f>
      </c>
      <c r="AB5" s="7">
        <f>IFERROR((Y5*2)/(Z5+AA5), 0)</f>
      </c>
      <c r="AC5" s="7">
        <f>IFERROR(X5/SUM(E5:I5), 0)</f>
      </c>
      <c r="AD5" s="7">
        <f>IFERROR(X5/SUM(E5:I5), 0)</f>
      </c>
      <c r="AE5" s="7">
        <f>IFERROR(U5/I5, 0)</f>
      </c>
    </row>
  </sheetData>
  <dataValidations count="1">
    <dataValidation type="list" allowBlank="1" sqref="B1">
      <formula1>Config!$A$2:$A$105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E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1" width="14" customWidth="1"/>
    <col min="22" max="22" width="5" customWidth="1"/>
    <col min="23" max="24" width="16" customWidth="1"/>
    <col min="25" max="31" width="12" customWidth="1"/>
  </cols>
  <sheetData>
    <row r="1" ht="24" customHeight="1" spans="1:2" x14ac:dyDescent="0.25">
      <c r="A1" s="10" t="s">
        <v>168</v>
      </c>
      <c r="B1" s="11" t="s">
        <v>2</v>
      </c>
    </row>
    <row r="2" ht="15" customHeight="1" x14ac:dyDescent="0.25"/>
    <row r="3" ht="24" customHeight="1" spans="4:31" x14ac:dyDescent="0.25">
      <c r="D3" s="1" t="s">
        <v>169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Q3" s="1" t="s">
        <v>120</v>
      </c>
      <c r="R3" s="1" t="s">
        <v>121</v>
      </c>
      <c r="S3" s="1" t="s">
        <v>122</v>
      </c>
      <c r="T3" s="1" t="s">
        <v>123</v>
      </c>
      <c r="U3" s="1" t="s">
        <v>124</v>
      </c>
      <c r="W3" s="1">
        <v>2025</v>
      </c>
      <c r="X3" s="1">
        <v>2026</v>
      </c>
      <c r="Y3" s="1" t="s">
        <v>125</v>
      </c>
      <c r="Z3" s="1" t="s">
        <v>126</v>
      </c>
      <c r="AA3" s="1" t="s">
        <v>127</v>
      </c>
      <c r="AB3" s="1" t="s">
        <v>128</v>
      </c>
      <c r="AC3" s="1" t="s">
        <v>129</v>
      </c>
      <c r="AD3" s="1" t="s">
        <v>130</v>
      </c>
      <c r="AE3" s="1" t="s">
        <v>131</v>
      </c>
    </row>
    <row r="4" ht="20" customHeight="1" spans="4:31" x14ac:dyDescent="0.25">
      <c r="D4" s="2" t="s">
        <v>3</v>
      </c>
      <c r="E4" s="8">
        <f>SUMIFS('Data nguồn'!H:H, 'Data nguồn'!D:D, $B$1, 'Data nguồn'!F:F, $D4, 'Data nguồn'!C:C, E$3)</f>
      </c>
      <c r="F4" s="8">
        <f>SUMIFS('Data nguồn'!H:H, 'Data nguồn'!D:D, $B$1, 'Data nguồn'!F:F, $D4, 'Data nguồn'!C:C, F$3)</f>
      </c>
      <c r="G4" s="8">
        <f>SUMIFS('Data nguồn'!H:H, 'Data nguồn'!D:D, $B$1, 'Data nguồn'!F:F, $D4, 'Data nguồn'!C:C, G$3)</f>
      </c>
      <c r="H4" s="8">
        <f>SUMIFS('Data nguồn'!H:H, 'Data nguồn'!D:D, $B$1, 'Data nguồn'!F:F, $D4, 'Data nguồn'!C:C, H$3)</f>
      </c>
      <c r="I4" s="8">
        <f>SUMIFS('Data nguồn'!H:H, 'Data nguồn'!D:D, $B$1, 'Data nguồn'!F:F, $D4, 'Data nguồn'!C:C, I$3)</f>
      </c>
      <c r="J4" s="8">
        <f>SUMIFS('Data nguồn'!H:H, 'Data nguồn'!D:D, $B$1, 'Data nguồn'!F:F, $D4, 'Data nguồn'!C:C, J$3)</f>
      </c>
      <c r="K4" s="8">
        <f>SUMIFS('Data nguồn'!H:H, 'Data nguồn'!D:D, $B$1, 'Data nguồn'!F:F, $D4, 'Data nguồn'!C:C, K$3)</f>
      </c>
      <c r="L4" s="8">
        <f>SUMIFS('Data nguồn'!H:H, 'Data nguồn'!D:D, $B$1, 'Data nguồn'!F:F, $D4, 'Data nguồn'!C:C, L$3)</f>
      </c>
      <c r="M4" s="8">
        <f>SUMIFS('Data nguồn'!H:H, 'Data nguồn'!D:D, $B$1, 'Data nguồn'!F:F, $D4, 'Data nguồn'!C:C, M$3)</f>
      </c>
      <c r="N4" s="8">
        <f>SUMIFS('Data nguồn'!H:H, 'Data nguồn'!D:D, $B$1, 'Data nguồn'!F:F, $D4, 'Data nguồn'!C:C, N$3)</f>
      </c>
      <c r="O4" s="8">
        <f>SUMIFS('Data nguồn'!H:H, 'Data nguồn'!D:D, $B$1, 'Data nguồn'!F:F, $D4, 'Data nguồn'!C:C, O$3)</f>
      </c>
      <c r="P4" s="8">
        <f>SUMIFS('Data nguồn'!H:H, 'Data nguồn'!D:D, $B$1, 'Data nguồn'!F:F, $D4, 'Data nguồn'!C:C, P$3)</f>
      </c>
      <c r="Q4" s="8">
        <f>SUMIFS('Data nguồn'!H:H, 'Data nguồn'!D:D, $B$1, 'Data nguồn'!F:F, $D4, 'Data nguồn'!C:C, Q$3)</f>
      </c>
      <c r="R4" s="8">
        <f>SUMIFS('Data nguồn'!H:H, 'Data nguồn'!D:D, $B$1, 'Data nguồn'!F:F, $D4, 'Data nguồn'!C:C, R$3)</f>
      </c>
      <c r="S4" s="8">
        <f>SUMIFS('Data nguồn'!H:H, 'Data nguồn'!D:D, $B$1, 'Data nguồn'!F:F, $D4, 'Data nguồn'!C:C, S$3)</f>
      </c>
      <c r="T4" s="8">
        <f>SUMIFS('Data nguồn'!H:H, 'Data nguồn'!D:D, $B$1, 'Data nguồn'!F:F, $D4, 'Data nguồn'!C:C, T$3)</f>
      </c>
      <c r="U4" s="8">
        <f>SUMIFS('Data nguồn'!H:H, 'Data nguồn'!D:D, $B$1, 'Data nguồn'!F:F, $D4, 'Data nguồn'!C:C, U$3)</f>
      </c>
      <c r="W4" s="8">
        <f>SUM(E4:P4)</f>
      </c>
      <c r="X4" s="8">
        <f>SUM(Q4:U4)</f>
      </c>
      <c r="Y4" s="8">
        <f>AVERAGE(S4:U4)</f>
      </c>
      <c r="Z4" s="8">
        <f>AVERAGE(P4:U4)</f>
      </c>
      <c r="AA4" s="8">
        <f>AVERAGE(M4:U4)</f>
      </c>
      <c r="AB4" s="4">
        <f>IFERROR((Y4*2)/(Z4+AA4), 0)</f>
      </c>
      <c r="AC4" s="4">
        <f>IFERROR(X4/SUM(E4:I4), 0)</f>
      </c>
      <c r="AD4" s="4">
        <f>IFERROR(X4/SUM(E4:I4), 0)</f>
      </c>
      <c r="AE4" s="4">
        <f>IFERROR(U4/I4, 0)</f>
      </c>
    </row>
    <row r="5" ht="22" customHeight="1" spans="4:31" x14ac:dyDescent="0.25">
      <c r="D5" s="5" t="s">
        <v>160</v>
      </c>
      <c r="E5" s="9">
        <f>SUM(E4:E4)</f>
      </c>
      <c r="F5" s="9">
        <f>SUM(F4:F4)</f>
      </c>
      <c r="G5" s="9">
        <f>SUM(G4:G4)</f>
      </c>
      <c r="H5" s="9">
        <f>SUM(H4:H4)</f>
      </c>
      <c r="I5" s="9">
        <f>SUM(I4:I4)</f>
      </c>
      <c r="J5" s="9">
        <f>SUM(J4:J4)</f>
      </c>
      <c r="K5" s="9">
        <f>SUM(K4:K4)</f>
      </c>
      <c r="L5" s="9">
        <f>SUM(L4:L4)</f>
      </c>
      <c r="M5" s="9">
        <f>SUM(M4:M4)</f>
      </c>
      <c r="N5" s="9">
        <f>SUM(N4:N4)</f>
      </c>
      <c r="O5" s="9">
        <f>SUM(O4:O4)</f>
      </c>
      <c r="P5" s="9">
        <f>SUM(P4:P4)</f>
      </c>
      <c r="Q5" s="9">
        <f>SUM(Q4:Q4)</f>
      </c>
      <c r="R5" s="9">
        <f>SUM(R4:R4)</f>
      </c>
      <c r="S5" s="9">
        <f>SUM(S4:S4)</f>
      </c>
      <c r="T5" s="9">
        <f>SUM(T4:T4)</f>
      </c>
      <c r="U5" s="9">
        <f>SUM(U4:U4)</f>
      </c>
      <c r="W5" s="9">
        <f>SUM(W4:W4)</f>
      </c>
      <c r="X5" s="9">
        <f>SUM(X4:X4)</f>
      </c>
      <c r="Y5" s="9">
        <f>SUM(Y4:Y4)</f>
      </c>
      <c r="Z5" s="9">
        <f>SUM(Z4:Z4)</f>
      </c>
      <c r="AA5" s="9">
        <f>SUM(AA4:AA4)</f>
      </c>
      <c r="AB5" s="7">
        <f>IFERROR((Y5*2)/(Z5+AA5), 0)</f>
      </c>
      <c r="AC5" s="7">
        <f>IFERROR(X5/SUM(E5:I5), 0)</f>
      </c>
      <c r="AD5" s="7">
        <f>IFERROR(X5/SUM(E5:I5), 0)</f>
      </c>
      <c r="AE5" s="7">
        <f>IFERROR(U5/I5, 0)</f>
      </c>
    </row>
  </sheetData>
  <dataValidations count="1">
    <dataValidation type="list" allowBlank="1" sqref="B1">
      <formula1>Config!$A$2:$A$105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6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1" width="14" customWidth="1"/>
    <col min="22" max="22" width="5" customWidth="1"/>
    <col min="23" max="24" width="16" customWidth="1"/>
    <col min="25" max="31" width="12" customWidth="1"/>
  </cols>
  <sheetData>
    <row r="1" ht="24" customHeight="1" spans="1:2" x14ac:dyDescent="0.25">
      <c r="A1" s="10" t="s">
        <v>170</v>
      </c>
      <c r="B1" s="11" t="s">
        <v>3</v>
      </c>
    </row>
    <row r="2" ht="15" customHeight="1" x14ac:dyDescent="0.25"/>
    <row r="3" ht="24" customHeight="1" spans="4:31" x14ac:dyDescent="0.25">
      <c r="D3" s="1" t="s">
        <v>171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Q3" s="1" t="s">
        <v>120</v>
      </c>
      <c r="R3" s="1" t="s">
        <v>121</v>
      </c>
      <c r="S3" s="1" t="s">
        <v>122</v>
      </c>
      <c r="T3" s="1" t="s">
        <v>123</v>
      </c>
      <c r="U3" s="1" t="s">
        <v>124</v>
      </c>
      <c r="W3" s="1">
        <v>2025</v>
      </c>
      <c r="X3" s="1">
        <v>2026</v>
      </c>
      <c r="Y3" s="1" t="s">
        <v>125</v>
      </c>
      <c r="Z3" s="1" t="s">
        <v>126</v>
      </c>
      <c r="AA3" s="1" t="s">
        <v>127</v>
      </c>
      <c r="AB3" s="1" t="s">
        <v>128</v>
      </c>
      <c r="AC3" s="1" t="s">
        <v>129</v>
      </c>
      <c r="AD3" s="1" t="s">
        <v>130</v>
      </c>
      <c r="AE3" s="1" t="s">
        <v>131</v>
      </c>
    </row>
    <row r="4" ht="20" customHeight="1" spans="1:31" x14ac:dyDescent="0.25">
      <c r="A4">
        <v>1</v>
      </c>
      <c r="B4" t="s">
        <v>2</v>
      </c>
      <c r="C4" t="s">
        <v>141</v>
      </c>
      <c r="D4" s="2" t="s">
        <v>2</v>
      </c>
      <c r="E4" s="3">
        <f>SUMIFS('Data nguồn'!J:J, 'Data nguồn'!D:D, $D4, 'Data nguồn'!F:F, $B$1, 'Data nguồn'!C:C, E$3)</f>
      </c>
      <c r="F4" s="3">
        <f>SUMIFS('Data nguồn'!J:J, 'Data nguồn'!D:D, $D4, 'Data nguồn'!F:F, $B$1, 'Data nguồn'!C:C, F$3)</f>
      </c>
      <c r="G4" s="3">
        <f>SUMIFS('Data nguồn'!J:J, 'Data nguồn'!D:D, $D4, 'Data nguồn'!F:F, $B$1, 'Data nguồn'!C:C, G$3)</f>
      </c>
      <c r="H4" s="3">
        <f>SUMIFS('Data nguồn'!J:J, 'Data nguồn'!D:D, $D4, 'Data nguồn'!F:F, $B$1, 'Data nguồn'!C:C, H$3)</f>
      </c>
      <c r="I4" s="3">
        <f>SUMIFS('Data nguồn'!J:J, 'Data nguồn'!D:D, $D4, 'Data nguồn'!F:F, $B$1, 'Data nguồn'!C:C, I$3)</f>
      </c>
      <c r="J4" s="3">
        <f>SUMIFS('Data nguồn'!J:J, 'Data nguồn'!D:D, $D4, 'Data nguồn'!F:F, $B$1, 'Data nguồn'!C:C, J$3)</f>
      </c>
      <c r="K4" s="3">
        <f>SUMIFS('Data nguồn'!J:J, 'Data nguồn'!D:D, $D4, 'Data nguồn'!F:F, $B$1, 'Data nguồn'!C:C, K$3)</f>
      </c>
      <c r="L4" s="3">
        <f>SUMIFS('Data nguồn'!J:J, 'Data nguồn'!D:D, $D4, 'Data nguồn'!F:F, $B$1, 'Data nguồn'!C:C, L$3)</f>
      </c>
      <c r="M4" s="3">
        <f>SUMIFS('Data nguồn'!J:J, 'Data nguồn'!D:D, $D4, 'Data nguồn'!F:F, $B$1, 'Data nguồn'!C:C, M$3)</f>
      </c>
      <c r="N4" s="3">
        <f>SUMIFS('Data nguồn'!J:J, 'Data nguồn'!D:D, $D4, 'Data nguồn'!F:F, $B$1, 'Data nguồn'!C:C, N$3)</f>
      </c>
      <c r="O4" s="3">
        <f>SUMIFS('Data nguồn'!J:J, 'Data nguồn'!D:D, $D4, 'Data nguồn'!F:F, $B$1, 'Data nguồn'!C:C, O$3)</f>
      </c>
      <c r="P4" s="3">
        <f>SUMIFS('Data nguồn'!J:J, 'Data nguồn'!D:D, $D4, 'Data nguồn'!F:F, $B$1, 'Data nguồn'!C:C, P$3)</f>
      </c>
      <c r="Q4" s="3">
        <f>SUMIFS('Data nguồn'!J:J, 'Data nguồn'!D:D, $D4, 'Data nguồn'!F:F, $B$1, 'Data nguồn'!C:C, Q$3)</f>
      </c>
      <c r="R4" s="3">
        <f>SUMIFS('Data nguồn'!J:J, 'Data nguồn'!D:D, $D4, 'Data nguồn'!F:F, $B$1, 'Data nguồn'!C:C, R$3)</f>
      </c>
      <c r="S4" s="3">
        <f>SUMIFS('Data nguồn'!J:J, 'Data nguồn'!D:D, $D4, 'Data nguồn'!F:F, $B$1, 'Data nguồn'!C:C, S$3)</f>
      </c>
      <c r="T4" s="3">
        <f>SUMIFS('Data nguồn'!J:J, 'Data nguồn'!D:D, $D4, 'Data nguồn'!F:F, $B$1, 'Data nguồn'!C:C, T$3)</f>
      </c>
      <c r="U4" s="3">
        <f>SUMIFS('Data nguồn'!J:J, 'Data nguồn'!D:D, $D4, 'Data nguồn'!F:F, $B$1, 'Data nguồn'!C:C, U$3)</f>
      </c>
      <c r="W4" s="3">
        <f>SUM(E4:P4)</f>
      </c>
      <c r="X4" s="3">
        <f>SUM(Q4:U4)</f>
      </c>
      <c r="Y4" s="3">
        <f>AVERAGE(S4:U4)</f>
      </c>
      <c r="Z4" s="3">
        <f>AVERAGE(P4:U4)</f>
      </c>
      <c r="AA4" s="3">
        <f>AVERAGE(M4:U4)</f>
      </c>
      <c r="AB4" s="4">
        <f>IFERROR((Y4*2)/(Z4+AA4), 0)</f>
      </c>
      <c r="AC4" s="4">
        <f>IFERROR(X4/SUM(E4:I4), 0)</f>
      </c>
      <c r="AD4" s="4">
        <f>IFERROR(X4/SUM(E4:I4), 0)</f>
      </c>
      <c r="AE4" s="4">
        <f>IFERROR(U4/I4, 0)</f>
      </c>
    </row>
    <row r="5" ht="20" customHeight="1" spans="1:31" x14ac:dyDescent="0.25">
      <c r="A5">
        <v>2</v>
      </c>
      <c r="B5" t="s">
        <v>4</v>
      </c>
      <c r="C5" t="s">
        <v>141</v>
      </c>
      <c r="D5" s="2" t="s">
        <v>4</v>
      </c>
      <c r="E5" s="3">
        <f>SUMIFS('Data nguồn'!J:J, 'Data nguồn'!D:D, $D5, 'Data nguồn'!F:F, $B$1, 'Data nguồn'!C:C, E$3)</f>
      </c>
      <c r="F5" s="3">
        <f>SUMIFS('Data nguồn'!J:J, 'Data nguồn'!D:D, $D5, 'Data nguồn'!F:F, $B$1, 'Data nguồn'!C:C, F$3)</f>
      </c>
      <c r="G5" s="3">
        <f>SUMIFS('Data nguồn'!J:J, 'Data nguồn'!D:D, $D5, 'Data nguồn'!F:F, $B$1, 'Data nguồn'!C:C, G$3)</f>
      </c>
      <c r="H5" s="3">
        <f>SUMIFS('Data nguồn'!J:J, 'Data nguồn'!D:D, $D5, 'Data nguồn'!F:F, $B$1, 'Data nguồn'!C:C, H$3)</f>
      </c>
      <c r="I5" s="3">
        <f>SUMIFS('Data nguồn'!J:J, 'Data nguồn'!D:D, $D5, 'Data nguồn'!F:F, $B$1, 'Data nguồn'!C:C, I$3)</f>
      </c>
      <c r="J5" s="3">
        <f>SUMIFS('Data nguồn'!J:J, 'Data nguồn'!D:D, $D5, 'Data nguồn'!F:F, $B$1, 'Data nguồn'!C:C, J$3)</f>
      </c>
      <c r="K5" s="3">
        <f>SUMIFS('Data nguồn'!J:J, 'Data nguồn'!D:D, $D5, 'Data nguồn'!F:F, $B$1, 'Data nguồn'!C:C, K$3)</f>
      </c>
      <c r="L5" s="3">
        <f>SUMIFS('Data nguồn'!J:J, 'Data nguồn'!D:D, $D5, 'Data nguồn'!F:F, $B$1, 'Data nguồn'!C:C, L$3)</f>
      </c>
      <c r="M5" s="3">
        <f>SUMIFS('Data nguồn'!J:J, 'Data nguồn'!D:D, $D5, 'Data nguồn'!F:F, $B$1, 'Data nguồn'!C:C, M$3)</f>
      </c>
      <c r="N5" s="3">
        <f>SUMIFS('Data nguồn'!J:J, 'Data nguồn'!D:D, $D5, 'Data nguồn'!F:F, $B$1, 'Data nguồn'!C:C, N$3)</f>
      </c>
      <c r="O5" s="3">
        <f>SUMIFS('Data nguồn'!J:J, 'Data nguồn'!D:D, $D5, 'Data nguồn'!F:F, $B$1, 'Data nguồn'!C:C, O$3)</f>
      </c>
      <c r="P5" s="3">
        <f>SUMIFS('Data nguồn'!J:J, 'Data nguồn'!D:D, $D5, 'Data nguồn'!F:F, $B$1, 'Data nguồn'!C:C, P$3)</f>
      </c>
      <c r="Q5" s="3">
        <f>SUMIFS('Data nguồn'!J:J, 'Data nguồn'!D:D, $D5, 'Data nguồn'!F:F, $B$1, 'Data nguồn'!C:C, Q$3)</f>
      </c>
      <c r="R5" s="3">
        <f>SUMIFS('Data nguồn'!J:J, 'Data nguồn'!D:D, $D5, 'Data nguồn'!F:F, $B$1, 'Data nguồn'!C:C, R$3)</f>
      </c>
      <c r="S5" s="3">
        <f>SUMIFS('Data nguồn'!J:J, 'Data nguồn'!D:D, $D5, 'Data nguồn'!F:F, $B$1, 'Data nguồn'!C:C, S$3)</f>
      </c>
      <c r="T5" s="3">
        <f>SUMIFS('Data nguồn'!J:J, 'Data nguồn'!D:D, $D5, 'Data nguồn'!F:F, $B$1, 'Data nguồn'!C:C, T$3)</f>
      </c>
      <c r="U5" s="3">
        <f>SUMIFS('Data nguồn'!J:J, 'Data nguồn'!D:D, $D5, 'Data nguồn'!F:F, $B$1, 'Data nguồn'!C:C, U$3)</f>
      </c>
      <c r="W5" s="3">
        <f>SUM(E5:P5)</f>
      </c>
      <c r="X5" s="3">
        <f>SUM(Q5:U5)</f>
      </c>
      <c r="Y5" s="3">
        <f>AVERAGE(S5:U5)</f>
      </c>
      <c r="Z5" s="3">
        <f>AVERAGE(P5:U5)</f>
      </c>
      <c r="AA5" s="3">
        <f>AVERAGE(M5:U5)</f>
      </c>
      <c r="AB5" s="4">
        <f>IFERROR((Y5*2)/(Z5+AA5), 0)</f>
      </c>
      <c r="AC5" s="4">
        <f>IFERROR(X5/SUM(E5:I5), 0)</f>
      </c>
      <c r="AD5" s="4">
        <f>IFERROR(X5/SUM(E5:I5), 0)</f>
      </c>
      <c r="AE5" s="4">
        <f>IFERROR(U5/I5, 0)</f>
      </c>
    </row>
    <row r="6" ht="20" customHeight="1" spans="1:31" x14ac:dyDescent="0.25">
      <c r="A6">
        <v>3</v>
      </c>
      <c r="B6" t="s">
        <v>5</v>
      </c>
      <c r="C6" t="s">
        <v>141</v>
      </c>
      <c r="D6" s="2" t="s">
        <v>5</v>
      </c>
      <c r="E6" s="3">
        <f>SUMIFS('Data nguồn'!J:J, 'Data nguồn'!D:D, $D6, 'Data nguồn'!F:F, $B$1, 'Data nguồn'!C:C, E$3)</f>
      </c>
      <c r="F6" s="3">
        <f>SUMIFS('Data nguồn'!J:J, 'Data nguồn'!D:D, $D6, 'Data nguồn'!F:F, $B$1, 'Data nguồn'!C:C, F$3)</f>
      </c>
      <c r="G6" s="3">
        <f>SUMIFS('Data nguồn'!J:J, 'Data nguồn'!D:D, $D6, 'Data nguồn'!F:F, $B$1, 'Data nguồn'!C:C, G$3)</f>
      </c>
      <c r="H6" s="3">
        <f>SUMIFS('Data nguồn'!J:J, 'Data nguồn'!D:D, $D6, 'Data nguồn'!F:F, $B$1, 'Data nguồn'!C:C, H$3)</f>
      </c>
      <c r="I6" s="3">
        <f>SUMIFS('Data nguồn'!J:J, 'Data nguồn'!D:D, $D6, 'Data nguồn'!F:F, $B$1, 'Data nguồn'!C:C, I$3)</f>
      </c>
      <c r="J6" s="3">
        <f>SUMIFS('Data nguồn'!J:J, 'Data nguồn'!D:D, $D6, 'Data nguồn'!F:F, $B$1, 'Data nguồn'!C:C, J$3)</f>
      </c>
      <c r="K6" s="3">
        <f>SUMIFS('Data nguồn'!J:J, 'Data nguồn'!D:D, $D6, 'Data nguồn'!F:F, $B$1, 'Data nguồn'!C:C, K$3)</f>
      </c>
      <c r="L6" s="3">
        <f>SUMIFS('Data nguồn'!J:J, 'Data nguồn'!D:D, $D6, 'Data nguồn'!F:F, $B$1, 'Data nguồn'!C:C, L$3)</f>
      </c>
      <c r="M6" s="3">
        <f>SUMIFS('Data nguồn'!J:J, 'Data nguồn'!D:D, $D6, 'Data nguồn'!F:F, $B$1, 'Data nguồn'!C:C, M$3)</f>
      </c>
      <c r="N6" s="3">
        <f>SUMIFS('Data nguồn'!J:J, 'Data nguồn'!D:D, $D6, 'Data nguồn'!F:F, $B$1, 'Data nguồn'!C:C, N$3)</f>
      </c>
      <c r="O6" s="3">
        <f>SUMIFS('Data nguồn'!J:J, 'Data nguồn'!D:D, $D6, 'Data nguồn'!F:F, $B$1, 'Data nguồn'!C:C, O$3)</f>
      </c>
      <c r="P6" s="3">
        <f>SUMIFS('Data nguồn'!J:J, 'Data nguồn'!D:D, $D6, 'Data nguồn'!F:F, $B$1, 'Data nguồn'!C:C, P$3)</f>
      </c>
      <c r="Q6" s="3">
        <f>SUMIFS('Data nguồn'!J:J, 'Data nguồn'!D:D, $D6, 'Data nguồn'!F:F, $B$1, 'Data nguồn'!C:C, Q$3)</f>
      </c>
      <c r="R6" s="3">
        <f>SUMIFS('Data nguồn'!J:J, 'Data nguồn'!D:D, $D6, 'Data nguồn'!F:F, $B$1, 'Data nguồn'!C:C, R$3)</f>
      </c>
      <c r="S6" s="3">
        <f>SUMIFS('Data nguồn'!J:J, 'Data nguồn'!D:D, $D6, 'Data nguồn'!F:F, $B$1, 'Data nguồn'!C:C, S$3)</f>
      </c>
      <c r="T6" s="3">
        <f>SUMIFS('Data nguồn'!J:J, 'Data nguồn'!D:D, $D6, 'Data nguồn'!F:F, $B$1, 'Data nguồn'!C:C, T$3)</f>
      </c>
      <c r="U6" s="3">
        <f>SUMIFS('Data nguồn'!J:J, 'Data nguồn'!D:D, $D6, 'Data nguồn'!F:F, $B$1, 'Data nguồn'!C:C, U$3)</f>
      </c>
      <c r="W6" s="3">
        <f>SUM(E6:P6)</f>
      </c>
      <c r="X6" s="3">
        <f>SUM(Q6:U6)</f>
      </c>
      <c r="Y6" s="3">
        <f>AVERAGE(S6:U6)</f>
      </c>
      <c r="Z6" s="3">
        <f>AVERAGE(P6:U6)</f>
      </c>
      <c r="AA6" s="3">
        <f>AVERAGE(M6:U6)</f>
      </c>
      <c r="AB6" s="4">
        <f>IFERROR((Y6*2)/(Z6+AA6), 0)</f>
      </c>
      <c r="AC6" s="4">
        <f>IFERROR(X6/SUM(E6:I6), 0)</f>
      </c>
      <c r="AD6" s="4">
        <f>IFERROR(X6/SUM(E6:I6), 0)</f>
      </c>
      <c r="AE6" s="4">
        <f>IFERROR(U6/I6, 0)</f>
      </c>
    </row>
    <row r="7" ht="20" customHeight="1" spans="1:31" x14ac:dyDescent="0.25">
      <c r="A7">
        <v>4</v>
      </c>
      <c r="B7" t="s">
        <v>6</v>
      </c>
      <c r="C7" t="s">
        <v>141</v>
      </c>
      <c r="D7" s="2" t="s">
        <v>6</v>
      </c>
      <c r="E7" s="3">
        <f>SUMIFS('Data nguồn'!J:J, 'Data nguồn'!D:D, $D7, 'Data nguồn'!F:F, $B$1, 'Data nguồn'!C:C, E$3)</f>
      </c>
      <c r="F7" s="3">
        <f>SUMIFS('Data nguồn'!J:J, 'Data nguồn'!D:D, $D7, 'Data nguồn'!F:F, $B$1, 'Data nguồn'!C:C, F$3)</f>
      </c>
      <c r="G7" s="3">
        <f>SUMIFS('Data nguồn'!J:J, 'Data nguồn'!D:D, $D7, 'Data nguồn'!F:F, $B$1, 'Data nguồn'!C:C, G$3)</f>
      </c>
      <c r="H7" s="3">
        <f>SUMIFS('Data nguồn'!J:J, 'Data nguồn'!D:D, $D7, 'Data nguồn'!F:F, $B$1, 'Data nguồn'!C:C, H$3)</f>
      </c>
      <c r="I7" s="3">
        <f>SUMIFS('Data nguồn'!J:J, 'Data nguồn'!D:D, $D7, 'Data nguồn'!F:F, $B$1, 'Data nguồn'!C:C, I$3)</f>
      </c>
      <c r="J7" s="3">
        <f>SUMIFS('Data nguồn'!J:J, 'Data nguồn'!D:D, $D7, 'Data nguồn'!F:F, $B$1, 'Data nguồn'!C:C, J$3)</f>
      </c>
      <c r="K7" s="3">
        <f>SUMIFS('Data nguồn'!J:J, 'Data nguồn'!D:D, $D7, 'Data nguồn'!F:F, $B$1, 'Data nguồn'!C:C, K$3)</f>
      </c>
      <c r="L7" s="3">
        <f>SUMIFS('Data nguồn'!J:J, 'Data nguồn'!D:D, $D7, 'Data nguồn'!F:F, $B$1, 'Data nguồn'!C:C, L$3)</f>
      </c>
      <c r="M7" s="3">
        <f>SUMIFS('Data nguồn'!J:J, 'Data nguồn'!D:D, $D7, 'Data nguồn'!F:F, $B$1, 'Data nguồn'!C:C, M$3)</f>
      </c>
      <c r="N7" s="3">
        <f>SUMIFS('Data nguồn'!J:J, 'Data nguồn'!D:D, $D7, 'Data nguồn'!F:F, $B$1, 'Data nguồn'!C:C, N$3)</f>
      </c>
      <c r="O7" s="3">
        <f>SUMIFS('Data nguồn'!J:J, 'Data nguồn'!D:D, $D7, 'Data nguồn'!F:F, $B$1, 'Data nguồn'!C:C, O$3)</f>
      </c>
      <c r="P7" s="3">
        <f>SUMIFS('Data nguồn'!J:J, 'Data nguồn'!D:D, $D7, 'Data nguồn'!F:F, $B$1, 'Data nguồn'!C:C, P$3)</f>
      </c>
      <c r="Q7" s="3">
        <f>SUMIFS('Data nguồn'!J:J, 'Data nguồn'!D:D, $D7, 'Data nguồn'!F:F, $B$1, 'Data nguồn'!C:C, Q$3)</f>
      </c>
      <c r="R7" s="3">
        <f>SUMIFS('Data nguồn'!J:J, 'Data nguồn'!D:D, $D7, 'Data nguồn'!F:F, $B$1, 'Data nguồn'!C:C, R$3)</f>
      </c>
      <c r="S7" s="3">
        <f>SUMIFS('Data nguồn'!J:J, 'Data nguồn'!D:D, $D7, 'Data nguồn'!F:F, $B$1, 'Data nguồn'!C:C, S$3)</f>
      </c>
      <c r="T7" s="3">
        <f>SUMIFS('Data nguồn'!J:J, 'Data nguồn'!D:D, $D7, 'Data nguồn'!F:F, $B$1, 'Data nguồn'!C:C, T$3)</f>
      </c>
      <c r="U7" s="3">
        <f>SUMIFS('Data nguồn'!J:J, 'Data nguồn'!D:D, $D7, 'Data nguồn'!F:F, $B$1, 'Data nguồn'!C:C, U$3)</f>
      </c>
      <c r="W7" s="3">
        <f>SUM(E7:P7)</f>
      </c>
      <c r="X7" s="3">
        <f>SUM(Q7:U7)</f>
      </c>
      <c r="Y7" s="3">
        <f>AVERAGE(S7:U7)</f>
      </c>
      <c r="Z7" s="3">
        <f>AVERAGE(P7:U7)</f>
      </c>
      <c r="AA7" s="3">
        <f>AVERAGE(M7:U7)</f>
      </c>
      <c r="AB7" s="4">
        <f>IFERROR((Y7*2)/(Z7+AA7), 0)</f>
      </c>
      <c r="AC7" s="4">
        <f>IFERROR(X7/SUM(E7:I7), 0)</f>
      </c>
      <c r="AD7" s="4">
        <f>IFERROR(X7/SUM(E7:I7), 0)</f>
      </c>
      <c r="AE7" s="4">
        <f>IFERROR(U7/I7, 0)</f>
      </c>
    </row>
    <row r="8" ht="20" customHeight="1" spans="1:31" x14ac:dyDescent="0.25">
      <c r="A8">
        <v>5</v>
      </c>
      <c r="B8" t="s">
        <v>7</v>
      </c>
      <c r="C8" t="s">
        <v>141</v>
      </c>
      <c r="D8" s="2" t="s">
        <v>7</v>
      </c>
      <c r="E8" s="3">
        <f>SUMIFS('Data nguồn'!J:J, 'Data nguồn'!D:D, $D8, 'Data nguồn'!F:F, $B$1, 'Data nguồn'!C:C, E$3)</f>
      </c>
      <c r="F8" s="3">
        <f>SUMIFS('Data nguồn'!J:J, 'Data nguồn'!D:D, $D8, 'Data nguồn'!F:F, $B$1, 'Data nguồn'!C:C, F$3)</f>
      </c>
      <c r="G8" s="3">
        <f>SUMIFS('Data nguồn'!J:J, 'Data nguồn'!D:D, $D8, 'Data nguồn'!F:F, $B$1, 'Data nguồn'!C:C, G$3)</f>
      </c>
      <c r="H8" s="3">
        <f>SUMIFS('Data nguồn'!J:J, 'Data nguồn'!D:D, $D8, 'Data nguồn'!F:F, $B$1, 'Data nguồn'!C:C, H$3)</f>
      </c>
      <c r="I8" s="3">
        <f>SUMIFS('Data nguồn'!J:J, 'Data nguồn'!D:D, $D8, 'Data nguồn'!F:F, $B$1, 'Data nguồn'!C:C, I$3)</f>
      </c>
      <c r="J8" s="3">
        <f>SUMIFS('Data nguồn'!J:J, 'Data nguồn'!D:D, $D8, 'Data nguồn'!F:F, $B$1, 'Data nguồn'!C:C, J$3)</f>
      </c>
      <c r="K8" s="3">
        <f>SUMIFS('Data nguồn'!J:J, 'Data nguồn'!D:D, $D8, 'Data nguồn'!F:F, $B$1, 'Data nguồn'!C:C, K$3)</f>
      </c>
      <c r="L8" s="3">
        <f>SUMIFS('Data nguồn'!J:J, 'Data nguồn'!D:D, $D8, 'Data nguồn'!F:F, $B$1, 'Data nguồn'!C:C, L$3)</f>
      </c>
      <c r="M8" s="3">
        <f>SUMIFS('Data nguồn'!J:J, 'Data nguồn'!D:D, $D8, 'Data nguồn'!F:F, $B$1, 'Data nguồn'!C:C, M$3)</f>
      </c>
      <c r="N8" s="3">
        <f>SUMIFS('Data nguồn'!J:J, 'Data nguồn'!D:D, $D8, 'Data nguồn'!F:F, $B$1, 'Data nguồn'!C:C, N$3)</f>
      </c>
      <c r="O8" s="3">
        <f>SUMIFS('Data nguồn'!J:J, 'Data nguồn'!D:D, $D8, 'Data nguồn'!F:F, $B$1, 'Data nguồn'!C:C, O$3)</f>
      </c>
      <c r="P8" s="3">
        <f>SUMIFS('Data nguồn'!J:J, 'Data nguồn'!D:D, $D8, 'Data nguồn'!F:F, $B$1, 'Data nguồn'!C:C, P$3)</f>
      </c>
      <c r="Q8" s="3">
        <f>SUMIFS('Data nguồn'!J:J, 'Data nguồn'!D:D, $D8, 'Data nguồn'!F:F, $B$1, 'Data nguồn'!C:C, Q$3)</f>
      </c>
      <c r="R8" s="3">
        <f>SUMIFS('Data nguồn'!J:J, 'Data nguồn'!D:D, $D8, 'Data nguồn'!F:F, $B$1, 'Data nguồn'!C:C, R$3)</f>
      </c>
      <c r="S8" s="3">
        <f>SUMIFS('Data nguồn'!J:J, 'Data nguồn'!D:D, $D8, 'Data nguồn'!F:F, $B$1, 'Data nguồn'!C:C, S$3)</f>
      </c>
      <c r="T8" s="3">
        <f>SUMIFS('Data nguồn'!J:J, 'Data nguồn'!D:D, $D8, 'Data nguồn'!F:F, $B$1, 'Data nguồn'!C:C, T$3)</f>
      </c>
      <c r="U8" s="3">
        <f>SUMIFS('Data nguồn'!J:J, 'Data nguồn'!D:D, $D8, 'Data nguồn'!F:F, $B$1, 'Data nguồn'!C:C, U$3)</f>
      </c>
      <c r="W8" s="3">
        <f>SUM(E8:P8)</f>
      </c>
      <c r="X8" s="3">
        <f>SUM(Q8:U8)</f>
      </c>
      <c r="Y8" s="3">
        <f>AVERAGE(S8:U8)</f>
      </c>
      <c r="Z8" s="3">
        <f>AVERAGE(P8:U8)</f>
      </c>
      <c r="AA8" s="3">
        <f>AVERAGE(M8:U8)</f>
      </c>
      <c r="AB8" s="4">
        <f>IFERROR((Y8*2)/(Z8+AA8), 0)</f>
      </c>
      <c r="AC8" s="4">
        <f>IFERROR(X8/SUM(E8:I8), 0)</f>
      </c>
      <c r="AD8" s="4">
        <f>IFERROR(X8/SUM(E8:I8), 0)</f>
      </c>
      <c r="AE8" s="4">
        <f>IFERROR(U8/I8, 0)</f>
      </c>
    </row>
    <row r="9" ht="20" customHeight="1" spans="1:31" x14ac:dyDescent="0.25">
      <c r="A9">
        <v>6</v>
      </c>
      <c r="B9" t="s">
        <v>8</v>
      </c>
      <c r="C9" t="s">
        <v>141</v>
      </c>
      <c r="D9" s="2" t="s">
        <v>8</v>
      </c>
      <c r="E9" s="3">
        <f>SUMIFS('Data nguồn'!J:J, 'Data nguồn'!D:D, $D9, 'Data nguồn'!F:F, $B$1, 'Data nguồn'!C:C, E$3)</f>
      </c>
      <c r="F9" s="3">
        <f>SUMIFS('Data nguồn'!J:J, 'Data nguồn'!D:D, $D9, 'Data nguồn'!F:F, $B$1, 'Data nguồn'!C:C, F$3)</f>
      </c>
      <c r="G9" s="3">
        <f>SUMIFS('Data nguồn'!J:J, 'Data nguồn'!D:D, $D9, 'Data nguồn'!F:F, $B$1, 'Data nguồn'!C:C, G$3)</f>
      </c>
      <c r="H9" s="3">
        <f>SUMIFS('Data nguồn'!J:J, 'Data nguồn'!D:D, $D9, 'Data nguồn'!F:F, $B$1, 'Data nguồn'!C:C, H$3)</f>
      </c>
      <c r="I9" s="3">
        <f>SUMIFS('Data nguồn'!J:J, 'Data nguồn'!D:D, $D9, 'Data nguồn'!F:F, $B$1, 'Data nguồn'!C:C, I$3)</f>
      </c>
      <c r="J9" s="3">
        <f>SUMIFS('Data nguồn'!J:J, 'Data nguồn'!D:D, $D9, 'Data nguồn'!F:F, $B$1, 'Data nguồn'!C:C, J$3)</f>
      </c>
      <c r="K9" s="3">
        <f>SUMIFS('Data nguồn'!J:J, 'Data nguồn'!D:D, $D9, 'Data nguồn'!F:F, $B$1, 'Data nguồn'!C:C, K$3)</f>
      </c>
      <c r="L9" s="3">
        <f>SUMIFS('Data nguồn'!J:J, 'Data nguồn'!D:D, $D9, 'Data nguồn'!F:F, $B$1, 'Data nguồn'!C:C, L$3)</f>
      </c>
      <c r="M9" s="3">
        <f>SUMIFS('Data nguồn'!J:J, 'Data nguồn'!D:D, $D9, 'Data nguồn'!F:F, $B$1, 'Data nguồn'!C:C, M$3)</f>
      </c>
      <c r="N9" s="3">
        <f>SUMIFS('Data nguồn'!J:J, 'Data nguồn'!D:D, $D9, 'Data nguồn'!F:F, $B$1, 'Data nguồn'!C:C, N$3)</f>
      </c>
      <c r="O9" s="3">
        <f>SUMIFS('Data nguồn'!J:J, 'Data nguồn'!D:D, $D9, 'Data nguồn'!F:F, $B$1, 'Data nguồn'!C:C, O$3)</f>
      </c>
      <c r="P9" s="3">
        <f>SUMIFS('Data nguồn'!J:J, 'Data nguồn'!D:D, $D9, 'Data nguồn'!F:F, $B$1, 'Data nguồn'!C:C, P$3)</f>
      </c>
      <c r="Q9" s="3">
        <f>SUMIFS('Data nguồn'!J:J, 'Data nguồn'!D:D, $D9, 'Data nguồn'!F:F, $B$1, 'Data nguồn'!C:C, Q$3)</f>
      </c>
      <c r="R9" s="3">
        <f>SUMIFS('Data nguồn'!J:J, 'Data nguồn'!D:D, $D9, 'Data nguồn'!F:F, $B$1, 'Data nguồn'!C:C, R$3)</f>
      </c>
      <c r="S9" s="3">
        <f>SUMIFS('Data nguồn'!J:J, 'Data nguồn'!D:D, $D9, 'Data nguồn'!F:F, $B$1, 'Data nguồn'!C:C, S$3)</f>
      </c>
      <c r="T9" s="3">
        <f>SUMIFS('Data nguồn'!J:J, 'Data nguồn'!D:D, $D9, 'Data nguồn'!F:F, $B$1, 'Data nguồn'!C:C, T$3)</f>
      </c>
      <c r="U9" s="3">
        <f>SUMIFS('Data nguồn'!J:J, 'Data nguồn'!D:D, $D9, 'Data nguồn'!F:F, $B$1, 'Data nguồn'!C:C, U$3)</f>
      </c>
      <c r="W9" s="3">
        <f>SUM(E9:P9)</f>
      </c>
      <c r="X9" s="3">
        <f>SUM(Q9:U9)</f>
      </c>
      <c r="Y9" s="3">
        <f>AVERAGE(S9:U9)</f>
      </c>
      <c r="Z9" s="3">
        <f>AVERAGE(P9:U9)</f>
      </c>
      <c r="AA9" s="3">
        <f>AVERAGE(M9:U9)</f>
      </c>
      <c r="AB9" s="4">
        <f>IFERROR((Y9*2)/(Z9+AA9), 0)</f>
      </c>
      <c r="AC9" s="4">
        <f>IFERROR(X9/SUM(E9:I9), 0)</f>
      </c>
      <c r="AD9" s="4">
        <f>IFERROR(X9/SUM(E9:I9), 0)</f>
      </c>
      <c r="AE9" s="4">
        <f>IFERROR(U9/I9, 0)</f>
      </c>
    </row>
    <row r="10" ht="20" customHeight="1" spans="1:31" x14ac:dyDescent="0.25">
      <c r="A10">
        <v>7</v>
      </c>
      <c r="B10" t="s">
        <v>9</v>
      </c>
      <c r="C10" t="s">
        <v>141</v>
      </c>
      <c r="D10" s="2" t="s">
        <v>9</v>
      </c>
      <c r="E10" s="3">
        <f>SUMIFS('Data nguồn'!J:J, 'Data nguồn'!D:D, $D10, 'Data nguồn'!F:F, $B$1, 'Data nguồn'!C:C, E$3)</f>
      </c>
      <c r="F10" s="3">
        <f>SUMIFS('Data nguồn'!J:J, 'Data nguồn'!D:D, $D10, 'Data nguồn'!F:F, $B$1, 'Data nguồn'!C:C, F$3)</f>
      </c>
      <c r="G10" s="3">
        <f>SUMIFS('Data nguồn'!J:J, 'Data nguồn'!D:D, $D10, 'Data nguồn'!F:F, $B$1, 'Data nguồn'!C:C, G$3)</f>
      </c>
      <c r="H10" s="3">
        <f>SUMIFS('Data nguồn'!J:J, 'Data nguồn'!D:D, $D10, 'Data nguồn'!F:F, $B$1, 'Data nguồn'!C:C, H$3)</f>
      </c>
      <c r="I10" s="3">
        <f>SUMIFS('Data nguồn'!J:J, 'Data nguồn'!D:D, $D10, 'Data nguồn'!F:F, $B$1, 'Data nguồn'!C:C, I$3)</f>
      </c>
      <c r="J10" s="3">
        <f>SUMIFS('Data nguồn'!J:J, 'Data nguồn'!D:D, $D10, 'Data nguồn'!F:F, $B$1, 'Data nguồn'!C:C, J$3)</f>
      </c>
      <c r="K10" s="3">
        <f>SUMIFS('Data nguồn'!J:J, 'Data nguồn'!D:D, $D10, 'Data nguồn'!F:F, $B$1, 'Data nguồn'!C:C, K$3)</f>
      </c>
      <c r="L10" s="3">
        <f>SUMIFS('Data nguồn'!J:J, 'Data nguồn'!D:D, $D10, 'Data nguồn'!F:F, $B$1, 'Data nguồn'!C:C, L$3)</f>
      </c>
      <c r="M10" s="3">
        <f>SUMIFS('Data nguồn'!J:J, 'Data nguồn'!D:D, $D10, 'Data nguồn'!F:F, $B$1, 'Data nguồn'!C:C, M$3)</f>
      </c>
      <c r="N10" s="3">
        <f>SUMIFS('Data nguồn'!J:J, 'Data nguồn'!D:D, $D10, 'Data nguồn'!F:F, $B$1, 'Data nguồn'!C:C, N$3)</f>
      </c>
      <c r="O10" s="3">
        <f>SUMIFS('Data nguồn'!J:J, 'Data nguồn'!D:D, $D10, 'Data nguồn'!F:F, $B$1, 'Data nguồn'!C:C, O$3)</f>
      </c>
      <c r="P10" s="3">
        <f>SUMIFS('Data nguồn'!J:J, 'Data nguồn'!D:D, $D10, 'Data nguồn'!F:F, $B$1, 'Data nguồn'!C:C, P$3)</f>
      </c>
      <c r="Q10" s="3">
        <f>SUMIFS('Data nguồn'!J:J, 'Data nguồn'!D:D, $D10, 'Data nguồn'!F:F, $B$1, 'Data nguồn'!C:C, Q$3)</f>
      </c>
      <c r="R10" s="3">
        <f>SUMIFS('Data nguồn'!J:J, 'Data nguồn'!D:D, $D10, 'Data nguồn'!F:F, $B$1, 'Data nguồn'!C:C, R$3)</f>
      </c>
      <c r="S10" s="3">
        <f>SUMIFS('Data nguồn'!J:J, 'Data nguồn'!D:D, $D10, 'Data nguồn'!F:F, $B$1, 'Data nguồn'!C:C, S$3)</f>
      </c>
      <c r="T10" s="3">
        <f>SUMIFS('Data nguồn'!J:J, 'Data nguồn'!D:D, $D10, 'Data nguồn'!F:F, $B$1, 'Data nguồn'!C:C, T$3)</f>
      </c>
      <c r="U10" s="3">
        <f>SUMIFS('Data nguồn'!J:J, 'Data nguồn'!D:D, $D10, 'Data nguồn'!F:F, $B$1, 'Data nguồn'!C:C, U$3)</f>
      </c>
      <c r="W10" s="3">
        <f>SUM(E10:P10)</f>
      </c>
      <c r="X10" s="3">
        <f>SUM(Q10:U10)</f>
      </c>
      <c r="Y10" s="3">
        <f>AVERAGE(S10:U10)</f>
      </c>
      <c r="Z10" s="3">
        <f>AVERAGE(P10:U10)</f>
      </c>
      <c r="AA10" s="3">
        <f>AVERAGE(M10:U10)</f>
      </c>
      <c r="AB10" s="4">
        <f>IFERROR((Y10*2)/(Z10+AA10), 0)</f>
      </c>
      <c r="AC10" s="4">
        <f>IFERROR(X10/SUM(E10:I10), 0)</f>
      </c>
      <c r="AD10" s="4">
        <f>IFERROR(X10/SUM(E10:I10), 0)</f>
      </c>
      <c r="AE10" s="4">
        <f>IFERROR(U10/I10, 0)</f>
      </c>
    </row>
    <row r="11" ht="20" customHeight="1" spans="1:31" x14ac:dyDescent="0.25">
      <c r="A11">
        <v>8</v>
      </c>
      <c r="B11" t="s">
        <v>10</v>
      </c>
      <c r="C11" t="s">
        <v>141</v>
      </c>
      <c r="D11" s="2" t="s">
        <v>10</v>
      </c>
      <c r="E11" s="3">
        <f>SUMIFS('Data nguồn'!J:J, 'Data nguồn'!D:D, $D11, 'Data nguồn'!F:F, $B$1, 'Data nguồn'!C:C, E$3)</f>
      </c>
      <c r="F11" s="3">
        <f>SUMIFS('Data nguồn'!J:J, 'Data nguồn'!D:D, $D11, 'Data nguồn'!F:F, $B$1, 'Data nguồn'!C:C, F$3)</f>
      </c>
      <c r="G11" s="3">
        <f>SUMIFS('Data nguồn'!J:J, 'Data nguồn'!D:D, $D11, 'Data nguồn'!F:F, $B$1, 'Data nguồn'!C:C, G$3)</f>
      </c>
      <c r="H11" s="3">
        <f>SUMIFS('Data nguồn'!J:J, 'Data nguồn'!D:D, $D11, 'Data nguồn'!F:F, $B$1, 'Data nguồn'!C:C, H$3)</f>
      </c>
      <c r="I11" s="3">
        <f>SUMIFS('Data nguồn'!J:J, 'Data nguồn'!D:D, $D11, 'Data nguồn'!F:F, $B$1, 'Data nguồn'!C:C, I$3)</f>
      </c>
      <c r="J11" s="3">
        <f>SUMIFS('Data nguồn'!J:J, 'Data nguồn'!D:D, $D11, 'Data nguồn'!F:F, $B$1, 'Data nguồn'!C:C, J$3)</f>
      </c>
      <c r="K11" s="3">
        <f>SUMIFS('Data nguồn'!J:J, 'Data nguồn'!D:D, $D11, 'Data nguồn'!F:F, $B$1, 'Data nguồn'!C:C, K$3)</f>
      </c>
      <c r="L11" s="3">
        <f>SUMIFS('Data nguồn'!J:J, 'Data nguồn'!D:D, $D11, 'Data nguồn'!F:F, $B$1, 'Data nguồn'!C:C, L$3)</f>
      </c>
      <c r="M11" s="3">
        <f>SUMIFS('Data nguồn'!J:J, 'Data nguồn'!D:D, $D11, 'Data nguồn'!F:F, $B$1, 'Data nguồn'!C:C, M$3)</f>
      </c>
      <c r="N11" s="3">
        <f>SUMIFS('Data nguồn'!J:J, 'Data nguồn'!D:D, $D11, 'Data nguồn'!F:F, $B$1, 'Data nguồn'!C:C, N$3)</f>
      </c>
      <c r="O11" s="3">
        <f>SUMIFS('Data nguồn'!J:J, 'Data nguồn'!D:D, $D11, 'Data nguồn'!F:F, $B$1, 'Data nguồn'!C:C, O$3)</f>
      </c>
      <c r="P11" s="3">
        <f>SUMIFS('Data nguồn'!J:J, 'Data nguồn'!D:D, $D11, 'Data nguồn'!F:F, $B$1, 'Data nguồn'!C:C, P$3)</f>
      </c>
      <c r="Q11" s="3">
        <f>SUMIFS('Data nguồn'!J:J, 'Data nguồn'!D:D, $D11, 'Data nguồn'!F:F, $B$1, 'Data nguồn'!C:C, Q$3)</f>
      </c>
      <c r="R11" s="3">
        <f>SUMIFS('Data nguồn'!J:J, 'Data nguồn'!D:D, $D11, 'Data nguồn'!F:F, $B$1, 'Data nguồn'!C:C, R$3)</f>
      </c>
      <c r="S11" s="3">
        <f>SUMIFS('Data nguồn'!J:J, 'Data nguồn'!D:D, $D11, 'Data nguồn'!F:F, $B$1, 'Data nguồn'!C:C, S$3)</f>
      </c>
      <c r="T11" s="3">
        <f>SUMIFS('Data nguồn'!J:J, 'Data nguồn'!D:D, $D11, 'Data nguồn'!F:F, $B$1, 'Data nguồn'!C:C, T$3)</f>
      </c>
      <c r="U11" s="3">
        <f>SUMIFS('Data nguồn'!J:J, 'Data nguồn'!D:D, $D11, 'Data nguồn'!F:F, $B$1, 'Data nguồn'!C:C, U$3)</f>
      </c>
      <c r="W11" s="3">
        <f>SUM(E11:P11)</f>
      </c>
      <c r="X11" s="3">
        <f>SUM(Q11:U11)</f>
      </c>
      <c r="Y11" s="3">
        <f>AVERAGE(S11:U11)</f>
      </c>
      <c r="Z11" s="3">
        <f>AVERAGE(P11:U11)</f>
      </c>
      <c r="AA11" s="3">
        <f>AVERAGE(M11:U11)</f>
      </c>
      <c r="AB11" s="4">
        <f>IFERROR((Y11*2)/(Z11+AA11), 0)</f>
      </c>
      <c r="AC11" s="4">
        <f>IFERROR(X11/SUM(E11:I11), 0)</f>
      </c>
      <c r="AD11" s="4">
        <f>IFERROR(X11/SUM(E11:I11), 0)</f>
      </c>
      <c r="AE11" s="4">
        <f>IFERROR(U11/I11, 0)</f>
      </c>
    </row>
    <row r="12" ht="20" customHeight="1" spans="1:31" x14ac:dyDescent="0.25">
      <c r="A12">
        <v>9</v>
      </c>
      <c r="B12" t="s">
        <v>11</v>
      </c>
      <c r="C12" t="s">
        <v>141</v>
      </c>
      <c r="D12" s="2" t="s">
        <v>11</v>
      </c>
      <c r="E12" s="3">
        <f>SUMIFS('Data nguồn'!J:J, 'Data nguồn'!D:D, $D12, 'Data nguồn'!F:F, $B$1, 'Data nguồn'!C:C, E$3)</f>
      </c>
      <c r="F12" s="3">
        <f>SUMIFS('Data nguồn'!J:J, 'Data nguồn'!D:D, $D12, 'Data nguồn'!F:F, $B$1, 'Data nguồn'!C:C, F$3)</f>
      </c>
      <c r="G12" s="3">
        <f>SUMIFS('Data nguồn'!J:J, 'Data nguồn'!D:D, $D12, 'Data nguồn'!F:F, $B$1, 'Data nguồn'!C:C, G$3)</f>
      </c>
      <c r="H12" s="3">
        <f>SUMIFS('Data nguồn'!J:J, 'Data nguồn'!D:D, $D12, 'Data nguồn'!F:F, $B$1, 'Data nguồn'!C:C, H$3)</f>
      </c>
      <c r="I12" s="3">
        <f>SUMIFS('Data nguồn'!J:J, 'Data nguồn'!D:D, $D12, 'Data nguồn'!F:F, $B$1, 'Data nguồn'!C:C, I$3)</f>
      </c>
      <c r="J12" s="3">
        <f>SUMIFS('Data nguồn'!J:J, 'Data nguồn'!D:D, $D12, 'Data nguồn'!F:F, $B$1, 'Data nguồn'!C:C, J$3)</f>
      </c>
      <c r="K12" s="3">
        <f>SUMIFS('Data nguồn'!J:J, 'Data nguồn'!D:D, $D12, 'Data nguồn'!F:F, $B$1, 'Data nguồn'!C:C, K$3)</f>
      </c>
      <c r="L12" s="3">
        <f>SUMIFS('Data nguồn'!J:J, 'Data nguồn'!D:D, $D12, 'Data nguồn'!F:F, $B$1, 'Data nguồn'!C:C, L$3)</f>
      </c>
      <c r="M12" s="3">
        <f>SUMIFS('Data nguồn'!J:J, 'Data nguồn'!D:D, $D12, 'Data nguồn'!F:F, $B$1, 'Data nguồn'!C:C, M$3)</f>
      </c>
      <c r="N12" s="3">
        <f>SUMIFS('Data nguồn'!J:J, 'Data nguồn'!D:D, $D12, 'Data nguồn'!F:F, $B$1, 'Data nguồn'!C:C, N$3)</f>
      </c>
      <c r="O12" s="3">
        <f>SUMIFS('Data nguồn'!J:J, 'Data nguồn'!D:D, $D12, 'Data nguồn'!F:F, $B$1, 'Data nguồn'!C:C, O$3)</f>
      </c>
      <c r="P12" s="3">
        <f>SUMIFS('Data nguồn'!J:J, 'Data nguồn'!D:D, $D12, 'Data nguồn'!F:F, $B$1, 'Data nguồn'!C:C, P$3)</f>
      </c>
      <c r="Q12" s="3">
        <f>SUMIFS('Data nguồn'!J:J, 'Data nguồn'!D:D, $D12, 'Data nguồn'!F:F, $B$1, 'Data nguồn'!C:C, Q$3)</f>
      </c>
      <c r="R12" s="3">
        <f>SUMIFS('Data nguồn'!J:J, 'Data nguồn'!D:D, $D12, 'Data nguồn'!F:F, $B$1, 'Data nguồn'!C:C, R$3)</f>
      </c>
      <c r="S12" s="3">
        <f>SUMIFS('Data nguồn'!J:J, 'Data nguồn'!D:D, $D12, 'Data nguồn'!F:F, $B$1, 'Data nguồn'!C:C, S$3)</f>
      </c>
      <c r="T12" s="3">
        <f>SUMIFS('Data nguồn'!J:J, 'Data nguồn'!D:D, $D12, 'Data nguồn'!F:F, $B$1, 'Data nguồn'!C:C, T$3)</f>
      </c>
      <c r="U12" s="3">
        <f>SUMIFS('Data nguồn'!J:J, 'Data nguồn'!D:D, $D12, 'Data nguồn'!F:F, $B$1, 'Data nguồn'!C:C, U$3)</f>
      </c>
      <c r="W12" s="3">
        <f>SUM(E12:P12)</f>
      </c>
      <c r="X12" s="3">
        <f>SUM(Q12:U12)</f>
      </c>
      <c r="Y12" s="3">
        <f>AVERAGE(S12:U12)</f>
      </c>
      <c r="Z12" s="3">
        <f>AVERAGE(P12:U12)</f>
      </c>
      <c r="AA12" s="3">
        <f>AVERAGE(M12:U12)</f>
      </c>
      <c r="AB12" s="4">
        <f>IFERROR((Y12*2)/(Z12+AA12), 0)</f>
      </c>
      <c r="AC12" s="4">
        <f>IFERROR(X12/SUM(E12:I12), 0)</f>
      </c>
      <c r="AD12" s="4">
        <f>IFERROR(X12/SUM(E12:I12), 0)</f>
      </c>
      <c r="AE12" s="4">
        <f>IFERROR(U12/I12, 0)</f>
      </c>
    </row>
    <row r="13" ht="20" customHeight="1" spans="1:31" x14ac:dyDescent="0.25">
      <c r="A13">
        <v>10</v>
      </c>
      <c r="B13" t="s">
        <v>12</v>
      </c>
      <c r="C13" t="s">
        <v>141</v>
      </c>
      <c r="D13" s="2" t="s">
        <v>12</v>
      </c>
      <c r="E13" s="3">
        <f>SUMIFS('Data nguồn'!J:J, 'Data nguồn'!D:D, $D13, 'Data nguồn'!F:F, $B$1, 'Data nguồn'!C:C, E$3)</f>
      </c>
      <c r="F13" s="3">
        <f>SUMIFS('Data nguồn'!J:J, 'Data nguồn'!D:D, $D13, 'Data nguồn'!F:F, $B$1, 'Data nguồn'!C:C, F$3)</f>
      </c>
      <c r="G13" s="3">
        <f>SUMIFS('Data nguồn'!J:J, 'Data nguồn'!D:D, $D13, 'Data nguồn'!F:F, $B$1, 'Data nguồn'!C:C, G$3)</f>
      </c>
      <c r="H13" s="3">
        <f>SUMIFS('Data nguồn'!J:J, 'Data nguồn'!D:D, $D13, 'Data nguồn'!F:F, $B$1, 'Data nguồn'!C:C, H$3)</f>
      </c>
      <c r="I13" s="3">
        <f>SUMIFS('Data nguồn'!J:J, 'Data nguồn'!D:D, $D13, 'Data nguồn'!F:F, $B$1, 'Data nguồn'!C:C, I$3)</f>
      </c>
      <c r="J13" s="3">
        <f>SUMIFS('Data nguồn'!J:J, 'Data nguồn'!D:D, $D13, 'Data nguồn'!F:F, $B$1, 'Data nguồn'!C:C, J$3)</f>
      </c>
      <c r="K13" s="3">
        <f>SUMIFS('Data nguồn'!J:J, 'Data nguồn'!D:D, $D13, 'Data nguồn'!F:F, $B$1, 'Data nguồn'!C:C, K$3)</f>
      </c>
      <c r="L13" s="3">
        <f>SUMIFS('Data nguồn'!J:J, 'Data nguồn'!D:D, $D13, 'Data nguồn'!F:F, $B$1, 'Data nguồn'!C:C, L$3)</f>
      </c>
      <c r="M13" s="3">
        <f>SUMIFS('Data nguồn'!J:J, 'Data nguồn'!D:D, $D13, 'Data nguồn'!F:F, $B$1, 'Data nguồn'!C:C, M$3)</f>
      </c>
      <c r="N13" s="3">
        <f>SUMIFS('Data nguồn'!J:J, 'Data nguồn'!D:D, $D13, 'Data nguồn'!F:F, $B$1, 'Data nguồn'!C:C, N$3)</f>
      </c>
      <c r="O13" s="3">
        <f>SUMIFS('Data nguồn'!J:J, 'Data nguồn'!D:D, $D13, 'Data nguồn'!F:F, $B$1, 'Data nguồn'!C:C, O$3)</f>
      </c>
      <c r="P13" s="3">
        <f>SUMIFS('Data nguồn'!J:J, 'Data nguồn'!D:D, $D13, 'Data nguồn'!F:F, $B$1, 'Data nguồn'!C:C, P$3)</f>
      </c>
      <c r="Q13" s="3">
        <f>SUMIFS('Data nguồn'!J:J, 'Data nguồn'!D:D, $D13, 'Data nguồn'!F:F, $B$1, 'Data nguồn'!C:C, Q$3)</f>
      </c>
      <c r="R13" s="3">
        <f>SUMIFS('Data nguồn'!J:J, 'Data nguồn'!D:D, $D13, 'Data nguồn'!F:F, $B$1, 'Data nguồn'!C:C, R$3)</f>
      </c>
      <c r="S13" s="3">
        <f>SUMIFS('Data nguồn'!J:J, 'Data nguồn'!D:D, $D13, 'Data nguồn'!F:F, $B$1, 'Data nguồn'!C:C, S$3)</f>
      </c>
      <c r="T13" s="3">
        <f>SUMIFS('Data nguồn'!J:J, 'Data nguồn'!D:D, $D13, 'Data nguồn'!F:F, $B$1, 'Data nguồn'!C:C, T$3)</f>
      </c>
      <c r="U13" s="3">
        <f>SUMIFS('Data nguồn'!J:J, 'Data nguồn'!D:D, $D13, 'Data nguồn'!F:F, $B$1, 'Data nguồn'!C:C, U$3)</f>
      </c>
      <c r="W13" s="3">
        <f>SUM(E13:P13)</f>
      </c>
      <c r="X13" s="3">
        <f>SUM(Q13:U13)</f>
      </c>
      <c r="Y13" s="3">
        <f>AVERAGE(S13:U13)</f>
      </c>
      <c r="Z13" s="3">
        <f>AVERAGE(P13:U13)</f>
      </c>
      <c r="AA13" s="3">
        <f>AVERAGE(M13:U13)</f>
      </c>
      <c r="AB13" s="4">
        <f>IFERROR((Y13*2)/(Z13+AA13), 0)</f>
      </c>
      <c r="AC13" s="4">
        <f>IFERROR(X13/SUM(E13:I13), 0)</f>
      </c>
      <c r="AD13" s="4">
        <f>IFERROR(X13/SUM(E13:I13), 0)</f>
      </c>
      <c r="AE13" s="4">
        <f>IFERROR(U13/I13, 0)</f>
      </c>
    </row>
    <row r="14" ht="20" customHeight="1" spans="1:31" x14ac:dyDescent="0.25">
      <c r="A14">
        <v>11</v>
      </c>
      <c r="B14" t="s">
        <v>13</v>
      </c>
      <c r="C14" t="s">
        <v>141</v>
      </c>
      <c r="D14" s="2" t="s">
        <v>13</v>
      </c>
      <c r="E14" s="3">
        <f>SUMIFS('Data nguồn'!J:J, 'Data nguồn'!D:D, $D14, 'Data nguồn'!F:F, $B$1, 'Data nguồn'!C:C, E$3)</f>
      </c>
      <c r="F14" s="3">
        <f>SUMIFS('Data nguồn'!J:J, 'Data nguồn'!D:D, $D14, 'Data nguồn'!F:F, $B$1, 'Data nguồn'!C:C, F$3)</f>
      </c>
      <c r="G14" s="3">
        <f>SUMIFS('Data nguồn'!J:J, 'Data nguồn'!D:D, $D14, 'Data nguồn'!F:F, $B$1, 'Data nguồn'!C:C, G$3)</f>
      </c>
      <c r="H14" s="3">
        <f>SUMIFS('Data nguồn'!J:J, 'Data nguồn'!D:D, $D14, 'Data nguồn'!F:F, $B$1, 'Data nguồn'!C:C, H$3)</f>
      </c>
      <c r="I14" s="3">
        <f>SUMIFS('Data nguồn'!J:J, 'Data nguồn'!D:D, $D14, 'Data nguồn'!F:F, $B$1, 'Data nguồn'!C:C, I$3)</f>
      </c>
      <c r="J14" s="3">
        <f>SUMIFS('Data nguồn'!J:J, 'Data nguồn'!D:D, $D14, 'Data nguồn'!F:F, $B$1, 'Data nguồn'!C:C, J$3)</f>
      </c>
      <c r="K14" s="3">
        <f>SUMIFS('Data nguồn'!J:J, 'Data nguồn'!D:D, $D14, 'Data nguồn'!F:F, $B$1, 'Data nguồn'!C:C, K$3)</f>
      </c>
      <c r="L14" s="3">
        <f>SUMIFS('Data nguồn'!J:J, 'Data nguồn'!D:D, $D14, 'Data nguồn'!F:F, $B$1, 'Data nguồn'!C:C, L$3)</f>
      </c>
      <c r="M14" s="3">
        <f>SUMIFS('Data nguồn'!J:J, 'Data nguồn'!D:D, $D14, 'Data nguồn'!F:F, $B$1, 'Data nguồn'!C:C, M$3)</f>
      </c>
      <c r="N14" s="3">
        <f>SUMIFS('Data nguồn'!J:J, 'Data nguồn'!D:D, $D14, 'Data nguồn'!F:F, $B$1, 'Data nguồn'!C:C, N$3)</f>
      </c>
      <c r="O14" s="3">
        <f>SUMIFS('Data nguồn'!J:J, 'Data nguồn'!D:D, $D14, 'Data nguồn'!F:F, $B$1, 'Data nguồn'!C:C, O$3)</f>
      </c>
      <c r="P14" s="3">
        <f>SUMIFS('Data nguồn'!J:J, 'Data nguồn'!D:D, $D14, 'Data nguồn'!F:F, $B$1, 'Data nguồn'!C:C, P$3)</f>
      </c>
      <c r="Q14" s="3">
        <f>SUMIFS('Data nguồn'!J:J, 'Data nguồn'!D:D, $D14, 'Data nguồn'!F:F, $B$1, 'Data nguồn'!C:C, Q$3)</f>
      </c>
      <c r="R14" s="3">
        <f>SUMIFS('Data nguồn'!J:J, 'Data nguồn'!D:D, $D14, 'Data nguồn'!F:F, $B$1, 'Data nguồn'!C:C, R$3)</f>
      </c>
      <c r="S14" s="3">
        <f>SUMIFS('Data nguồn'!J:J, 'Data nguồn'!D:D, $D14, 'Data nguồn'!F:F, $B$1, 'Data nguồn'!C:C, S$3)</f>
      </c>
      <c r="T14" s="3">
        <f>SUMIFS('Data nguồn'!J:J, 'Data nguồn'!D:D, $D14, 'Data nguồn'!F:F, $B$1, 'Data nguồn'!C:C, T$3)</f>
      </c>
      <c r="U14" s="3">
        <f>SUMIFS('Data nguồn'!J:J, 'Data nguồn'!D:D, $D14, 'Data nguồn'!F:F, $B$1, 'Data nguồn'!C:C, U$3)</f>
      </c>
      <c r="W14" s="3">
        <f>SUM(E14:P14)</f>
      </c>
      <c r="X14" s="3">
        <f>SUM(Q14:U14)</f>
      </c>
      <c r="Y14" s="3">
        <f>AVERAGE(S14:U14)</f>
      </c>
      <c r="Z14" s="3">
        <f>AVERAGE(P14:U14)</f>
      </c>
      <c r="AA14" s="3">
        <f>AVERAGE(M14:U14)</f>
      </c>
      <c r="AB14" s="4">
        <f>IFERROR((Y14*2)/(Z14+AA14), 0)</f>
      </c>
      <c r="AC14" s="4">
        <f>IFERROR(X14/SUM(E14:I14), 0)</f>
      </c>
      <c r="AD14" s="4">
        <f>IFERROR(X14/SUM(E14:I14), 0)</f>
      </c>
      <c r="AE14" s="4">
        <f>IFERROR(U14/I14, 0)</f>
      </c>
    </row>
    <row r="15" ht="20" customHeight="1" spans="1:31" x14ac:dyDescent="0.25">
      <c r="A15">
        <v>12</v>
      </c>
      <c r="B15" t="s">
        <v>14</v>
      </c>
      <c r="C15" t="s">
        <v>141</v>
      </c>
      <c r="D15" s="2" t="s">
        <v>14</v>
      </c>
      <c r="E15" s="3">
        <f>SUMIFS('Data nguồn'!J:J, 'Data nguồn'!D:D, $D15, 'Data nguồn'!F:F, $B$1, 'Data nguồn'!C:C, E$3)</f>
      </c>
      <c r="F15" s="3">
        <f>SUMIFS('Data nguồn'!J:J, 'Data nguồn'!D:D, $D15, 'Data nguồn'!F:F, $B$1, 'Data nguồn'!C:C, F$3)</f>
      </c>
      <c r="G15" s="3">
        <f>SUMIFS('Data nguồn'!J:J, 'Data nguồn'!D:D, $D15, 'Data nguồn'!F:F, $B$1, 'Data nguồn'!C:C, G$3)</f>
      </c>
      <c r="H15" s="3">
        <f>SUMIFS('Data nguồn'!J:J, 'Data nguồn'!D:D, $D15, 'Data nguồn'!F:F, $B$1, 'Data nguồn'!C:C, H$3)</f>
      </c>
      <c r="I15" s="3">
        <f>SUMIFS('Data nguồn'!J:J, 'Data nguồn'!D:D, $D15, 'Data nguồn'!F:F, $B$1, 'Data nguồn'!C:C, I$3)</f>
      </c>
      <c r="J15" s="3">
        <f>SUMIFS('Data nguồn'!J:J, 'Data nguồn'!D:D, $D15, 'Data nguồn'!F:F, $B$1, 'Data nguồn'!C:C, J$3)</f>
      </c>
      <c r="K15" s="3">
        <f>SUMIFS('Data nguồn'!J:J, 'Data nguồn'!D:D, $D15, 'Data nguồn'!F:F, $B$1, 'Data nguồn'!C:C, K$3)</f>
      </c>
      <c r="L15" s="3">
        <f>SUMIFS('Data nguồn'!J:J, 'Data nguồn'!D:D, $D15, 'Data nguồn'!F:F, $B$1, 'Data nguồn'!C:C, L$3)</f>
      </c>
      <c r="M15" s="3">
        <f>SUMIFS('Data nguồn'!J:J, 'Data nguồn'!D:D, $D15, 'Data nguồn'!F:F, $B$1, 'Data nguồn'!C:C, M$3)</f>
      </c>
      <c r="N15" s="3">
        <f>SUMIFS('Data nguồn'!J:J, 'Data nguồn'!D:D, $D15, 'Data nguồn'!F:F, $B$1, 'Data nguồn'!C:C, N$3)</f>
      </c>
      <c r="O15" s="3">
        <f>SUMIFS('Data nguồn'!J:J, 'Data nguồn'!D:D, $D15, 'Data nguồn'!F:F, $B$1, 'Data nguồn'!C:C, O$3)</f>
      </c>
      <c r="P15" s="3">
        <f>SUMIFS('Data nguồn'!J:J, 'Data nguồn'!D:D, $D15, 'Data nguồn'!F:F, $B$1, 'Data nguồn'!C:C, P$3)</f>
      </c>
      <c r="Q15" s="3">
        <f>SUMIFS('Data nguồn'!J:J, 'Data nguồn'!D:D, $D15, 'Data nguồn'!F:F, $B$1, 'Data nguồn'!C:C, Q$3)</f>
      </c>
      <c r="R15" s="3">
        <f>SUMIFS('Data nguồn'!J:J, 'Data nguồn'!D:D, $D15, 'Data nguồn'!F:F, $B$1, 'Data nguồn'!C:C, R$3)</f>
      </c>
      <c r="S15" s="3">
        <f>SUMIFS('Data nguồn'!J:J, 'Data nguồn'!D:D, $D15, 'Data nguồn'!F:F, $B$1, 'Data nguồn'!C:C, S$3)</f>
      </c>
      <c r="T15" s="3">
        <f>SUMIFS('Data nguồn'!J:J, 'Data nguồn'!D:D, $D15, 'Data nguồn'!F:F, $B$1, 'Data nguồn'!C:C, T$3)</f>
      </c>
      <c r="U15" s="3">
        <f>SUMIFS('Data nguồn'!J:J, 'Data nguồn'!D:D, $D15, 'Data nguồn'!F:F, $B$1, 'Data nguồn'!C:C, U$3)</f>
      </c>
      <c r="W15" s="3">
        <f>SUM(E15:P15)</f>
      </c>
      <c r="X15" s="3">
        <f>SUM(Q15:U15)</f>
      </c>
      <c r="Y15" s="3">
        <f>AVERAGE(S15:U15)</f>
      </c>
      <c r="Z15" s="3">
        <f>AVERAGE(P15:U15)</f>
      </c>
      <c r="AA15" s="3">
        <f>AVERAGE(M15:U15)</f>
      </c>
      <c r="AB15" s="4">
        <f>IFERROR((Y15*2)/(Z15+AA15), 0)</f>
      </c>
      <c r="AC15" s="4">
        <f>IFERROR(X15/SUM(E15:I15), 0)</f>
      </c>
      <c r="AD15" s="4">
        <f>IFERROR(X15/SUM(E15:I15), 0)</f>
      </c>
      <c r="AE15" s="4">
        <f>IFERROR(U15/I15, 0)</f>
      </c>
    </row>
    <row r="16" ht="20" customHeight="1" spans="1:31" x14ac:dyDescent="0.25">
      <c r="A16">
        <v>13</v>
      </c>
      <c r="B16" t="s">
        <v>15</v>
      </c>
      <c r="C16" t="s">
        <v>141</v>
      </c>
      <c r="D16" s="2" t="s">
        <v>15</v>
      </c>
      <c r="E16" s="3">
        <f>SUMIFS('Data nguồn'!J:J, 'Data nguồn'!D:D, $D16, 'Data nguồn'!F:F, $B$1, 'Data nguồn'!C:C, E$3)</f>
      </c>
      <c r="F16" s="3">
        <f>SUMIFS('Data nguồn'!J:J, 'Data nguồn'!D:D, $D16, 'Data nguồn'!F:F, $B$1, 'Data nguồn'!C:C, F$3)</f>
      </c>
      <c r="G16" s="3">
        <f>SUMIFS('Data nguồn'!J:J, 'Data nguồn'!D:D, $D16, 'Data nguồn'!F:F, $B$1, 'Data nguồn'!C:C, G$3)</f>
      </c>
      <c r="H16" s="3">
        <f>SUMIFS('Data nguồn'!J:J, 'Data nguồn'!D:D, $D16, 'Data nguồn'!F:F, $B$1, 'Data nguồn'!C:C, H$3)</f>
      </c>
      <c r="I16" s="3">
        <f>SUMIFS('Data nguồn'!J:J, 'Data nguồn'!D:D, $D16, 'Data nguồn'!F:F, $B$1, 'Data nguồn'!C:C, I$3)</f>
      </c>
      <c r="J16" s="3">
        <f>SUMIFS('Data nguồn'!J:J, 'Data nguồn'!D:D, $D16, 'Data nguồn'!F:F, $B$1, 'Data nguồn'!C:C, J$3)</f>
      </c>
      <c r="K16" s="3">
        <f>SUMIFS('Data nguồn'!J:J, 'Data nguồn'!D:D, $D16, 'Data nguồn'!F:F, $B$1, 'Data nguồn'!C:C, K$3)</f>
      </c>
      <c r="L16" s="3">
        <f>SUMIFS('Data nguồn'!J:J, 'Data nguồn'!D:D, $D16, 'Data nguồn'!F:F, $B$1, 'Data nguồn'!C:C, L$3)</f>
      </c>
      <c r="M16" s="3">
        <f>SUMIFS('Data nguồn'!J:J, 'Data nguồn'!D:D, $D16, 'Data nguồn'!F:F, $B$1, 'Data nguồn'!C:C, M$3)</f>
      </c>
      <c r="N16" s="3">
        <f>SUMIFS('Data nguồn'!J:J, 'Data nguồn'!D:D, $D16, 'Data nguồn'!F:F, $B$1, 'Data nguồn'!C:C, N$3)</f>
      </c>
      <c r="O16" s="3">
        <f>SUMIFS('Data nguồn'!J:J, 'Data nguồn'!D:D, $D16, 'Data nguồn'!F:F, $B$1, 'Data nguồn'!C:C, O$3)</f>
      </c>
      <c r="P16" s="3">
        <f>SUMIFS('Data nguồn'!J:J, 'Data nguồn'!D:D, $D16, 'Data nguồn'!F:F, $B$1, 'Data nguồn'!C:C, P$3)</f>
      </c>
      <c r="Q16" s="3">
        <f>SUMIFS('Data nguồn'!J:J, 'Data nguồn'!D:D, $D16, 'Data nguồn'!F:F, $B$1, 'Data nguồn'!C:C, Q$3)</f>
      </c>
      <c r="R16" s="3">
        <f>SUMIFS('Data nguồn'!J:J, 'Data nguồn'!D:D, $D16, 'Data nguồn'!F:F, $B$1, 'Data nguồn'!C:C, R$3)</f>
      </c>
      <c r="S16" s="3">
        <f>SUMIFS('Data nguồn'!J:J, 'Data nguồn'!D:D, $D16, 'Data nguồn'!F:F, $B$1, 'Data nguồn'!C:C, S$3)</f>
      </c>
      <c r="T16" s="3">
        <f>SUMIFS('Data nguồn'!J:J, 'Data nguồn'!D:D, $D16, 'Data nguồn'!F:F, $B$1, 'Data nguồn'!C:C, T$3)</f>
      </c>
      <c r="U16" s="3">
        <f>SUMIFS('Data nguồn'!J:J, 'Data nguồn'!D:D, $D16, 'Data nguồn'!F:F, $B$1, 'Data nguồn'!C:C, U$3)</f>
      </c>
      <c r="W16" s="3">
        <f>SUM(E16:P16)</f>
      </c>
      <c r="X16" s="3">
        <f>SUM(Q16:U16)</f>
      </c>
      <c r="Y16" s="3">
        <f>AVERAGE(S16:U16)</f>
      </c>
      <c r="Z16" s="3">
        <f>AVERAGE(P16:U16)</f>
      </c>
      <c r="AA16" s="3">
        <f>AVERAGE(M16:U16)</f>
      </c>
      <c r="AB16" s="4">
        <f>IFERROR((Y16*2)/(Z16+AA16), 0)</f>
      </c>
      <c r="AC16" s="4">
        <f>IFERROR(X16/SUM(E16:I16), 0)</f>
      </c>
      <c r="AD16" s="4">
        <f>IFERROR(X16/SUM(E16:I16), 0)</f>
      </c>
      <c r="AE16" s="4">
        <f>IFERROR(U16/I16, 0)</f>
      </c>
    </row>
    <row r="17" ht="20" customHeight="1" spans="1:31" x14ac:dyDescent="0.25">
      <c r="A17">
        <v>14</v>
      </c>
      <c r="B17" t="s">
        <v>16</v>
      </c>
      <c r="C17" t="s">
        <v>141</v>
      </c>
      <c r="D17" s="2" t="s">
        <v>16</v>
      </c>
      <c r="E17" s="3">
        <f>SUMIFS('Data nguồn'!J:J, 'Data nguồn'!D:D, $D17, 'Data nguồn'!F:F, $B$1, 'Data nguồn'!C:C, E$3)</f>
      </c>
      <c r="F17" s="3">
        <f>SUMIFS('Data nguồn'!J:J, 'Data nguồn'!D:D, $D17, 'Data nguồn'!F:F, $B$1, 'Data nguồn'!C:C, F$3)</f>
      </c>
      <c r="G17" s="3">
        <f>SUMIFS('Data nguồn'!J:J, 'Data nguồn'!D:D, $D17, 'Data nguồn'!F:F, $B$1, 'Data nguồn'!C:C, G$3)</f>
      </c>
      <c r="H17" s="3">
        <f>SUMIFS('Data nguồn'!J:J, 'Data nguồn'!D:D, $D17, 'Data nguồn'!F:F, $B$1, 'Data nguồn'!C:C, H$3)</f>
      </c>
      <c r="I17" s="3">
        <f>SUMIFS('Data nguồn'!J:J, 'Data nguồn'!D:D, $D17, 'Data nguồn'!F:F, $B$1, 'Data nguồn'!C:C, I$3)</f>
      </c>
      <c r="J17" s="3">
        <f>SUMIFS('Data nguồn'!J:J, 'Data nguồn'!D:D, $D17, 'Data nguồn'!F:F, $B$1, 'Data nguồn'!C:C, J$3)</f>
      </c>
      <c r="K17" s="3">
        <f>SUMIFS('Data nguồn'!J:J, 'Data nguồn'!D:D, $D17, 'Data nguồn'!F:F, $B$1, 'Data nguồn'!C:C, K$3)</f>
      </c>
      <c r="L17" s="3">
        <f>SUMIFS('Data nguồn'!J:J, 'Data nguồn'!D:D, $D17, 'Data nguồn'!F:F, $B$1, 'Data nguồn'!C:C, L$3)</f>
      </c>
      <c r="M17" s="3">
        <f>SUMIFS('Data nguồn'!J:J, 'Data nguồn'!D:D, $D17, 'Data nguồn'!F:F, $B$1, 'Data nguồn'!C:C, M$3)</f>
      </c>
      <c r="N17" s="3">
        <f>SUMIFS('Data nguồn'!J:J, 'Data nguồn'!D:D, $D17, 'Data nguồn'!F:F, $B$1, 'Data nguồn'!C:C, N$3)</f>
      </c>
      <c r="O17" s="3">
        <f>SUMIFS('Data nguồn'!J:J, 'Data nguồn'!D:D, $D17, 'Data nguồn'!F:F, $B$1, 'Data nguồn'!C:C, O$3)</f>
      </c>
      <c r="P17" s="3">
        <f>SUMIFS('Data nguồn'!J:J, 'Data nguồn'!D:D, $D17, 'Data nguồn'!F:F, $B$1, 'Data nguồn'!C:C, P$3)</f>
      </c>
      <c r="Q17" s="3">
        <f>SUMIFS('Data nguồn'!J:J, 'Data nguồn'!D:D, $D17, 'Data nguồn'!F:F, $B$1, 'Data nguồn'!C:C, Q$3)</f>
      </c>
      <c r="R17" s="3">
        <f>SUMIFS('Data nguồn'!J:J, 'Data nguồn'!D:D, $D17, 'Data nguồn'!F:F, $B$1, 'Data nguồn'!C:C, R$3)</f>
      </c>
      <c r="S17" s="3">
        <f>SUMIFS('Data nguồn'!J:J, 'Data nguồn'!D:D, $D17, 'Data nguồn'!F:F, $B$1, 'Data nguồn'!C:C, S$3)</f>
      </c>
      <c r="T17" s="3">
        <f>SUMIFS('Data nguồn'!J:J, 'Data nguồn'!D:D, $D17, 'Data nguồn'!F:F, $B$1, 'Data nguồn'!C:C, T$3)</f>
      </c>
      <c r="U17" s="3">
        <f>SUMIFS('Data nguồn'!J:J, 'Data nguồn'!D:D, $D17, 'Data nguồn'!F:F, $B$1, 'Data nguồn'!C:C, U$3)</f>
      </c>
      <c r="W17" s="3">
        <f>SUM(E17:P17)</f>
      </c>
      <c r="X17" s="3">
        <f>SUM(Q17:U17)</f>
      </c>
      <c r="Y17" s="3">
        <f>AVERAGE(S17:U17)</f>
      </c>
      <c r="Z17" s="3">
        <f>AVERAGE(P17:U17)</f>
      </c>
      <c r="AA17" s="3">
        <f>AVERAGE(M17:U17)</f>
      </c>
      <c r="AB17" s="4">
        <f>IFERROR((Y17*2)/(Z17+AA17), 0)</f>
      </c>
      <c r="AC17" s="4">
        <f>IFERROR(X17/SUM(E17:I17), 0)</f>
      </c>
      <c r="AD17" s="4">
        <f>IFERROR(X17/SUM(E17:I17), 0)</f>
      </c>
      <c r="AE17" s="4">
        <f>IFERROR(U17/I17, 0)</f>
      </c>
    </row>
    <row r="18" ht="20" customHeight="1" spans="1:31" x14ac:dyDescent="0.25">
      <c r="A18">
        <v>15</v>
      </c>
      <c r="B18" t="s">
        <v>17</v>
      </c>
      <c r="C18" t="s">
        <v>141</v>
      </c>
      <c r="D18" s="2" t="s">
        <v>17</v>
      </c>
      <c r="E18" s="3">
        <f>SUMIFS('Data nguồn'!J:J, 'Data nguồn'!D:D, $D18, 'Data nguồn'!F:F, $B$1, 'Data nguồn'!C:C, E$3)</f>
      </c>
      <c r="F18" s="3">
        <f>SUMIFS('Data nguồn'!J:J, 'Data nguồn'!D:D, $D18, 'Data nguồn'!F:F, $B$1, 'Data nguồn'!C:C, F$3)</f>
      </c>
      <c r="G18" s="3">
        <f>SUMIFS('Data nguồn'!J:J, 'Data nguồn'!D:D, $D18, 'Data nguồn'!F:F, $B$1, 'Data nguồn'!C:C, G$3)</f>
      </c>
      <c r="H18" s="3">
        <f>SUMIFS('Data nguồn'!J:J, 'Data nguồn'!D:D, $D18, 'Data nguồn'!F:F, $B$1, 'Data nguồn'!C:C, H$3)</f>
      </c>
      <c r="I18" s="3">
        <f>SUMIFS('Data nguồn'!J:J, 'Data nguồn'!D:D, $D18, 'Data nguồn'!F:F, $B$1, 'Data nguồn'!C:C, I$3)</f>
      </c>
      <c r="J18" s="3">
        <f>SUMIFS('Data nguồn'!J:J, 'Data nguồn'!D:D, $D18, 'Data nguồn'!F:F, $B$1, 'Data nguồn'!C:C, J$3)</f>
      </c>
      <c r="K18" s="3">
        <f>SUMIFS('Data nguồn'!J:J, 'Data nguồn'!D:D, $D18, 'Data nguồn'!F:F, $B$1, 'Data nguồn'!C:C, K$3)</f>
      </c>
      <c r="L18" s="3">
        <f>SUMIFS('Data nguồn'!J:J, 'Data nguồn'!D:D, $D18, 'Data nguồn'!F:F, $B$1, 'Data nguồn'!C:C, L$3)</f>
      </c>
      <c r="M18" s="3">
        <f>SUMIFS('Data nguồn'!J:J, 'Data nguồn'!D:D, $D18, 'Data nguồn'!F:F, $B$1, 'Data nguồn'!C:C, M$3)</f>
      </c>
      <c r="N18" s="3">
        <f>SUMIFS('Data nguồn'!J:J, 'Data nguồn'!D:D, $D18, 'Data nguồn'!F:F, $B$1, 'Data nguồn'!C:C, N$3)</f>
      </c>
      <c r="O18" s="3">
        <f>SUMIFS('Data nguồn'!J:J, 'Data nguồn'!D:D, $D18, 'Data nguồn'!F:F, $B$1, 'Data nguồn'!C:C, O$3)</f>
      </c>
      <c r="P18" s="3">
        <f>SUMIFS('Data nguồn'!J:J, 'Data nguồn'!D:D, $D18, 'Data nguồn'!F:F, $B$1, 'Data nguồn'!C:C, P$3)</f>
      </c>
      <c r="Q18" s="3">
        <f>SUMIFS('Data nguồn'!J:J, 'Data nguồn'!D:D, $D18, 'Data nguồn'!F:F, $B$1, 'Data nguồn'!C:C, Q$3)</f>
      </c>
      <c r="R18" s="3">
        <f>SUMIFS('Data nguồn'!J:J, 'Data nguồn'!D:D, $D18, 'Data nguồn'!F:F, $B$1, 'Data nguồn'!C:C, R$3)</f>
      </c>
      <c r="S18" s="3">
        <f>SUMIFS('Data nguồn'!J:J, 'Data nguồn'!D:D, $D18, 'Data nguồn'!F:F, $B$1, 'Data nguồn'!C:C, S$3)</f>
      </c>
      <c r="T18" s="3">
        <f>SUMIFS('Data nguồn'!J:J, 'Data nguồn'!D:D, $D18, 'Data nguồn'!F:F, $B$1, 'Data nguồn'!C:C, T$3)</f>
      </c>
      <c r="U18" s="3">
        <f>SUMIFS('Data nguồn'!J:J, 'Data nguồn'!D:D, $D18, 'Data nguồn'!F:F, $B$1, 'Data nguồn'!C:C, U$3)</f>
      </c>
      <c r="W18" s="3">
        <f>SUM(E18:P18)</f>
      </c>
      <c r="X18" s="3">
        <f>SUM(Q18:U18)</f>
      </c>
      <c r="Y18" s="3">
        <f>AVERAGE(S18:U18)</f>
      </c>
      <c r="Z18" s="3">
        <f>AVERAGE(P18:U18)</f>
      </c>
      <c r="AA18" s="3">
        <f>AVERAGE(M18:U18)</f>
      </c>
      <c r="AB18" s="4">
        <f>IFERROR((Y18*2)/(Z18+AA18), 0)</f>
      </c>
      <c r="AC18" s="4">
        <f>IFERROR(X18/SUM(E18:I18), 0)</f>
      </c>
      <c r="AD18" s="4">
        <f>IFERROR(X18/SUM(E18:I18), 0)</f>
      </c>
      <c r="AE18" s="4">
        <f>IFERROR(U18/I18, 0)</f>
      </c>
    </row>
    <row r="19" ht="20" customHeight="1" spans="1:31" x14ac:dyDescent="0.25">
      <c r="A19">
        <v>16</v>
      </c>
      <c r="B19" t="s">
        <v>18</v>
      </c>
      <c r="C19" t="s">
        <v>141</v>
      </c>
      <c r="D19" s="2" t="s">
        <v>18</v>
      </c>
      <c r="E19" s="3">
        <f>SUMIFS('Data nguồn'!J:J, 'Data nguồn'!D:D, $D19, 'Data nguồn'!F:F, $B$1, 'Data nguồn'!C:C, E$3)</f>
      </c>
      <c r="F19" s="3">
        <f>SUMIFS('Data nguồn'!J:J, 'Data nguồn'!D:D, $D19, 'Data nguồn'!F:F, $B$1, 'Data nguồn'!C:C, F$3)</f>
      </c>
      <c r="G19" s="3">
        <f>SUMIFS('Data nguồn'!J:J, 'Data nguồn'!D:D, $D19, 'Data nguồn'!F:F, $B$1, 'Data nguồn'!C:C, G$3)</f>
      </c>
      <c r="H19" s="3">
        <f>SUMIFS('Data nguồn'!J:J, 'Data nguồn'!D:D, $D19, 'Data nguồn'!F:F, $B$1, 'Data nguồn'!C:C, H$3)</f>
      </c>
      <c r="I19" s="3">
        <f>SUMIFS('Data nguồn'!J:J, 'Data nguồn'!D:D, $D19, 'Data nguồn'!F:F, $B$1, 'Data nguồn'!C:C, I$3)</f>
      </c>
      <c r="J19" s="3">
        <f>SUMIFS('Data nguồn'!J:J, 'Data nguồn'!D:D, $D19, 'Data nguồn'!F:F, $B$1, 'Data nguồn'!C:C, J$3)</f>
      </c>
      <c r="K19" s="3">
        <f>SUMIFS('Data nguồn'!J:J, 'Data nguồn'!D:D, $D19, 'Data nguồn'!F:F, $B$1, 'Data nguồn'!C:C, K$3)</f>
      </c>
      <c r="L19" s="3">
        <f>SUMIFS('Data nguồn'!J:J, 'Data nguồn'!D:D, $D19, 'Data nguồn'!F:F, $B$1, 'Data nguồn'!C:C, L$3)</f>
      </c>
      <c r="M19" s="3">
        <f>SUMIFS('Data nguồn'!J:J, 'Data nguồn'!D:D, $D19, 'Data nguồn'!F:F, $B$1, 'Data nguồn'!C:C, M$3)</f>
      </c>
      <c r="N19" s="3">
        <f>SUMIFS('Data nguồn'!J:J, 'Data nguồn'!D:D, $D19, 'Data nguồn'!F:F, $B$1, 'Data nguồn'!C:C, N$3)</f>
      </c>
      <c r="O19" s="3">
        <f>SUMIFS('Data nguồn'!J:J, 'Data nguồn'!D:D, $D19, 'Data nguồn'!F:F, $B$1, 'Data nguồn'!C:C, O$3)</f>
      </c>
      <c r="P19" s="3">
        <f>SUMIFS('Data nguồn'!J:J, 'Data nguồn'!D:D, $D19, 'Data nguồn'!F:F, $B$1, 'Data nguồn'!C:C, P$3)</f>
      </c>
      <c r="Q19" s="3">
        <f>SUMIFS('Data nguồn'!J:J, 'Data nguồn'!D:D, $D19, 'Data nguồn'!F:F, $B$1, 'Data nguồn'!C:C, Q$3)</f>
      </c>
      <c r="R19" s="3">
        <f>SUMIFS('Data nguồn'!J:J, 'Data nguồn'!D:D, $D19, 'Data nguồn'!F:F, $B$1, 'Data nguồn'!C:C, R$3)</f>
      </c>
      <c r="S19" s="3">
        <f>SUMIFS('Data nguồn'!J:J, 'Data nguồn'!D:D, $D19, 'Data nguồn'!F:F, $B$1, 'Data nguồn'!C:C, S$3)</f>
      </c>
      <c r="T19" s="3">
        <f>SUMIFS('Data nguồn'!J:J, 'Data nguồn'!D:D, $D19, 'Data nguồn'!F:F, $B$1, 'Data nguồn'!C:C, T$3)</f>
      </c>
      <c r="U19" s="3">
        <f>SUMIFS('Data nguồn'!J:J, 'Data nguồn'!D:D, $D19, 'Data nguồn'!F:F, $B$1, 'Data nguồn'!C:C, U$3)</f>
      </c>
      <c r="W19" s="3">
        <f>SUM(E19:P19)</f>
      </c>
      <c r="X19" s="3">
        <f>SUM(Q19:U19)</f>
      </c>
      <c r="Y19" s="3">
        <f>AVERAGE(S19:U19)</f>
      </c>
      <c r="Z19" s="3">
        <f>AVERAGE(P19:U19)</f>
      </c>
      <c r="AA19" s="3">
        <f>AVERAGE(M19:U19)</f>
      </c>
      <c r="AB19" s="4">
        <f>IFERROR((Y19*2)/(Z19+AA19), 0)</f>
      </c>
      <c r="AC19" s="4">
        <f>IFERROR(X19/SUM(E19:I19), 0)</f>
      </c>
      <c r="AD19" s="4">
        <f>IFERROR(X19/SUM(E19:I19), 0)</f>
      </c>
      <c r="AE19" s="4">
        <f>IFERROR(U19/I19, 0)</f>
      </c>
    </row>
    <row r="20" ht="20" customHeight="1" spans="1:31" x14ac:dyDescent="0.25">
      <c r="A20">
        <v>17</v>
      </c>
      <c r="B20" t="s">
        <v>19</v>
      </c>
      <c r="C20" t="s">
        <v>141</v>
      </c>
      <c r="D20" s="2" t="s">
        <v>19</v>
      </c>
      <c r="E20" s="3">
        <f>SUMIFS('Data nguồn'!J:J, 'Data nguồn'!D:D, $D20, 'Data nguồn'!F:F, $B$1, 'Data nguồn'!C:C, E$3)</f>
      </c>
      <c r="F20" s="3">
        <f>SUMIFS('Data nguồn'!J:J, 'Data nguồn'!D:D, $D20, 'Data nguồn'!F:F, $B$1, 'Data nguồn'!C:C, F$3)</f>
      </c>
      <c r="G20" s="3">
        <f>SUMIFS('Data nguồn'!J:J, 'Data nguồn'!D:D, $D20, 'Data nguồn'!F:F, $B$1, 'Data nguồn'!C:C, G$3)</f>
      </c>
      <c r="H20" s="3">
        <f>SUMIFS('Data nguồn'!J:J, 'Data nguồn'!D:D, $D20, 'Data nguồn'!F:F, $B$1, 'Data nguồn'!C:C, H$3)</f>
      </c>
      <c r="I20" s="3">
        <f>SUMIFS('Data nguồn'!J:J, 'Data nguồn'!D:D, $D20, 'Data nguồn'!F:F, $B$1, 'Data nguồn'!C:C, I$3)</f>
      </c>
      <c r="J20" s="3">
        <f>SUMIFS('Data nguồn'!J:J, 'Data nguồn'!D:D, $D20, 'Data nguồn'!F:F, $B$1, 'Data nguồn'!C:C, J$3)</f>
      </c>
      <c r="K20" s="3">
        <f>SUMIFS('Data nguồn'!J:J, 'Data nguồn'!D:D, $D20, 'Data nguồn'!F:F, $B$1, 'Data nguồn'!C:C, K$3)</f>
      </c>
      <c r="L20" s="3">
        <f>SUMIFS('Data nguồn'!J:J, 'Data nguồn'!D:D, $D20, 'Data nguồn'!F:F, $B$1, 'Data nguồn'!C:C, L$3)</f>
      </c>
      <c r="M20" s="3">
        <f>SUMIFS('Data nguồn'!J:J, 'Data nguồn'!D:D, $D20, 'Data nguồn'!F:F, $B$1, 'Data nguồn'!C:C, M$3)</f>
      </c>
      <c r="N20" s="3">
        <f>SUMIFS('Data nguồn'!J:J, 'Data nguồn'!D:D, $D20, 'Data nguồn'!F:F, $B$1, 'Data nguồn'!C:C, N$3)</f>
      </c>
      <c r="O20" s="3">
        <f>SUMIFS('Data nguồn'!J:J, 'Data nguồn'!D:D, $D20, 'Data nguồn'!F:F, $B$1, 'Data nguồn'!C:C, O$3)</f>
      </c>
      <c r="P20" s="3">
        <f>SUMIFS('Data nguồn'!J:J, 'Data nguồn'!D:D, $D20, 'Data nguồn'!F:F, $B$1, 'Data nguồn'!C:C, P$3)</f>
      </c>
      <c r="Q20" s="3">
        <f>SUMIFS('Data nguồn'!J:J, 'Data nguồn'!D:D, $D20, 'Data nguồn'!F:F, $B$1, 'Data nguồn'!C:C, Q$3)</f>
      </c>
      <c r="R20" s="3">
        <f>SUMIFS('Data nguồn'!J:J, 'Data nguồn'!D:D, $D20, 'Data nguồn'!F:F, $B$1, 'Data nguồn'!C:C, R$3)</f>
      </c>
      <c r="S20" s="3">
        <f>SUMIFS('Data nguồn'!J:J, 'Data nguồn'!D:D, $D20, 'Data nguồn'!F:F, $B$1, 'Data nguồn'!C:C, S$3)</f>
      </c>
      <c r="T20" s="3">
        <f>SUMIFS('Data nguồn'!J:J, 'Data nguồn'!D:D, $D20, 'Data nguồn'!F:F, $B$1, 'Data nguồn'!C:C, T$3)</f>
      </c>
      <c r="U20" s="3">
        <f>SUMIFS('Data nguồn'!J:J, 'Data nguồn'!D:D, $D20, 'Data nguồn'!F:F, $B$1, 'Data nguồn'!C:C, U$3)</f>
      </c>
      <c r="W20" s="3">
        <f>SUM(E20:P20)</f>
      </c>
      <c r="X20" s="3">
        <f>SUM(Q20:U20)</f>
      </c>
      <c r="Y20" s="3">
        <f>AVERAGE(S20:U20)</f>
      </c>
      <c r="Z20" s="3">
        <f>AVERAGE(P20:U20)</f>
      </c>
      <c r="AA20" s="3">
        <f>AVERAGE(M20:U20)</f>
      </c>
      <c r="AB20" s="4">
        <f>IFERROR((Y20*2)/(Z20+AA20), 0)</f>
      </c>
      <c r="AC20" s="4">
        <f>IFERROR(X20/SUM(E20:I20), 0)</f>
      </c>
      <c r="AD20" s="4">
        <f>IFERROR(X20/SUM(E20:I20), 0)</f>
      </c>
      <c r="AE20" s="4">
        <f>IFERROR(U20/I20, 0)</f>
      </c>
    </row>
    <row r="21" ht="20" customHeight="1" spans="1:31" x14ac:dyDescent="0.25">
      <c r="A21">
        <v>18</v>
      </c>
      <c r="B21" t="s">
        <v>20</v>
      </c>
      <c r="C21" t="s">
        <v>141</v>
      </c>
      <c r="D21" s="2" t="s">
        <v>20</v>
      </c>
      <c r="E21" s="3">
        <f>SUMIFS('Data nguồn'!J:J, 'Data nguồn'!D:D, $D21, 'Data nguồn'!F:F, $B$1, 'Data nguồn'!C:C, E$3)</f>
      </c>
      <c r="F21" s="3">
        <f>SUMIFS('Data nguồn'!J:J, 'Data nguồn'!D:D, $D21, 'Data nguồn'!F:F, $B$1, 'Data nguồn'!C:C, F$3)</f>
      </c>
      <c r="G21" s="3">
        <f>SUMIFS('Data nguồn'!J:J, 'Data nguồn'!D:D, $D21, 'Data nguồn'!F:F, $B$1, 'Data nguồn'!C:C, G$3)</f>
      </c>
      <c r="H21" s="3">
        <f>SUMIFS('Data nguồn'!J:J, 'Data nguồn'!D:D, $D21, 'Data nguồn'!F:F, $B$1, 'Data nguồn'!C:C, H$3)</f>
      </c>
      <c r="I21" s="3">
        <f>SUMIFS('Data nguồn'!J:J, 'Data nguồn'!D:D, $D21, 'Data nguồn'!F:F, $B$1, 'Data nguồn'!C:C, I$3)</f>
      </c>
      <c r="J21" s="3">
        <f>SUMIFS('Data nguồn'!J:J, 'Data nguồn'!D:D, $D21, 'Data nguồn'!F:F, $B$1, 'Data nguồn'!C:C, J$3)</f>
      </c>
      <c r="K21" s="3">
        <f>SUMIFS('Data nguồn'!J:J, 'Data nguồn'!D:D, $D21, 'Data nguồn'!F:F, $B$1, 'Data nguồn'!C:C, K$3)</f>
      </c>
      <c r="L21" s="3">
        <f>SUMIFS('Data nguồn'!J:J, 'Data nguồn'!D:D, $D21, 'Data nguồn'!F:F, $B$1, 'Data nguồn'!C:C, L$3)</f>
      </c>
      <c r="M21" s="3">
        <f>SUMIFS('Data nguồn'!J:J, 'Data nguồn'!D:D, $D21, 'Data nguồn'!F:F, $B$1, 'Data nguồn'!C:C, M$3)</f>
      </c>
      <c r="N21" s="3">
        <f>SUMIFS('Data nguồn'!J:J, 'Data nguồn'!D:D, $D21, 'Data nguồn'!F:F, $B$1, 'Data nguồn'!C:C, N$3)</f>
      </c>
      <c r="O21" s="3">
        <f>SUMIFS('Data nguồn'!J:J, 'Data nguồn'!D:D, $D21, 'Data nguồn'!F:F, $B$1, 'Data nguồn'!C:C, O$3)</f>
      </c>
      <c r="P21" s="3">
        <f>SUMIFS('Data nguồn'!J:J, 'Data nguồn'!D:D, $D21, 'Data nguồn'!F:F, $B$1, 'Data nguồn'!C:C, P$3)</f>
      </c>
      <c r="Q21" s="3">
        <f>SUMIFS('Data nguồn'!J:J, 'Data nguồn'!D:D, $D21, 'Data nguồn'!F:F, $B$1, 'Data nguồn'!C:C, Q$3)</f>
      </c>
      <c r="R21" s="3">
        <f>SUMIFS('Data nguồn'!J:J, 'Data nguồn'!D:D, $D21, 'Data nguồn'!F:F, $B$1, 'Data nguồn'!C:C, R$3)</f>
      </c>
      <c r="S21" s="3">
        <f>SUMIFS('Data nguồn'!J:J, 'Data nguồn'!D:D, $D21, 'Data nguồn'!F:F, $B$1, 'Data nguồn'!C:C, S$3)</f>
      </c>
      <c r="T21" s="3">
        <f>SUMIFS('Data nguồn'!J:J, 'Data nguồn'!D:D, $D21, 'Data nguồn'!F:F, $B$1, 'Data nguồn'!C:C, T$3)</f>
      </c>
      <c r="U21" s="3">
        <f>SUMIFS('Data nguồn'!J:J, 'Data nguồn'!D:D, $D21, 'Data nguồn'!F:F, $B$1, 'Data nguồn'!C:C, U$3)</f>
      </c>
      <c r="W21" s="3">
        <f>SUM(E21:P21)</f>
      </c>
      <c r="X21" s="3">
        <f>SUM(Q21:U21)</f>
      </c>
      <c r="Y21" s="3">
        <f>AVERAGE(S21:U21)</f>
      </c>
      <c r="Z21" s="3">
        <f>AVERAGE(P21:U21)</f>
      </c>
      <c r="AA21" s="3">
        <f>AVERAGE(M21:U21)</f>
      </c>
      <c r="AB21" s="4">
        <f>IFERROR((Y21*2)/(Z21+AA21), 0)</f>
      </c>
      <c r="AC21" s="4">
        <f>IFERROR(X21/SUM(E21:I21), 0)</f>
      </c>
      <c r="AD21" s="4">
        <f>IFERROR(X21/SUM(E21:I21), 0)</f>
      </c>
      <c r="AE21" s="4">
        <f>IFERROR(U21/I21, 0)</f>
      </c>
    </row>
    <row r="22" ht="20" customHeight="1" spans="1:31" x14ac:dyDescent="0.25">
      <c r="A22">
        <v>19</v>
      </c>
      <c r="B22" t="s">
        <v>21</v>
      </c>
      <c r="C22" t="s">
        <v>141</v>
      </c>
      <c r="D22" s="2" t="s">
        <v>21</v>
      </c>
      <c r="E22" s="3">
        <f>SUMIFS('Data nguồn'!J:J, 'Data nguồn'!D:D, $D22, 'Data nguồn'!F:F, $B$1, 'Data nguồn'!C:C, E$3)</f>
      </c>
      <c r="F22" s="3">
        <f>SUMIFS('Data nguồn'!J:J, 'Data nguồn'!D:D, $D22, 'Data nguồn'!F:F, $B$1, 'Data nguồn'!C:C, F$3)</f>
      </c>
      <c r="G22" s="3">
        <f>SUMIFS('Data nguồn'!J:J, 'Data nguồn'!D:D, $D22, 'Data nguồn'!F:F, $B$1, 'Data nguồn'!C:C, G$3)</f>
      </c>
      <c r="H22" s="3">
        <f>SUMIFS('Data nguồn'!J:J, 'Data nguồn'!D:D, $D22, 'Data nguồn'!F:F, $B$1, 'Data nguồn'!C:C, H$3)</f>
      </c>
      <c r="I22" s="3">
        <f>SUMIFS('Data nguồn'!J:J, 'Data nguồn'!D:D, $D22, 'Data nguồn'!F:F, $B$1, 'Data nguồn'!C:C, I$3)</f>
      </c>
      <c r="J22" s="3">
        <f>SUMIFS('Data nguồn'!J:J, 'Data nguồn'!D:D, $D22, 'Data nguồn'!F:F, $B$1, 'Data nguồn'!C:C, J$3)</f>
      </c>
      <c r="K22" s="3">
        <f>SUMIFS('Data nguồn'!J:J, 'Data nguồn'!D:D, $D22, 'Data nguồn'!F:F, $B$1, 'Data nguồn'!C:C, K$3)</f>
      </c>
      <c r="L22" s="3">
        <f>SUMIFS('Data nguồn'!J:J, 'Data nguồn'!D:D, $D22, 'Data nguồn'!F:F, $B$1, 'Data nguồn'!C:C, L$3)</f>
      </c>
      <c r="M22" s="3">
        <f>SUMIFS('Data nguồn'!J:J, 'Data nguồn'!D:D, $D22, 'Data nguồn'!F:F, $B$1, 'Data nguồn'!C:C, M$3)</f>
      </c>
      <c r="N22" s="3">
        <f>SUMIFS('Data nguồn'!J:J, 'Data nguồn'!D:D, $D22, 'Data nguồn'!F:F, $B$1, 'Data nguồn'!C:C, N$3)</f>
      </c>
      <c r="O22" s="3">
        <f>SUMIFS('Data nguồn'!J:J, 'Data nguồn'!D:D, $D22, 'Data nguồn'!F:F, $B$1, 'Data nguồn'!C:C, O$3)</f>
      </c>
      <c r="P22" s="3">
        <f>SUMIFS('Data nguồn'!J:J, 'Data nguồn'!D:D, $D22, 'Data nguồn'!F:F, $B$1, 'Data nguồn'!C:C, P$3)</f>
      </c>
      <c r="Q22" s="3">
        <f>SUMIFS('Data nguồn'!J:J, 'Data nguồn'!D:D, $D22, 'Data nguồn'!F:F, $B$1, 'Data nguồn'!C:C, Q$3)</f>
      </c>
      <c r="R22" s="3">
        <f>SUMIFS('Data nguồn'!J:J, 'Data nguồn'!D:D, $D22, 'Data nguồn'!F:F, $B$1, 'Data nguồn'!C:C, R$3)</f>
      </c>
      <c r="S22" s="3">
        <f>SUMIFS('Data nguồn'!J:J, 'Data nguồn'!D:D, $D22, 'Data nguồn'!F:F, $B$1, 'Data nguồn'!C:C, S$3)</f>
      </c>
      <c r="T22" s="3">
        <f>SUMIFS('Data nguồn'!J:J, 'Data nguồn'!D:D, $D22, 'Data nguồn'!F:F, $B$1, 'Data nguồn'!C:C, T$3)</f>
      </c>
      <c r="U22" s="3">
        <f>SUMIFS('Data nguồn'!J:J, 'Data nguồn'!D:D, $D22, 'Data nguồn'!F:F, $B$1, 'Data nguồn'!C:C, U$3)</f>
      </c>
      <c r="W22" s="3">
        <f>SUM(E22:P22)</f>
      </c>
      <c r="X22" s="3">
        <f>SUM(Q22:U22)</f>
      </c>
      <c r="Y22" s="3">
        <f>AVERAGE(S22:U22)</f>
      </c>
      <c r="Z22" s="3">
        <f>AVERAGE(P22:U22)</f>
      </c>
      <c r="AA22" s="3">
        <f>AVERAGE(M22:U22)</f>
      </c>
      <c r="AB22" s="4">
        <f>IFERROR((Y22*2)/(Z22+AA22), 0)</f>
      </c>
      <c r="AC22" s="4">
        <f>IFERROR(X22/SUM(E22:I22), 0)</f>
      </c>
      <c r="AD22" s="4">
        <f>IFERROR(X22/SUM(E22:I22), 0)</f>
      </c>
      <c r="AE22" s="4">
        <f>IFERROR(U22/I22, 0)</f>
      </c>
    </row>
    <row r="23" ht="20" customHeight="1" spans="1:31" x14ac:dyDescent="0.25">
      <c r="A23">
        <v>20</v>
      </c>
      <c r="B23" t="s">
        <v>22</v>
      </c>
      <c r="C23" t="s">
        <v>141</v>
      </c>
      <c r="D23" s="2" t="s">
        <v>22</v>
      </c>
      <c r="E23" s="3">
        <f>SUMIFS('Data nguồn'!J:J, 'Data nguồn'!D:D, $D23, 'Data nguồn'!F:F, $B$1, 'Data nguồn'!C:C, E$3)</f>
      </c>
      <c r="F23" s="3">
        <f>SUMIFS('Data nguồn'!J:J, 'Data nguồn'!D:D, $D23, 'Data nguồn'!F:F, $B$1, 'Data nguồn'!C:C, F$3)</f>
      </c>
      <c r="G23" s="3">
        <f>SUMIFS('Data nguồn'!J:J, 'Data nguồn'!D:D, $D23, 'Data nguồn'!F:F, $B$1, 'Data nguồn'!C:C, G$3)</f>
      </c>
      <c r="H23" s="3">
        <f>SUMIFS('Data nguồn'!J:J, 'Data nguồn'!D:D, $D23, 'Data nguồn'!F:F, $B$1, 'Data nguồn'!C:C, H$3)</f>
      </c>
      <c r="I23" s="3">
        <f>SUMIFS('Data nguồn'!J:J, 'Data nguồn'!D:D, $D23, 'Data nguồn'!F:F, $B$1, 'Data nguồn'!C:C, I$3)</f>
      </c>
      <c r="J23" s="3">
        <f>SUMIFS('Data nguồn'!J:J, 'Data nguồn'!D:D, $D23, 'Data nguồn'!F:F, $B$1, 'Data nguồn'!C:C, J$3)</f>
      </c>
      <c r="K23" s="3">
        <f>SUMIFS('Data nguồn'!J:J, 'Data nguồn'!D:D, $D23, 'Data nguồn'!F:F, $B$1, 'Data nguồn'!C:C, K$3)</f>
      </c>
      <c r="L23" s="3">
        <f>SUMIFS('Data nguồn'!J:J, 'Data nguồn'!D:D, $D23, 'Data nguồn'!F:F, $B$1, 'Data nguồn'!C:C, L$3)</f>
      </c>
      <c r="M23" s="3">
        <f>SUMIFS('Data nguồn'!J:J, 'Data nguồn'!D:D, $D23, 'Data nguồn'!F:F, $B$1, 'Data nguồn'!C:C, M$3)</f>
      </c>
      <c r="N23" s="3">
        <f>SUMIFS('Data nguồn'!J:J, 'Data nguồn'!D:D, $D23, 'Data nguồn'!F:F, $B$1, 'Data nguồn'!C:C, N$3)</f>
      </c>
      <c r="O23" s="3">
        <f>SUMIFS('Data nguồn'!J:J, 'Data nguồn'!D:D, $D23, 'Data nguồn'!F:F, $B$1, 'Data nguồn'!C:C, O$3)</f>
      </c>
      <c r="P23" s="3">
        <f>SUMIFS('Data nguồn'!J:J, 'Data nguồn'!D:D, $D23, 'Data nguồn'!F:F, $B$1, 'Data nguồn'!C:C, P$3)</f>
      </c>
      <c r="Q23" s="3">
        <f>SUMIFS('Data nguồn'!J:J, 'Data nguồn'!D:D, $D23, 'Data nguồn'!F:F, $B$1, 'Data nguồn'!C:C, Q$3)</f>
      </c>
      <c r="R23" s="3">
        <f>SUMIFS('Data nguồn'!J:J, 'Data nguồn'!D:D, $D23, 'Data nguồn'!F:F, $B$1, 'Data nguồn'!C:C, R$3)</f>
      </c>
      <c r="S23" s="3">
        <f>SUMIFS('Data nguồn'!J:J, 'Data nguồn'!D:D, $D23, 'Data nguồn'!F:F, $B$1, 'Data nguồn'!C:C, S$3)</f>
      </c>
      <c r="T23" s="3">
        <f>SUMIFS('Data nguồn'!J:J, 'Data nguồn'!D:D, $D23, 'Data nguồn'!F:F, $B$1, 'Data nguồn'!C:C, T$3)</f>
      </c>
      <c r="U23" s="3">
        <f>SUMIFS('Data nguồn'!J:J, 'Data nguồn'!D:D, $D23, 'Data nguồn'!F:F, $B$1, 'Data nguồn'!C:C, U$3)</f>
      </c>
      <c r="W23" s="3">
        <f>SUM(E23:P23)</f>
      </c>
      <c r="X23" s="3">
        <f>SUM(Q23:U23)</f>
      </c>
      <c r="Y23" s="3">
        <f>AVERAGE(S23:U23)</f>
      </c>
      <c r="Z23" s="3">
        <f>AVERAGE(P23:U23)</f>
      </c>
      <c r="AA23" s="3">
        <f>AVERAGE(M23:U23)</f>
      </c>
      <c r="AB23" s="4">
        <f>IFERROR((Y23*2)/(Z23+AA23), 0)</f>
      </c>
      <c r="AC23" s="4">
        <f>IFERROR(X23/SUM(E23:I23), 0)</f>
      </c>
      <c r="AD23" s="4">
        <f>IFERROR(X23/SUM(E23:I23), 0)</f>
      </c>
      <c r="AE23" s="4">
        <f>IFERROR(U23/I23, 0)</f>
      </c>
    </row>
    <row r="24" ht="20" customHeight="1" spans="1:31" x14ac:dyDescent="0.25">
      <c r="A24">
        <v>21</v>
      </c>
      <c r="B24" t="s">
        <v>23</v>
      </c>
      <c r="C24" t="s">
        <v>141</v>
      </c>
      <c r="D24" s="2" t="s">
        <v>23</v>
      </c>
      <c r="E24" s="3">
        <f>SUMIFS('Data nguồn'!J:J, 'Data nguồn'!D:D, $D24, 'Data nguồn'!F:F, $B$1, 'Data nguồn'!C:C, E$3)</f>
      </c>
      <c r="F24" s="3">
        <f>SUMIFS('Data nguồn'!J:J, 'Data nguồn'!D:D, $D24, 'Data nguồn'!F:F, $B$1, 'Data nguồn'!C:C, F$3)</f>
      </c>
      <c r="G24" s="3">
        <f>SUMIFS('Data nguồn'!J:J, 'Data nguồn'!D:D, $D24, 'Data nguồn'!F:F, $B$1, 'Data nguồn'!C:C, G$3)</f>
      </c>
      <c r="H24" s="3">
        <f>SUMIFS('Data nguồn'!J:J, 'Data nguồn'!D:D, $D24, 'Data nguồn'!F:F, $B$1, 'Data nguồn'!C:C, H$3)</f>
      </c>
      <c r="I24" s="3">
        <f>SUMIFS('Data nguồn'!J:J, 'Data nguồn'!D:D, $D24, 'Data nguồn'!F:F, $B$1, 'Data nguồn'!C:C, I$3)</f>
      </c>
      <c r="J24" s="3">
        <f>SUMIFS('Data nguồn'!J:J, 'Data nguồn'!D:D, $D24, 'Data nguồn'!F:F, $B$1, 'Data nguồn'!C:C, J$3)</f>
      </c>
      <c r="K24" s="3">
        <f>SUMIFS('Data nguồn'!J:J, 'Data nguồn'!D:D, $D24, 'Data nguồn'!F:F, $B$1, 'Data nguồn'!C:C, K$3)</f>
      </c>
      <c r="L24" s="3">
        <f>SUMIFS('Data nguồn'!J:J, 'Data nguồn'!D:D, $D24, 'Data nguồn'!F:F, $B$1, 'Data nguồn'!C:C, L$3)</f>
      </c>
      <c r="M24" s="3">
        <f>SUMIFS('Data nguồn'!J:J, 'Data nguồn'!D:D, $D24, 'Data nguồn'!F:F, $B$1, 'Data nguồn'!C:C, M$3)</f>
      </c>
      <c r="N24" s="3">
        <f>SUMIFS('Data nguồn'!J:J, 'Data nguồn'!D:D, $D24, 'Data nguồn'!F:F, $B$1, 'Data nguồn'!C:C, N$3)</f>
      </c>
      <c r="O24" s="3">
        <f>SUMIFS('Data nguồn'!J:J, 'Data nguồn'!D:D, $D24, 'Data nguồn'!F:F, $B$1, 'Data nguồn'!C:C, O$3)</f>
      </c>
      <c r="P24" s="3">
        <f>SUMIFS('Data nguồn'!J:J, 'Data nguồn'!D:D, $D24, 'Data nguồn'!F:F, $B$1, 'Data nguồn'!C:C, P$3)</f>
      </c>
      <c r="Q24" s="3">
        <f>SUMIFS('Data nguồn'!J:J, 'Data nguồn'!D:D, $D24, 'Data nguồn'!F:F, $B$1, 'Data nguồn'!C:C, Q$3)</f>
      </c>
      <c r="R24" s="3">
        <f>SUMIFS('Data nguồn'!J:J, 'Data nguồn'!D:D, $D24, 'Data nguồn'!F:F, $B$1, 'Data nguồn'!C:C, R$3)</f>
      </c>
      <c r="S24" s="3">
        <f>SUMIFS('Data nguồn'!J:J, 'Data nguồn'!D:D, $D24, 'Data nguồn'!F:F, $B$1, 'Data nguồn'!C:C, S$3)</f>
      </c>
      <c r="T24" s="3">
        <f>SUMIFS('Data nguồn'!J:J, 'Data nguồn'!D:D, $D24, 'Data nguồn'!F:F, $B$1, 'Data nguồn'!C:C, T$3)</f>
      </c>
      <c r="U24" s="3">
        <f>SUMIFS('Data nguồn'!J:J, 'Data nguồn'!D:D, $D24, 'Data nguồn'!F:F, $B$1, 'Data nguồn'!C:C, U$3)</f>
      </c>
      <c r="W24" s="3">
        <f>SUM(E24:P24)</f>
      </c>
      <c r="X24" s="3">
        <f>SUM(Q24:U24)</f>
      </c>
      <c r="Y24" s="3">
        <f>AVERAGE(S24:U24)</f>
      </c>
      <c r="Z24" s="3">
        <f>AVERAGE(P24:U24)</f>
      </c>
      <c r="AA24" s="3">
        <f>AVERAGE(M24:U24)</f>
      </c>
      <c r="AB24" s="4">
        <f>IFERROR((Y24*2)/(Z24+AA24), 0)</f>
      </c>
      <c r="AC24" s="4">
        <f>IFERROR(X24/SUM(E24:I24), 0)</f>
      </c>
      <c r="AD24" s="4">
        <f>IFERROR(X24/SUM(E24:I24), 0)</f>
      </c>
      <c r="AE24" s="4">
        <f>IFERROR(U24/I24, 0)</f>
      </c>
    </row>
    <row r="25" ht="20" customHeight="1" spans="1:31" x14ac:dyDescent="0.25">
      <c r="A25">
        <v>22</v>
      </c>
      <c r="B25" t="s">
        <v>24</v>
      </c>
      <c r="C25" t="s">
        <v>141</v>
      </c>
      <c r="D25" s="2" t="s">
        <v>24</v>
      </c>
      <c r="E25" s="3">
        <f>SUMIFS('Data nguồn'!J:J, 'Data nguồn'!D:D, $D25, 'Data nguồn'!F:F, $B$1, 'Data nguồn'!C:C, E$3)</f>
      </c>
      <c r="F25" s="3">
        <f>SUMIFS('Data nguồn'!J:J, 'Data nguồn'!D:D, $D25, 'Data nguồn'!F:F, $B$1, 'Data nguồn'!C:C, F$3)</f>
      </c>
      <c r="G25" s="3">
        <f>SUMIFS('Data nguồn'!J:J, 'Data nguồn'!D:D, $D25, 'Data nguồn'!F:F, $B$1, 'Data nguồn'!C:C, G$3)</f>
      </c>
      <c r="H25" s="3">
        <f>SUMIFS('Data nguồn'!J:J, 'Data nguồn'!D:D, $D25, 'Data nguồn'!F:F, $B$1, 'Data nguồn'!C:C, H$3)</f>
      </c>
      <c r="I25" s="3">
        <f>SUMIFS('Data nguồn'!J:J, 'Data nguồn'!D:D, $D25, 'Data nguồn'!F:F, $B$1, 'Data nguồn'!C:C, I$3)</f>
      </c>
      <c r="J25" s="3">
        <f>SUMIFS('Data nguồn'!J:J, 'Data nguồn'!D:D, $D25, 'Data nguồn'!F:F, $B$1, 'Data nguồn'!C:C, J$3)</f>
      </c>
      <c r="K25" s="3">
        <f>SUMIFS('Data nguồn'!J:J, 'Data nguồn'!D:D, $D25, 'Data nguồn'!F:F, $B$1, 'Data nguồn'!C:C, K$3)</f>
      </c>
      <c r="L25" s="3">
        <f>SUMIFS('Data nguồn'!J:J, 'Data nguồn'!D:D, $D25, 'Data nguồn'!F:F, $B$1, 'Data nguồn'!C:C, L$3)</f>
      </c>
      <c r="M25" s="3">
        <f>SUMIFS('Data nguồn'!J:J, 'Data nguồn'!D:D, $D25, 'Data nguồn'!F:F, $B$1, 'Data nguồn'!C:C, M$3)</f>
      </c>
      <c r="N25" s="3">
        <f>SUMIFS('Data nguồn'!J:J, 'Data nguồn'!D:D, $D25, 'Data nguồn'!F:F, $B$1, 'Data nguồn'!C:C, N$3)</f>
      </c>
      <c r="O25" s="3">
        <f>SUMIFS('Data nguồn'!J:J, 'Data nguồn'!D:D, $D25, 'Data nguồn'!F:F, $B$1, 'Data nguồn'!C:C, O$3)</f>
      </c>
      <c r="P25" s="3">
        <f>SUMIFS('Data nguồn'!J:J, 'Data nguồn'!D:D, $D25, 'Data nguồn'!F:F, $B$1, 'Data nguồn'!C:C, P$3)</f>
      </c>
      <c r="Q25" s="3">
        <f>SUMIFS('Data nguồn'!J:J, 'Data nguồn'!D:D, $D25, 'Data nguồn'!F:F, $B$1, 'Data nguồn'!C:C, Q$3)</f>
      </c>
      <c r="R25" s="3">
        <f>SUMIFS('Data nguồn'!J:J, 'Data nguồn'!D:D, $D25, 'Data nguồn'!F:F, $B$1, 'Data nguồn'!C:C, R$3)</f>
      </c>
      <c r="S25" s="3">
        <f>SUMIFS('Data nguồn'!J:J, 'Data nguồn'!D:D, $D25, 'Data nguồn'!F:F, $B$1, 'Data nguồn'!C:C, S$3)</f>
      </c>
      <c r="T25" s="3">
        <f>SUMIFS('Data nguồn'!J:J, 'Data nguồn'!D:D, $D25, 'Data nguồn'!F:F, $B$1, 'Data nguồn'!C:C, T$3)</f>
      </c>
      <c r="U25" s="3">
        <f>SUMIFS('Data nguồn'!J:J, 'Data nguồn'!D:D, $D25, 'Data nguồn'!F:F, $B$1, 'Data nguồn'!C:C, U$3)</f>
      </c>
      <c r="W25" s="3">
        <f>SUM(E25:P25)</f>
      </c>
      <c r="X25" s="3">
        <f>SUM(Q25:U25)</f>
      </c>
      <c r="Y25" s="3">
        <f>AVERAGE(S25:U25)</f>
      </c>
      <c r="Z25" s="3">
        <f>AVERAGE(P25:U25)</f>
      </c>
      <c r="AA25" s="3">
        <f>AVERAGE(M25:U25)</f>
      </c>
      <c r="AB25" s="4">
        <f>IFERROR((Y25*2)/(Z25+AA25), 0)</f>
      </c>
      <c r="AC25" s="4">
        <f>IFERROR(X25/SUM(E25:I25), 0)</f>
      </c>
      <c r="AD25" s="4">
        <f>IFERROR(X25/SUM(E25:I25), 0)</f>
      </c>
      <c r="AE25" s="4">
        <f>IFERROR(U25/I25, 0)</f>
      </c>
    </row>
    <row r="26" ht="20" customHeight="1" spans="1:31" x14ac:dyDescent="0.25">
      <c r="A26">
        <v>23</v>
      </c>
      <c r="B26" t="s">
        <v>25</v>
      </c>
      <c r="C26" t="s">
        <v>141</v>
      </c>
      <c r="D26" s="2" t="s">
        <v>25</v>
      </c>
      <c r="E26" s="3">
        <f>SUMIFS('Data nguồn'!J:J, 'Data nguồn'!D:D, $D26, 'Data nguồn'!F:F, $B$1, 'Data nguồn'!C:C, E$3)</f>
      </c>
      <c r="F26" s="3">
        <f>SUMIFS('Data nguồn'!J:J, 'Data nguồn'!D:D, $D26, 'Data nguồn'!F:F, $B$1, 'Data nguồn'!C:C, F$3)</f>
      </c>
      <c r="G26" s="3">
        <f>SUMIFS('Data nguồn'!J:J, 'Data nguồn'!D:D, $D26, 'Data nguồn'!F:F, $B$1, 'Data nguồn'!C:C, G$3)</f>
      </c>
      <c r="H26" s="3">
        <f>SUMIFS('Data nguồn'!J:J, 'Data nguồn'!D:D, $D26, 'Data nguồn'!F:F, $B$1, 'Data nguồn'!C:C, H$3)</f>
      </c>
      <c r="I26" s="3">
        <f>SUMIFS('Data nguồn'!J:J, 'Data nguồn'!D:D, $D26, 'Data nguồn'!F:F, $B$1, 'Data nguồn'!C:C, I$3)</f>
      </c>
      <c r="J26" s="3">
        <f>SUMIFS('Data nguồn'!J:J, 'Data nguồn'!D:D, $D26, 'Data nguồn'!F:F, $B$1, 'Data nguồn'!C:C, J$3)</f>
      </c>
      <c r="K26" s="3">
        <f>SUMIFS('Data nguồn'!J:J, 'Data nguồn'!D:D, $D26, 'Data nguồn'!F:F, $B$1, 'Data nguồn'!C:C, K$3)</f>
      </c>
      <c r="L26" s="3">
        <f>SUMIFS('Data nguồn'!J:J, 'Data nguồn'!D:D, $D26, 'Data nguồn'!F:F, $B$1, 'Data nguồn'!C:C, L$3)</f>
      </c>
      <c r="M26" s="3">
        <f>SUMIFS('Data nguồn'!J:J, 'Data nguồn'!D:D, $D26, 'Data nguồn'!F:F, $B$1, 'Data nguồn'!C:C, M$3)</f>
      </c>
      <c r="N26" s="3">
        <f>SUMIFS('Data nguồn'!J:J, 'Data nguồn'!D:D, $D26, 'Data nguồn'!F:F, $B$1, 'Data nguồn'!C:C, N$3)</f>
      </c>
      <c r="O26" s="3">
        <f>SUMIFS('Data nguồn'!J:J, 'Data nguồn'!D:D, $D26, 'Data nguồn'!F:F, $B$1, 'Data nguồn'!C:C, O$3)</f>
      </c>
      <c r="P26" s="3">
        <f>SUMIFS('Data nguồn'!J:J, 'Data nguồn'!D:D, $D26, 'Data nguồn'!F:F, $B$1, 'Data nguồn'!C:C, P$3)</f>
      </c>
      <c r="Q26" s="3">
        <f>SUMIFS('Data nguồn'!J:J, 'Data nguồn'!D:D, $D26, 'Data nguồn'!F:F, $B$1, 'Data nguồn'!C:C, Q$3)</f>
      </c>
      <c r="R26" s="3">
        <f>SUMIFS('Data nguồn'!J:J, 'Data nguồn'!D:D, $D26, 'Data nguồn'!F:F, $B$1, 'Data nguồn'!C:C, R$3)</f>
      </c>
      <c r="S26" s="3">
        <f>SUMIFS('Data nguồn'!J:J, 'Data nguồn'!D:D, $D26, 'Data nguồn'!F:F, $B$1, 'Data nguồn'!C:C, S$3)</f>
      </c>
      <c r="T26" s="3">
        <f>SUMIFS('Data nguồn'!J:J, 'Data nguồn'!D:D, $D26, 'Data nguồn'!F:F, $B$1, 'Data nguồn'!C:C, T$3)</f>
      </c>
      <c r="U26" s="3">
        <f>SUMIFS('Data nguồn'!J:J, 'Data nguồn'!D:D, $D26, 'Data nguồn'!F:F, $B$1, 'Data nguồn'!C:C, U$3)</f>
      </c>
      <c r="W26" s="3">
        <f>SUM(E26:P26)</f>
      </c>
      <c r="X26" s="3">
        <f>SUM(Q26:U26)</f>
      </c>
      <c r="Y26" s="3">
        <f>AVERAGE(S26:U26)</f>
      </c>
      <c r="Z26" s="3">
        <f>AVERAGE(P26:U26)</f>
      </c>
      <c r="AA26" s="3">
        <f>AVERAGE(M26:U26)</f>
      </c>
      <c r="AB26" s="4">
        <f>IFERROR((Y26*2)/(Z26+AA26), 0)</f>
      </c>
      <c r="AC26" s="4">
        <f>IFERROR(X26/SUM(E26:I26), 0)</f>
      </c>
      <c r="AD26" s="4">
        <f>IFERROR(X26/SUM(E26:I26), 0)</f>
      </c>
      <c r="AE26" s="4">
        <f>IFERROR(U26/I26, 0)</f>
      </c>
    </row>
    <row r="27" ht="20" customHeight="1" spans="1:31" x14ac:dyDescent="0.25">
      <c r="A27">
        <v>24</v>
      </c>
      <c r="B27" t="s">
        <v>26</v>
      </c>
      <c r="C27" t="s">
        <v>141</v>
      </c>
      <c r="D27" s="2" t="s">
        <v>26</v>
      </c>
      <c r="E27" s="3">
        <f>SUMIFS('Data nguồn'!J:J, 'Data nguồn'!D:D, $D27, 'Data nguồn'!F:F, $B$1, 'Data nguồn'!C:C, E$3)</f>
      </c>
      <c r="F27" s="3">
        <f>SUMIFS('Data nguồn'!J:J, 'Data nguồn'!D:D, $D27, 'Data nguồn'!F:F, $B$1, 'Data nguồn'!C:C, F$3)</f>
      </c>
      <c r="G27" s="3">
        <f>SUMIFS('Data nguồn'!J:J, 'Data nguồn'!D:D, $D27, 'Data nguồn'!F:F, $B$1, 'Data nguồn'!C:C, G$3)</f>
      </c>
      <c r="H27" s="3">
        <f>SUMIFS('Data nguồn'!J:J, 'Data nguồn'!D:D, $D27, 'Data nguồn'!F:F, $B$1, 'Data nguồn'!C:C, H$3)</f>
      </c>
      <c r="I27" s="3">
        <f>SUMIFS('Data nguồn'!J:J, 'Data nguồn'!D:D, $D27, 'Data nguồn'!F:F, $B$1, 'Data nguồn'!C:C, I$3)</f>
      </c>
      <c r="J27" s="3">
        <f>SUMIFS('Data nguồn'!J:J, 'Data nguồn'!D:D, $D27, 'Data nguồn'!F:F, $B$1, 'Data nguồn'!C:C, J$3)</f>
      </c>
      <c r="K27" s="3">
        <f>SUMIFS('Data nguồn'!J:J, 'Data nguồn'!D:D, $D27, 'Data nguồn'!F:F, $B$1, 'Data nguồn'!C:C, K$3)</f>
      </c>
      <c r="L27" s="3">
        <f>SUMIFS('Data nguồn'!J:J, 'Data nguồn'!D:D, $D27, 'Data nguồn'!F:F, $B$1, 'Data nguồn'!C:C, L$3)</f>
      </c>
      <c r="M27" s="3">
        <f>SUMIFS('Data nguồn'!J:J, 'Data nguồn'!D:D, $D27, 'Data nguồn'!F:F, $B$1, 'Data nguồn'!C:C, M$3)</f>
      </c>
      <c r="N27" s="3">
        <f>SUMIFS('Data nguồn'!J:J, 'Data nguồn'!D:D, $D27, 'Data nguồn'!F:F, $B$1, 'Data nguồn'!C:C, N$3)</f>
      </c>
      <c r="O27" s="3">
        <f>SUMIFS('Data nguồn'!J:J, 'Data nguồn'!D:D, $D27, 'Data nguồn'!F:F, $B$1, 'Data nguồn'!C:C, O$3)</f>
      </c>
      <c r="P27" s="3">
        <f>SUMIFS('Data nguồn'!J:J, 'Data nguồn'!D:D, $D27, 'Data nguồn'!F:F, $B$1, 'Data nguồn'!C:C, P$3)</f>
      </c>
      <c r="Q27" s="3">
        <f>SUMIFS('Data nguồn'!J:J, 'Data nguồn'!D:D, $D27, 'Data nguồn'!F:F, $B$1, 'Data nguồn'!C:C, Q$3)</f>
      </c>
      <c r="R27" s="3">
        <f>SUMIFS('Data nguồn'!J:J, 'Data nguồn'!D:D, $D27, 'Data nguồn'!F:F, $B$1, 'Data nguồn'!C:C, R$3)</f>
      </c>
      <c r="S27" s="3">
        <f>SUMIFS('Data nguồn'!J:J, 'Data nguồn'!D:D, $D27, 'Data nguồn'!F:F, $B$1, 'Data nguồn'!C:C, S$3)</f>
      </c>
      <c r="T27" s="3">
        <f>SUMIFS('Data nguồn'!J:J, 'Data nguồn'!D:D, $D27, 'Data nguồn'!F:F, $B$1, 'Data nguồn'!C:C, T$3)</f>
      </c>
      <c r="U27" s="3">
        <f>SUMIFS('Data nguồn'!J:J, 'Data nguồn'!D:D, $D27, 'Data nguồn'!F:F, $B$1, 'Data nguồn'!C:C, U$3)</f>
      </c>
      <c r="W27" s="3">
        <f>SUM(E27:P27)</f>
      </c>
      <c r="X27" s="3">
        <f>SUM(Q27:U27)</f>
      </c>
      <c r="Y27" s="3">
        <f>AVERAGE(S27:U27)</f>
      </c>
      <c r="Z27" s="3">
        <f>AVERAGE(P27:U27)</f>
      </c>
      <c r="AA27" s="3">
        <f>AVERAGE(M27:U27)</f>
      </c>
      <c r="AB27" s="4">
        <f>IFERROR((Y27*2)/(Z27+AA27), 0)</f>
      </c>
      <c r="AC27" s="4">
        <f>IFERROR(X27/SUM(E27:I27), 0)</f>
      </c>
      <c r="AD27" s="4">
        <f>IFERROR(X27/SUM(E27:I27), 0)</f>
      </c>
      <c r="AE27" s="4">
        <f>IFERROR(U27/I27, 0)</f>
      </c>
    </row>
    <row r="28" ht="20" customHeight="1" spans="1:31" x14ac:dyDescent="0.25">
      <c r="A28">
        <v>25</v>
      </c>
      <c r="B28" t="s">
        <v>27</v>
      </c>
      <c r="C28" t="s">
        <v>141</v>
      </c>
      <c r="D28" s="2" t="s">
        <v>27</v>
      </c>
      <c r="E28" s="3">
        <f>SUMIFS('Data nguồn'!J:J, 'Data nguồn'!D:D, $D28, 'Data nguồn'!F:F, $B$1, 'Data nguồn'!C:C, E$3)</f>
      </c>
      <c r="F28" s="3">
        <f>SUMIFS('Data nguồn'!J:J, 'Data nguồn'!D:D, $D28, 'Data nguồn'!F:F, $B$1, 'Data nguồn'!C:C, F$3)</f>
      </c>
      <c r="G28" s="3">
        <f>SUMIFS('Data nguồn'!J:J, 'Data nguồn'!D:D, $D28, 'Data nguồn'!F:F, $B$1, 'Data nguồn'!C:C, G$3)</f>
      </c>
      <c r="H28" s="3">
        <f>SUMIFS('Data nguồn'!J:J, 'Data nguồn'!D:D, $D28, 'Data nguồn'!F:F, $B$1, 'Data nguồn'!C:C, H$3)</f>
      </c>
      <c r="I28" s="3">
        <f>SUMIFS('Data nguồn'!J:J, 'Data nguồn'!D:D, $D28, 'Data nguồn'!F:F, $B$1, 'Data nguồn'!C:C, I$3)</f>
      </c>
      <c r="J28" s="3">
        <f>SUMIFS('Data nguồn'!J:J, 'Data nguồn'!D:D, $D28, 'Data nguồn'!F:F, $B$1, 'Data nguồn'!C:C, J$3)</f>
      </c>
      <c r="K28" s="3">
        <f>SUMIFS('Data nguồn'!J:J, 'Data nguồn'!D:D, $D28, 'Data nguồn'!F:F, $B$1, 'Data nguồn'!C:C, K$3)</f>
      </c>
      <c r="L28" s="3">
        <f>SUMIFS('Data nguồn'!J:J, 'Data nguồn'!D:D, $D28, 'Data nguồn'!F:F, $B$1, 'Data nguồn'!C:C, L$3)</f>
      </c>
      <c r="M28" s="3">
        <f>SUMIFS('Data nguồn'!J:J, 'Data nguồn'!D:D, $D28, 'Data nguồn'!F:F, $B$1, 'Data nguồn'!C:C, M$3)</f>
      </c>
      <c r="N28" s="3">
        <f>SUMIFS('Data nguồn'!J:J, 'Data nguồn'!D:D, $D28, 'Data nguồn'!F:F, $B$1, 'Data nguồn'!C:C, N$3)</f>
      </c>
      <c r="O28" s="3">
        <f>SUMIFS('Data nguồn'!J:J, 'Data nguồn'!D:D, $D28, 'Data nguồn'!F:F, $B$1, 'Data nguồn'!C:C, O$3)</f>
      </c>
      <c r="P28" s="3">
        <f>SUMIFS('Data nguồn'!J:J, 'Data nguồn'!D:D, $D28, 'Data nguồn'!F:F, $B$1, 'Data nguồn'!C:C, P$3)</f>
      </c>
      <c r="Q28" s="3">
        <f>SUMIFS('Data nguồn'!J:J, 'Data nguồn'!D:D, $D28, 'Data nguồn'!F:F, $B$1, 'Data nguồn'!C:C, Q$3)</f>
      </c>
      <c r="R28" s="3">
        <f>SUMIFS('Data nguồn'!J:J, 'Data nguồn'!D:D, $D28, 'Data nguồn'!F:F, $B$1, 'Data nguồn'!C:C, R$3)</f>
      </c>
      <c r="S28" s="3">
        <f>SUMIFS('Data nguồn'!J:J, 'Data nguồn'!D:D, $D28, 'Data nguồn'!F:F, $B$1, 'Data nguồn'!C:C, S$3)</f>
      </c>
      <c r="T28" s="3">
        <f>SUMIFS('Data nguồn'!J:J, 'Data nguồn'!D:D, $D28, 'Data nguồn'!F:F, $B$1, 'Data nguồn'!C:C, T$3)</f>
      </c>
      <c r="U28" s="3">
        <f>SUMIFS('Data nguồn'!J:J, 'Data nguồn'!D:D, $D28, 'Data nguồn'!F:F, $B$1, 'Data nguồn'!C:C, U$3)</f>
      </c>
      <c r="W28" s="3">
        <f>SUM(E28:P28)</f>
      </c>
      <c r="X28" s="3">
        <f>SUM(Q28:U28)</f>
      </c>
      <c r="Y28" s="3">
        <f>AVERAGE(S28:U28)</f>
      </c>
      <c r="Z28" s="3">
        <f>AVERAGE(P28:U28)</f>
      </c>
      <c r="AA28" s="3">
        <f>AVERAGE(M28:U28)</f>
      </c>
      <c r="AB28" s="4">
        <f>IFERROR((Y28*2)/(Z28+AA28), 0)</f>
      </c>
      <c r="AC28" s="4">
        <f>IFERROR(X28/SUM(E28:I28), 0)</f>
      </c>
      <c r="AD28" s="4">
        <f>IFERROR(X28/SUM(E28:I28), 0)</f>
      </c>
      <c r="AE28" s="4">
        <f>IFERROR(U28/I28, 0)</f>
      </c>
    </row>
    <row r="29" ht="20" customHeight="1" spans="1:31" x14ac:dyDescent="0.25">
      <c r="A29">
        <v>26</v>
      </c>
      <c r="B29" t="s">
        <v>28</v>
      </c>
      <c r="C29" t="s">
        <v>141</v>
      </c>
      <c r="D29" s="2" t="s">
        <v>28</v>
      </c>
      <c r="E29" s="3">
        <f>SUMIFS('Data nguồn'!J:J, 'Data nguồn'!D:D, $D29, 'Data nguồn'!F:F, $B$1, 'Data nguồn'!C:C, E$3)</f>
      </c>
      <c r="F29" s="3">
        <f>SUMIFS('Data nguồn'!J:J, 'Data nguồn'!D:D, $D29, 'Data nguồn'!F:F, $B$1, 'Data nguồn'!C:C, F$3)</f>
      </c>
      <c r="G29" s="3">
        <f>SUMIFS('Data nguồn'!J:J, 'Data nguồn'!D:D, $D29, 'Data nguồn'!F:F, $B$1, 'Data nguồn'!C:C, G$3)</f>
      </c>
      <c r="H29" s="3">
        <f>SUMIFS('Data nguồn'!J:J, 'Data nguồn'!D:D, $D29, 'Data nguồn'!F:F, $B$1, 'Data nguồn'!C:C, H$3)</f>
      </c>
      <c r="I29" s="3">
        <f>SUMIFS('Data nguồn'!J:J, 'Data nguồn'!D:D, $D29, 'Data nguồn'!F:F, $B$1, 'Data nguồn'!C:C, I$3)</f>
      </c>
      <c r="J29" s="3">
        <f>SUMIFS('Data nguồn'!J:J, 'Data nguồn'!D:D, $D29, 'Data nguồn'!F:F, $B$1, 'Data nguồn'!C:C, J$3)</f>
      </c>
      <c r="K29" s="3">
        <f>SUMIFS('Data nguồn'!J:J, 'Data nguồn'!D:D, $D29, 'Data nguồn'!F:F, $B$1, 'Data nguồn'!C:C, K$3)</f>
      </c>
      <c r="L29" s="3">
        <f>SUMIFS('Data nguồn'!J:J, 'Data nguồn'!D:D, $D29, 'Data nguồn'!F:F, $B$1, 'Data nguồn'!C:C, L$3)</f>
      </c>
      <c r="M29" s="3">
        <f>SUMIFS('Data nguồn'!J:J, 'Data nguồn'!D:D, $D29, 'Data nguồn'!F:F, $B$1, 'Data nguồn'!C:C, M$3)</f>
      </c>
      <c r="N29" s="3">
        <f>SUMIFS('Data nguồn'!J:J, 'Data nguồn'!D:D, $D29, 'Data nguồn'!F:F, $B$1, 'Data nguồn'!C:C, N$3)</f>
      </c>
      <c r="O29" s="3">
        <f>SUMIFS('Data nguồn'!J:J, 'Data nguồn'!D:D, $D29, 'Data nguồn'!F:F, $B$1, 'Data nguồn'!C:C, O$3)</f>
      </c>
      <c r="P29" s="3">
        <f>SUMIFS('Data nguồn'!J:J, 'Data nguồn'!D:D, $D29, 'Data nguồn'!F:F, $B$1, 'Data nguồn'!C:C, P$3)</f>
      </c>
      <c r="Q29" s="3">
        <f>SUMIFS('Data nguồn'!J:J, 'Data nguồn'!D:D, $D29, 'Data nguồn'!F:F, $B$1, 'Data nguồn'!C:C, Q$3)</f>
      </c>
      <c r="R29" s="3">
        <f>SUMIFS('Data nguồn'!J:J, 'Data nguồn'!D:D, $D29, 'Data nguồn'!F:F, $B$1, 'Data nguồn'!C:C, R$3)</f>
      </c>
      <c r="S29" s="3">
        <f>SUMIFS('Data nguồn'!J:J, 'Data nguồn'!D:D, $D29, 'Data nguồn'!F:F, $B$1, 'Data nguồn'!C:C, S$3)</f>
      </c>
      <c r="T29" s="3">
        <f>SUMIFS('Data nguồn'!J:J, 'Data nguồn'!D:D, $D29, 'Data nguồn'!F:F, $B$1, 'Data nguồn'!C:C, T$3)</f>
      </c>
      <c r="U29" s="3">
        <f>SUMIFS('Data nguồn'!J:J, 'Data nguồn'!D:D, $D29, 'Data nguồn'!F:F, $B$1, 'Data nguồn'!C:C, U$3)</f>
      </c>
      <c r="W29" s="3">
        <f>SUM(E29:P29)</f>
      </c>
      <c r="X29" s="3">
        <f>SUM(Q29:U29)</f>
      </c>
      <c r="Y29" s="3">
        <f>AVERAGE(S29:U29)</f>
      </c>
      <c r="Z29" s="3">
        <f>AVERAGE(P29:U29)</f>
      </c>
      <c r="AA29" s="3">
        <f>AVERAGE(M29:U29)</f>
      </c>
      <c r="AB29" s="4">
        <f>IFERROR((Y29*2)/(Z29+AA29), 0)</f>
      </c>
      <c r="AC29" s="4">
        <f>IFERROR(X29/SUM(E29:I29), 0)</f>
      </c>
      <c r="AD29" s="4">
        <f>IFERROR(X29/SUM(E29:I29), 0)</f>
      </c>
      <c r="AE29" s="4">
        <f>IFERROR(U29/I29, 0)</f>
      </c>
    </row>
    <row r="30" ht="20" customHeight="1" spans="1:31" x14ac:dyDescent="0.25">
      <c r="A30">
        <v>27</v>
      </c>
      <c r="B30" t="s">
        <v>29</v>
      </c>
      <c r="C30" t="s">
        <v>141</v>
      </c>
      <c r="D30" s="2" t="s">
        <v>29</v>
      </c>
      <c r="E30" s="3">
        <f>SUMIFS('Data nguồn'!J:J, 'Data nguồn'!D:D, $D30, 'Data nguồn'!F:F, $B$1, 'Data nguồn'!C:C, E$3)</f>
      </c>
      <c r="F30" s="3">
        <f>SUMIFS('Data nguồn'!J:J, 'Data nguồn'!D:D, $D30, 'Data nguồn'!F:F, $B$1, 'Data nguồn'!C:C, F$3)</f>
      </c>
      <c r="G30" s="3">
        <f>SUMIFS('Data nguồn'!J:J, 'Data nguồn'!D:D, $D30, 'Data nguồn'!F:F, $B$1, 'Data nguồn'!C:C, G$3)</f>
      </c>
      <c r="H30" s="3">
        <f>SUMIFS('Data nguồn'!J:J, 'Data nguồn'!D:D, $D30, 'Data nguồn'!F:F, $B$1, 'Data nguồn'!C:C, H$3)</f>
      </c>
      <c r="I30" s="3">
        <f>SUMIFS('Data nguồn'!J:J, 'Data nguồn'!D:D, $D30, 'Data nguồn'!F:F, $B$1, 'Data nguồn'!C:C, I$3)</f>
      </c>
      <c r="J30" s="3">
        <f>SUMIFS('Data nguồn'!J:J, 'Data nguồn'!D:D, $D30, 'Data nguồn'!F:F, $B$1, 'Data nguồn'!C:C, J$3)</f>
      </c>
      <c r="K30" s="3">
        <f>SUMIFS('Data nguồn'!J:J, 'Data nguồn'!D:D, $D30, 'Data nguồn'!F:F, $B$1, 'Data nguồn'!C:C, K$3)</f>
      </c>
      <c r="L30" s="3">
        <f>SUMIFS('Data nguồn'!J:J, 'Data nguồn'!D:D, $D30, 'Data nguồn'!F:F, $B$1, 'Data nguồn'!C:C, L$3)</f>
      </c>
      <c r="M30" s="3">
        <f>SUMIFS('Data nguồn'!J:J, 'Data nguồn'!D:D, $D30, 'Data nguồn'!F:F, $B$1, 'Data nguồn'!C:C, M$3)</f>
      </c>
      <c r="N30" s="3">
        <f>SUMIFS('Data nguồn'!J:J, 'Data nguồn'!D:D, $D30, 'Data nguồn'!F:F, $B$1, 'Data nguồn'!C:C, N$3)</f>
      </c>
      <c r="O30" s="3">
        <f>SUMIFS('Data nguồn'!J:J, 'Data nguồn'!D:D, $D30, 'Data nguồn'!F:F, $B$1, 'Data nguồn'!C:C, O$3)</f>
      </c>
      <c r="P30" s="3">
        <f>SUMIFS('Data nguồn'!J:J, 'Data nguồn'!D:D, $D30, 'Data nguồn'!F:F, $B$1, 'Data nguồn'!C:C, P$3)</f>
      </c>
      <c r="Q30" s="3">
        <f>SUMIFS('Data nguồn'!J:J, 'Data nguồn'!D:D, $D30, 'Data nguồn'!F:F, $B$1, 'Data nguồn'!C:C, Q$3)</f>
      </c>
      <c r="R30" s="3">
        <f>SUMIFS('Data nguồn'!J:J, 'Data nguồn'!D:D, $D30, 'Data nguồn'!F:F, $B$1, 'Data nguồn'!C:C, R$3)</f>
      </c>
      <c r="S30" s="3">
        <f>SUMIFS('Data nguồn'!J:J, 'Data nguồn'!D:D, $D30, 'Data nguồn'!F:F, $B$1, 'Data nguồn'!C:C, S$3)</f>
      </c>
      <c r="T30" s="3">
        <f>SUMIFS('Data nguồn'!J:J, 'Data nguồn'!D:D, $D30, 'Data nguồn'!F:F, $B$1, 'Data nguồn'!C:C, T$3)</f>
      </c>
      <c r="U30" s="3">
        <f>SUMIFS('Data nguồn'!J:J, 'Data nguồn'!D:D, $D30, 'Data nguồn'!F:F, $B$1, 'Data nguồn'!C:C, U$3)</f>
      </c>
      <c r="W30" s="3">
        <f>SUM(E30:P30)</f>
      </c>
      <c r="X30" s="3">
        <f>SUM(Q30:U30)</f>
      </c>
      <c r="Y30" s="3">
        <f>AVERAGE(S30:U30)</f>
      </c>
      <c r="Z30" s="3">
        <f>AVERAGE(P30:U30)</f>
      </c>
      <c r="AA30" s="3">
        <f>AVERAGE(M30:U30)</f>
      </c>
      <c r="AB30" s="4">
        <f>IFERROR((Y30*2)/(Z30+AA30), 0)</f>
      </c>
      <c r="AC30" s="4">
        <f>IFERROR(X30/SUM(E30:I30), 0)</f>
      </c>
      <c r="AD30" s="4">
        <f>IFERROR(X30/SUM(E30:I30), 0)</f>
      </c>
      <c r="AE30" s="4">
        <f>IFERROR(U30/I30, 0)</f>
      </c>
    </row>
    <row r="31" ht="20" customHeight="1" spans="1:31" x14ac:dyDescent="0.25">
      <c r="A31">
        <v>28</v>
      </c>
      <c r="B31" t="s">
        <v>30</v>
      </c>
      <c r="C31" t="s">
        <v>141</v>
      </c>
      <c r="D31" s="2" t="s">
        <v>30</v>
      </c>
      <c r="E31" s="3">
        <f>SUMIFS('Data nguồn'!J:J, 'Data nguồn'!D:D, $D31, 'Data nguồn'!F:F, $B$1, 'Data nguồn'!C:C, E$3)</f>
      </c>
      <c r="F31" s="3">
        <f>SUMIFS('Data nguồn'!J:J, 'Data nguồn'!D:D, $D31, 'Data nguồn'!F:F, $B$1, 'Data nguồn'!C:C, F$3)</f>
      </c>
      <c r="G31" s="3">
        <f>SUMIFS('Data nguồn'!J:J, 'Data nguồn'!D:D, $D31, 'Data nguồn'!F:F, $B$1, 'Data nguồn'!C:C, G$3)</f>
      </c>
      <c r="H31" s="3">
        <f>SUMIFS('Data nguồn'!J:J, 'Data nguồn'!D:D, $D31, 'Data nguồn'!F:F, $B$1, 'Data nguồn'!C:C, H$3)</f>
      </c>
      <c r="I31" s="3">
        <f>SUMIFS('Data nguồn'!J:J, 'Data nguồn'!D:D, $D31, 'Data nguồn'!F:F, $B$1, 'Data nguồn'!C:C, I$3)</f>
      </c>
      <c r="J31" s="3">
        <f>SUMIFS('Data nguồn'!J:J, 'Data nguồn'!D:D, $D31, 'Data nguồn'!F:F, $B$1, 'Data nguồn'!C:C, J$3)</f>
      </c>
      <c r="K31" s="3">
        <f>SUMIFS('Data nguồn'!J:J, 'Data nguồn'!D:D, $D31, 'Data nguồn'!F:F, $B$1, 'Data nguồn'!C:C, K$3)</f>
      </c>
      <c r="L31" s="3">
        <f>SUMIFS('Data nguồn'!J:J, 'Data nguồn'!D:D, $D31, 'Data nguồn'!F:F, $B$1, 'Data nguồn'!C:C, L$3)</f>
      </c>
      <c r="M31" s="3">
        <f>SUMIFS('Data nguồn'!J:J, 'Data nguồn'!D:D, $D31, 'Data nguồn'!F:F, $B$1, 'Data nguồn'!C:C, M$3)</f>
      </c>
      <c r="N31" s="3">
        <f>SUMIFS('Data nguồn'!J:J, 'Data nguồn'!D:D, $D31, 'Data nguồn'!F:F, $B$1, 'Data nguồn'!C:C, N$3)</f>
      </c>
      <c r="O31" s="3">
        <f>SUMIFS('Data nguồn'!J:J, 'Data nguồn'!D:D, $D31, 'Data nguồn'!F:F, $B$1, 'Data nguồn'!C:C, O$3)</f>
      </c>
      <c r="P31" s="3">
        <f>SUMIFS('Data nguồn'!J:J, 'Data nguồn'!D:D, $D31, 'Data nguồn'!F:F, $B$1, 'Data nguồn'!C:C, P$3)</f>
      </c>
      <c r="Q31" s="3">
        <f>SUMIFS('Data nguồn'!J:J, 'Data nguồn'!D:D, $D31, 'Data nguồn'!F:F, $B$1, 'Data nguồn'!C:C, Q$3)</f>
      </c>
      <c r="R31" s="3">
        <f>SUMIFS('Data nguồn'!J:J, 'Data nguồn'!D:D, $D31, 'Data nguồn'!F:F, $B$1, 'Data nguồn'!C:C, R$3)</f>
      </c>
      <c r="S31" s="3">
        <f>SUMIFS('Data nguồn'!J:J, 'Data nguồn'!D:D, $D31, 'Data nguồn'!F:F, $B$1, 'Data nguồn'!C:C, S$3)</f>
      </c>
      <c r="T31" s="3">
        <f>SUMIFS('Data nguồn'!J:J, 'Data nguồn'!D:D, $D31, 'Data nguồn'!F:F, $B$1, 'Data nguồn'!C:C, T$3)</f>
      </c>
      <c r="U31" s="3">
        <f>SUMIFS('Data nguồn'!J:J, 'Data nguồn'!D:D, $D31, 'Data nguồn'!F:F, $B$1, 'Data nguồn'!C:C, U$3)</f>
      </c>
      <c r="W31" s="3">
        <f>SUM(E31:P31)</f>
      </c>
      <c r="X31" s="3">
        <f>SUM(Q31:U31)</f>
      </c>
      <c r="Y31" s="3">
        <f>AVERAGE(S31:U31)</f>
      </c>
      <c r="Z31" s="3">
        <f>AVERAGE(P31:U31)</f>
      </c>
      <c r="AA31" s="3">
        <f>AVERAGE(M31:U31)</f>
      </c>
      <c r="AB31" s="4">
        <f>IFERROR((Y31*2)/(Z31+AA31), 0)</f>
      </c>
      <c r="AC31" s="4">
        <f>IFERROR(X31/SUM(E31:I31), 0)</f>
      </c>
      <c r="AD31" s="4">
        <f>IFERROR(X31/SUM(E31:I31), 0)</f>
      </c>
      <c r="AE31" s="4">
        <f>IFERROR(U31/I31, 0)</f>
      </c>
    </row>
    <row r="32" ht="20" customHeight="1" spans="1:31" x14ac:dyDescent="0.25">
      <c r="A32">
        <v>29</v>
      </c>
      <c r="B32" t="s">
        <v>31</v>
      </c>
      <c r="C32" t="s">
        <v>141</v>
      </c>
      <c r="D32" s="2" t="s">
        <v>31</v>
      </c>
      <c r="E32" s="3">
        <f>SUMIFS('Data nguồn'!J:J, 'Data nguồn'!D:D, $D32, 'Data nguồn'!F:F, $B$1, 'Data nguồn'!C:C, E$3)</f>
      </c>
      <c r="F32" s="3">
        <f>SUMIFS('Data nguồn'!J:J, 'Data nguồn'!D:D, $D32, 'Data nguồn'!F:F, $B$1, 'Data nguồn'!C:C, F$3)</f>
      </c>
      <c r="G32" s="3">
        <f>SUMIFS('Data nguồn'!J:J, 'Data nguồn'!D:D, $D32, 'Data nguồn'!F:F, $B$1, 'Data nguồn'!C:C, G$3)</f>
      </c>
      <c r="H32" s="3">
        <f>SUMIFS('Data nguồn'!J:J, 'Data nguồn'!D:D, $D32, 'Data nguồn'!F:F, $B$1, 'Data nguồn'!C:C, H$3)</f>
      </c>
      <c r="I32" s="3">
        <f>SUMIFS('Data nguồn'!J:J, 'Data nguồn'!D:D, $D32, 'Data nguồn'!F:F, $B$1, 'Data nguồn'!C:C, I$3)</f>
      </c>
      <c r="J32" s="3">
        <f>SUMIFS('Data nguồn'!J:J, 'Data nguồn'!D:D, $D32, 'Data nguồn'!F:F, $B$1, 'Data nguồn'!C:C, J$3)</f>
      </c>
      <c r="K32" s="3">
        <f>SUMIFS('Data nguồn'!J:J, 'Data nguồn'!D:D, $D32, 'Data nguồn'!F:F, $B$1, 'Data nguồn'!C:C, K$3)</f>
      </c>
      <c r="L32" s="3">
        <f>SUMIFS('Data nguồn'!J:J, 'Data nguồn'!D:D, $D32, 'Data nguồn'!F:F, $B$1, 'Data nguồn'!C:C, L$3)</f>
      </c>
      <c r="M32" s="3">
        <f>SUMIFS('Data nguồn'!J:J, 'Data nguồn'!D:D, $D32, 'Data nguồn'!F:F, $B$1, 'Data nguồn'!C:C, M$3)</f>
      </c>
      <c r="N32" s="3">
        <f>SUMIFS('Data nguồn'!J:J, 'Data nguồn'!D:D, $D32, 'Data nguồn'!F:F, $B$1, 'Data nguồn'!C:C, N$3)</f>
      </c>
      <c r="O32" s="3">
        <f>SUMIFS('Data nguồn'!J:J, 'Data nguồn'!D:D, $D32, 'Data nguồn'!F:F, $B$1, 'Data nguồn'!C:C, O$3)</f>
      </c>
      <c r="P32" s="3">
        <f>SUMIFS('Data nguồn'!J:J, 'Data nguồn'!D:D, $D32, 'Data nguồn'!F:F, $B$1, 'Data nguồn'!C:C, P$3)</f>
      </c>
      <c r="Q32" s="3">
        <f>SUMIFS('Data nguồn'!J:J, 'Data nguồn'!D:D, $D32, 'Data nguồn'!F:F, $B$1, 'Data nguồn'!C:C, Q$3)</f>
      </c>
      <c r="R32" s="3">
        <f>SUMIFS('Data nguồn'!J:J, 'Data nguồn'!D:D, $D32, 'Data nguồn'!F:F, $B$1, 'Data nguồn'!C:C, R$3)</f>
      </c>
      <c r="S32" s="3">
        <f>SUMIFS('Data nguồn'!J:J, 'Data nguồn'!D:D, $D32, 'Data nguồn'!F:F, $B$1, 'Data nguồn'!C:C, S$3)</f>
      </c>
      <c r="T32" s="3">
        <f>SUMIFS('Data nguồn'!J:J, 'Data nguồn'!D:D, $D32, 'Data nguồn'!F:F, $B$1, 'Data nguồn'!C:C, T$3)</f>
      </c>
      <c r="U32" s="3">
        <f>SUMIFS('Data nguồn'!J:J, 'Data nguồn'!D:D, $D32, 'Data nguồn'!F:F, $B$1, 'Data nguồn'!C:C, U$3)</f>
      </c>
      <c r="W32" s="3">
        <f>SUM(E32:P32)</f>
      </c>
      <c r="X32" s="3">
        <f>SUM(Q32:U32)</f>
      </c>
      <c r="Y32" s="3">
        <f>AVERAGE(S32:U32)</f>
      </c>
      <c r="Z32" s="3">
        <f>AVERAGE(P32:U32)</f>
      </c>
      <c r="AA32" s="3">
        <f>AVERAGE(M32:U32)</f>
      </c>
      <c r="AB32" s="4">
        <f>IFERROR((Y32*2)/(Z32+AA32), 0)</f>
      </c>
      <c r="AC32" s="4">
        <f>IFERROR(X32/SUM(E32:I32), 0)</f>
      </c>
      <c r="AD32" s="4">
        <f>IFERROR(X32/SUM(E32:I32), 0)</f>
      </c>
      <c r="AE32" s="4">
        <f>IFERROR(U32/I32, 0)</f>
      </c>
    </row>
    <row r="33" ht="20" customHeight="1" spans="1:31" x14ac:dyDescent="0.25">
      <c r="A33">
        <v>30</v>
      </c>
      <c r="B33" t="s">
        <v>32</v>
      </c>
      <c r="C33" t="s">
        <v>141</v>
      </c>
      <c r="D33" s="2" t="s">
        <v>32</v>
      </c>
      <c r="E33" s="3">
        <f>SUMIFS('Data nguồn'!J:J, 'Data nguồn'!D:D, $D33, 'Data nguồn'!F:F, $B$1, 'Data nguồn'!C:C, E$3)</f>
      </c>
      <c r="F33" s="3">
        <f>SUMIFS('Data nguồn'!J:J, 'Data nguồn'!D:D, $D33, 'Data nguồn'!F:F, $B$1, 'Data nguồn'!C:C, F$3)</f>
      </c>
      <c r="G33" s="3">
        <f>SUMIFS('Data nguồn'!J:J, 'Data nguồn'!D:D, $D33, 'Data nguồn'!F:F, $B$1, 'Data nguồn'!C:C, G$3)</f>
      </c>
      <c r="H33" s="3">
        <f>SUMIFS('Data nguồn'!J:J, 'Data nguồn'!D:D, $D33, 'Data nguồn'!F:F, $B$1, 'Data nguồn'!C:C, H$3)</f>
      </c>
      <c r="I33" s="3">
        <f>SUMIFS('Data nguồn'!J:J, 'Data nguồn'!D:D, $D33, 'Data nguồn'!F:F, $B$1, 'Data nguồn'!C:C, I$3)</f>
      </c>
      <c r="J33" s="3">
        <f>SUMIFS('Data nguồn'!J:J, 'Data nguồn'!D:D, $D33, 'Data nguồn'!F:F, $B$1, 'Data nguồn'!C:C, J$3)</f>
      </c>
      <c r="K33" s="3">
        <f>SUMIFS('Data nguồn'!J:J, 'Data nguồn'!D:D, $D33, 'Data nguồn'!F:F, $B$1, 'Data nguồn'!C:C, K$3)</f>
      </c>
      <c r="L33" s="3">
        <f>SUMIFS('Data nguồn'!J:J, 'Data nguồn'!D:D, $D33, 'Data nguồn'!F:F, $B$1, 'Data nguồn'!C:C, L$3)</f>
      </c>
      <c r="M33" s="3">
        <f>SUMIFS('Data nguồn'!J:J, 'Data nguồn'!D:D, $D33, 'Data nguồn'!F:F, $B$1, 'Data nguồn'!C:C, M$3)</f>
      </c>
      <c r="N33" s="3">
        <f>SUMIFS('Data nguồn'!J:J, 'Data nguồn'!D:D, $D33, 'Data nguồn'!F:F, $B$1, 'Data nguồn'!C:C, N$3)</f>
      </c>
      <c r="O33" s="3">
        <f>SUMIFS('Data nguồn'!J:J, 'Data nguồn'!D:D, $D33, 'Data nguồn'!F:F, $B$1, 'Data nguồn'!C:C, O$3)</f>
      </c>
      <c r="P33" s="3">
        <f>SUMIFS('Data nguồn'!J:J, 'Data nguồn'!D:D, $D33, 'Data nguồn'!F:F, $B$1, 'Data nguồn'!C:C, P$3)</f>
      </c>
      <c r="Q33" s="3">
        <f>SUMIFS('Data nguồn'!J:J, 'Data nguồn'!D:D, $D33, 'Data nguồn'!F:F, $B$1, 'Data nguồn'!C:C, Q$3)</f>
      </c>
      <c r="R33" s="3">
        <f>SUMIFS('Data nguồn'!J:J, 'Data nguồn'!D:D, $D33, 'Data nguồn'!F:F, $B$1, 'Data nguồn'!C:C, R$3)</f>
      </c>
      <c r="S33" s="3">
        <f>SUMIFS('Data nguồn'!J:J, 'Data nguồn'!D:D, $D33, 'Data nguồn'!F:F, $B$1, 'Data nguồn'!C:C, S$3)</f>
      </c>
      <c r="T33" s="3">
        <f>SUMIFS('Data nguồn'!J:J, 'Data nguồn'!D:D, $D33, 'Data nguồn'!F:F, $B$1, 'Data nguồn'!C:C, T$3)</f>
      </c>
      <c r="U33" s="3">
        <f>SUMIFS('Data nguồn'!J:J, 'Data nguồn'!D:D, $D33, 'Data nguồn'!F:F, $B$1, 'Data nguồn'!C:C, U$3)</f>
      </c>
      <c r="W33" s="3">
        <f>SUM(E33:P33)</f>
      </c>
      <c r="X33" s="3">
        <f>SUM(Q33:U33)</f>
      </c>
      <c r="Y33" s="3">
        <f>AVERAGE(S33:U33)</f>
      </c>
      <c r="Z33" s="3">
        <f>AVERAGE(P33:U33)</f>
      </c>
      <c r="AA33" s="3">
        <f>AVERAGE(M33:U33)</f>
      </c>
      <c r="AB33" s="4">
        <f>IFERROR((Y33*2)/(Z33+AA33), 0)</f>
      </c>
      <c r="AC33" s="4">
        <f>IFERROR(X33/SUM(E33:I33), 0)</f>
      </c>
      <c r="AD33" s="4">
        <f>IFERROR(X33/SUM(E33:I33), 0)</f>
      </c>
      <c r="AE33" s="4">
        <f>IFERROR(U33/I33, 0)</f>
      </c>
    </row>
    <row r="34" ht="20" customHeight="1" spans="1:31" x14ac:dyDescent="0.25">
      <c r="A34">
        <v>31</v>
      </c>
      <c r="B34" t="s">
        <v>33</v>
      </c>
      <c r="C34" t="s">
        <v>141</v>
      </c>
      <c r="D34" s="2" t="s">
        <v>33</v>
      </c>
      <c r="E34" s="3">
        <f>SUMIFS('Data nguồn'!J:J, 'Data nguồn'!D:D, $D34, 'Data nguồn'!F:F, $B$1, 'Data nguồn'!C:C, E$3)</f>
      </c>
      <c r="F34" s="3">
        <f>SUMIFS('Data nguồn'!J:J, 'Data nguồn'!D:D, $D34, 'Data nguồn'!F:F, $B$1, 'Data nguồn'!C:C, F$3)</f>
      </c>
      <c r="G34" s="3">
        <f>SUMIFS('Data nguồn'!J:J, 'Data nguồn'!D:D, $D34, 'Data nguồn'!F:F, $B$1, 'Data nguồn'!C:C, G$3)</f>
      </c>
      <c r="H34" s="3">
        <f>SUMIFS('Data nguồn'!J:J, 'Data nguồn'!D:D, $D34, 'Data nguồn'!F:F, $B$1, 'Data nguồn'!C:C, H$3)</f>
      </c>
      <c r="I34" s="3">
        <f>SUMIFS('Data nguồn'!J:J, 'Data nguồn'!D:D, $D34, 'Data nguồn'!F:F, $B$1, 'Data nguồn'!C:C, I$3)</f>
      </c>
      <c r="J34" s="3">
        <f>SUMIFS('Data nguồn'!J:J, 'Data nguồn'!D:D, $D34, 'Data nguồn'!F:F, $B$1, 'Data nguồn'!C:C, J$3)</f>
      </c>
      <c r="K34" s="3">
        <f>SUMIFS('Data nguồn'!J:J, 'Data nguồn'!D:D, $D34, 'Data nguồn'!F:F, $B$1, 'Data nguồn'!C:C, K$3)</f>
      </c>
      <c r="L34" s="3">
        <f>SUMIFS('Data nguồn'!J:J, 'Data nguồn'!D:D, $D34, 'Data nguồn'!F:F, $B$1, 'Data nguồn'!C:C, L$3)</f>
      </c>
      <c r="M34" s="3">
        <f>SUMIFS('Data nguồn'!J:J, 'Data nguồn'!D:D, $D34, 'Data nguồn'!F:F, $B$1, 'Data nguồn'!C:C, M$3)</f>
      </c>
      <c r="N34" s="3">
        <f>SUMIFS('Data nguồn'!J:J, 'Data nguồn'!D:D, $D34, 'Data nguồn'!F:F, $B$1, 'Data nguồn'!C:C, N$3)</f>
      </c>
      <c r="O34" s="3">
        <f>SUMIFS('Data nguồn'!J:J, 'Data nguồn'!D:D, $D34, 'Data nguồn'!F:F, $B$1, 'Data nguồn'!C:C, O$3)</f>
      </c>
      <c r="P34" s="3">
        <f>SUMIFS('Data nguồn'!J:J, 'Data nguồn'!D:D, $D34, 'Data nguồn'!F:F, $B$1, 'Data nguồn'!C:C, P$3)</f>
      </c>
      <c r="Q34" s="3">
        <f>SUMIFS('Data nguồn'!J:J, 'Data nguồn'!D:D, $D34, 'Data nguồn'!F:F, $B$1, 'Data nguồn'!C:C, Q$3)</f>
      </c>
      <c r="R34" s="3">
        <f>SUMIFS('Data nguồn'!J:J, 'Data nguồn'!D:D, $D34, 'Data nguồn'!F:F, $B$1, 'Data nguồn'!C:C, R$3)</f>
      </c>
      <c r="S34" s="3">
        <f>SUMIFS('Data nguồn'!J:J, 'Data nguồn'!D:D, $D34, 'Data nguồn'!F:F, $B$1, 'Data nguồn'!C:C, S$3)</f>
      </c>
      <c r="T34" s="3">
        <f>SUMIFS('Data nguồn'!J:J, 'Data nguồn'!D:D, $D34, 'Data nguồn'!F:F, $B$1, 'Data nguồn'!C:C, T$3)</f>
      </c>
      <c r="U34" s="3">
        <f>SUMIFS('Data nguồn'!J:J, 'Data nguồn'!D:D, $D34, 'Data nguồn'!F:F, $B$1, 'Data nguồn'!C:C, U$3)</f>
      </c>
      <c r="W34" s="3">
        <f>SUM(E34:P34)</f>
      </c>
      <c r="X34" s="3">
        <f>SUM(Q34:U34)</f>
      </c>
      <c r="Y34" s="3">
        <f>AVERAGE(S34:U34)</f>
      </c>
      <c r="Z34" s="3">
        <f>AVERAGE(P34:U34)</f>
      </c>
      <c r="AA34" s="3">
        <f>AVERAGE(M34:U34)</f>
      </c>
      <c r="AB34" s="4">
        <f>IFERROR((Y34*2)/(Z34+AA34), 0)</f>
      </c>
      <c r="AC34" s="4">
        <f>IFERROR(X34/SUM(E34:I34), 0)</f>
      </c>
      <c r="AD34" s="4">
        <f>IFERROR(X34/SUM(E34:I34), 0)</f>
      </c>
      <c r="AE34" s="4">
        <f>IFERROR(U34/I34, 0)</f>
      </c>
    </row>
    <row r="35" ht="20" customHeight="1" spans="1:31" x14ac:dyDescent="0.25">
      <c r="A35">
        <v>32</v>
      </c>
      <c r="B35" t="s">
        <v>34</v>
      </c>
      <c r="C35" t="s">
        <v>141</v>
      </c>
      <c r="D35" s="2" t="s">
        <v>34</v>
      </c>
      <c r="E35" s="3">
        <f>SUMIFS('Data nguồn'!J:J, 'Data nguồn'!D:D, $D35, 'Data nguồn'!F:F, $B$1, 'Data nguồn'!C:C, E$3)</f>
      </c>
      <c r="F35" s="3">
        <f>SUMIFS('Data nguồn'!J:J, 'Data nguồn'!D:D, $D35, 'Data nguồn'!F:F, $B$1, 'Data nguồn'!C:C, F$3)</f>
      </c>
      <c r="G35" s="3">
        <f>SUMIFS('Data nguồn'!J:J, 'Data nguồn'!D:D, $D35, 'Data nguồn'!F:F, $B$1, 'Data nguồn'!C:C, G$3)</f>
      </c>
      <c r="H35" s="3">
        <f>SUMIFS('Data nguồn'!J:J, 'Data nguồn'!D:D, $D35, 'Data nguồn'!F:F, $B$1, 'Data nguồn'!C:C, H$3)</f>
      </c>
      <c r="I35" s="3">
        <f>SUMIFS('Data nguồn'!J:J, 'Data nguồn'!D:D, $D35, 'Data nguồn'!F:F, $B$1, 'Data nguồn'!C:C, I$3)</f>
      </c>
      <c r="J35" s="3">
        <f>SUMIFS('Data nguồn'!J:J, 'Data nguồn'!D:D, $D35, 'Data nguồn'!F:F, $B$1, 'Data nguồn'!C:C, J$3)</f>
      </c>
      <c r="K35" s="3">
        <f>SUMIFS('Data nguồn'!J:J, 'Data nguồn'!D:D, $D35, 'Data nguồn'!F:F, $B$1, 'Data nguồn'!C:C, K$3)</f>
      </c>
      <c r="L35" s="3">
        <f>SUMIFS('Data nguồn'!J:J, 'Data nguồn'!D:D, $D35, 'Data nguồn'!F:F, $B$1, 'Data nguồn'!C:C, L$3)</f>
      </c>
      <c r="M35" s="3">
        <f>SUMIFS('Data nguồn'!J:J, 'Data nguồn'!D:D, $D35, 'Data nguồn'!F:F, $B$1, 'Data nguồn'!C:C, M$3)</f>
      </c>
      <c r="N35" s="3">
        <f>SUMIFS('Data nguồn'!J:J, 'Data nguồn'!D:D, $D35, 'Data nguồn'!F:F, $B$1, 'Data nguồn'!C:C, N$3)</f>
      </c>
      <c r="O35" s="3">
        <f>SUMIFS('Data nguồn'!J:J, 'Data nguồn'!D:D, $D35, 'Data nguồn'!F:F, $B$1, 'Data nguồn'!C:C, O$3)</f>
      </c>
      <c r="P35" s="3">
        <f>SUMIFS('Data nguồn'!J:J, 'Data nguồn'!D:D, $D35, 'Data nguồn'!F:F, $B$1, 'Data nguồn'!C:C, P$3)</f>
      </c>
      <c r="Q35" s="3">
        <f>SUMIFS('Data nguồn'!J:J, 'Data nguồn'!D:D, $D35, 'Data nguồn'!F:F, $B$1, 'Data nguồn'!C:C, Q$3)</f>
      </c>
      <c r="R35" s="3">
        <f>SUMIFS('Data nguồn'!J:J, 'Data nguồn'!D:D, $D35, 'Data nguồn'!F:F, $B$1, 'Data nguồn'!C:C, R$3)</f>
      </c>
      <c r="S35" s="3">
        <f>SUMIFS('Data nguồn'!J:J, 'Data nguồn'!D:D, $D35, 'Data nguồn'!F:F, $B$1, 'Data nguồn'!C:C, S$3)</f>
      </c>
      <c r="T35" s="3">
        <f>SUMIFS('Data nguồn'!J:J, 'Data nguồn'!D:D, $D35, 'Data nguồn'!F:F, $B$1, 'Data nguồn'!C:C, T$3)</f>
      </c>
      <c r="U35" s="3">
        <f>SUMIFS('Data nguồn'!J:J, 'Data nguồn'!D:D, $D35, 'Data nguồn'!F:F, $B$1, 'Data nguồn'!C:C, U$3)</f>
      </c>
      <c r="W35" s="3">
        <f>SUM(E35:P35)</f>
      </c>
      <c r="X35" s="3">
        <f>SUM(Q35:U35)</f>
      </c>
      <c r="Y35" s="3">
        <f>AVERAGE(S35:U35)</f>
      </c>
      <c r="Z35" s="3">
        <f>AVERAGE(P35:U35)</f>
      </c>
      <c r="AA35" s="3">
        <f>AVERAGE(M35:U35)</f>
      </c>
      <c r="AB35" s="4">
        <f>IFERROR((Y35*2)/(Z35+AA35), 0)</f>
      </c>
      <c r="AC35" s="4">
        <f>IFERROR(X35/SUM(E35:I35), 0)</f>
      </c>
      <c r="AD35" s="4">
        <f>IFERROR(X35/SUM(E35:I35), 0)</f>
      </c>
      <c r="AE35" s="4">
        <f>IFERROR(U35/I35, 0)</f>
      </c>
    </row>
    <row r="36" ht="20" customHeight="1" spans="1:31" x14ac:dyDescent="0.25">
      <c r="A36">
        <v>33</v>
      </c>
      <c r="B36" t="s">
        <v>35</v>
      </c>
      <c r="C36" t="s">
        <v>141</v>
      </c>
      <c r="D36" s="2" t="s">
        <v>35</v>
      </c>
      <c r="E36" s="3">
        <f>SUMIFS('Data nguồn'!J:J, 'Data nguồn'!D:D, $D36, 'Data nguồn'!F:F, $B$1, 'Data nguồn'!C:C, E$3)</f>
      </c>
      <c r="F36" s="3">
        <f>SUMIFS('Data nguồn'!J:J, 'Data nguồn'!D:D, $D36, 'Data nguồn'!F:F, $B$1, 'Data nguồn'!C:C, F$3)</f>
      </c>
      <c r="G36" s="3">
        <f>SUMIFS('Data nguồn'!J:J, 'Data nguồn'!D:D, $D36, 'Data nguồn'!F:F, $B$1, 'Data nguồn'!C:C, G$3)</f>
      </c>
      <c r="H36" s="3">
        <f>SUMIFS('Data nguồn'!J:J, 'Data nguồn'!D:D, $D36, 'Data nguồn'!F:F, $B$1, 'Data nguồn'!C:C, H$3)</f>
      </c>
      <c r="I36" s="3">
        <f>SUMIFS('Data nguồn'!J:J, 'Data nguồn'!D:D, $D36, 'Data nguồn'!F:F, $B$1, 'Data nguồn'!C:C, I$3)</f>
      </c>
      <c r="J36" s="3">
        <f>SUMIFS('Data nguồn'!J:J, 'Data nguồn'!D:D, $D36, 'Data nguồn'!F:F, $B$1, 'Data nguồn'!C:C, J$3)</f>
      </c>
      <c r="K36" s="3">
        <f>SUMIFS('Data nguồn'!J:J, 'Data nguồn'!D:D, $D36, 'Data nguồn'!F:F, $B$1, 'Data nguồn'!C:C, K$3)</f>
      </c>
      <c r="L36" s="3">
        <f>SUMIFS('Data nguồn'!J:J, 'Data nguồn'!D:D, $D36, 'Data nguồn'!F:F, $B$1, 'Data nguồn'!C:C, L$3)</f>
      </c>
      <c r="M36" s="3">
        <f>SUMIFS('Data nguồn'!J:J, 'Data nguồn'!D:D, $D36, 'Data nguồn'!F:F, $B$1, 'Data nguồn'!C:C, M$3)</f>
      </c>
      <c r="N36" s="3">
        <f>SUMIFS('Data nguồn'!J:J, 'Data nguồn'!D:D, $D36, 'Data nguồn'!F:F, $B$1, 'Data nguồn'!C:C, N$3)</f>
      </c>
      <c r="O36" s="3">
        <f>SUMIFS('Data nguồn'!J:J, 'Data nguồn'!D:D, $D36, 'Data nguồn'!F:F, $B$1, 'Data nguồn'!C:C, O$3)</f>
      </c>
      <c r="P36" s="3">
        <f>SUMIFS('Data nguồn'!J:J, 'Data nguồn'!D:D, $D36, 'Data nguồn'!F:F, $B$1, 'Data nguồn'!C:C, P$3)</f>
      </c>
      <c r="Q36" s="3">
        <f>SUMIFS('Data nguồn'!J:J, 'Data nguồn'!D:D, $D36, 'Data nguồn'!F:F, $B$1, 'Data nguồn'!C:C, Q$3)</f>
      </c>
      <c r="R36" s="3">
        <f>SUMIFS('Data nguồn'!J:J, 'Data nguồn'!D:D, $D36, 'Data nguồn'!F:F, $B$1, 'Data nguồn'!C:C, R$3)</f>
      </c>
      <c r="S36" s="3">
        <f>SUMIFS('Data nguồn'!J:J, 'Data nguồn'!D:D, $D36, 'Data nguồn'!F:F, $B$1, 'Data nguồn'!C:C, S$3)</f>
      </c>
      <c r="T36" s="3">
        <f>SUMIFS('Data nguồn'!J:J, 'Data nguồn'!D:D, $D36, 'Data nguồn'!F:F, $B$1, 'Data nguồn'!C:C, T$3)</f>
      </c>
      <c r="U36" s="3">
        <f>SUMIFS('Data nguồn'!J:J, 'Data nguồn'!D:D, $D36, 'Data nguồn'!F:F, $B$1, 'Data nguồn'!C:C, U$3)</f>
      </c>
      <c r="W36" s="3">
        <f>SUM(E36:P36)</f>
      </c>
      <c r="X36" s="3">
        <f>SUM(Q36:U36)</f>
      </c>
      <c r="Y36" s="3">
        <f>AVERAGE(S36:U36)</f>
      </c>
      <c r="Z36" s="3">
        <f>AVERAGE(P36:U36)</f>
      </c>
      <c r="AA36" s="3">
        <f>AVERAGE(M36:U36)</f>
      </c>
      <c r="AB36" s="4">
        <f>IFERROR((Y36*2)/(Z36+AA36), 0)</f>
      </c>
      <c r="AC36" s="4">
        <f>IFERROR(X36/SUM(E36:I36), 0)</f>
      </c>
      <c r="AD36" s="4">
        <f>IFERROR(X36/SUM(E36:I36), 0)</f>
      </c>
      <c r="AE36" s="4">
        <f>IFERROR(U36/I36, 0)</f>
      </c>
    </row>
    <row r="37" ht="20" customHeight="1" spans="1:31" x14ac:dyDescent="0.25">
      <c r="A37">
        <v>34</v>
      </c>
      <c r="B37" t="s">
        <v>36</v>
      </c>
      <c r="C37" t="s">
        <v>141</v>
      </c>
      <c r="D37" s="2" t="s">
        <v>36</v>
      </c>
      <c r="E37" s="3">
        <f>SUMIFS('Data nguồn'!J:J, 'Data nguồn'!D:D, $D37, 'Data nguồn'!F:F, $B$1, 'Data nguồn'!C:C, E$3)</f>
      </c>
      <c r="F37" s="3">
        <f>SUMIFS('Data nguồn'!J:J, 'Data nguồn'!D:D, $D37, 'Data nguồn'!F:F, $B$1, 'Data nguồn'!C:C, F$3)</f>
      </c>
      <c r="G37" s="3">
        <f>SUMIFS('Data nguồn'!J:J, 'Data nguồn'!D:D, $D37, 'Data nguồn'!F:F, $B$1, 'Data nguồn'!C:C, G$3)</f>
      </c>
      <c r="H37" s="3">
        <f>SUMIFS('Data nguồn'!J:J, 'Data nguồn'!D:D, $D37, 'Data nguồn'!F:F, $B$1, 'Data nguồn'!C:C, H$3)</f>
      </c>
      <c r="I37" s="3">
        <f>SUMIFS('Data nguồn'!J:J, 'Data nguồn'!D:D, $D37, 'Data nguồn'!F:F, $B$1, 'Data nguồn'!C:C, I$3)</f>
      </c>
      <c r="J37" s="3">
        <f>SUMIFS('Data nguồn'!J:J, 'Data nguồn'!D:D, $D37, 'Data nguồn'!F:F, $B$1, 'Data nguồn'!C:C, J$3)</f>
      </c>
      <c r="K37" s="3">
        <f>SUMIFS('Data nguồn'!J:J, 'Data nguồn'!D:D, $D37, 'Data nguồn'!F:F, $B$1, 'Data nguồn'!C:C, K$3)</f>
      </c>
      <c r="L37" s="3">
        <f>SUMIFS('Data nguồn'!J:J, 'Data nguồn'!D:D, $D37, 'Data nguồn'!F:F, $B$1, 'Data nguồn'!C:C, L$3)</f>
      </c>
      <c r="M37" s="3">
        <f>SUMIFS('Data nguồn'!J:J, 'Data nguồn'!D:D, $D37, 'Data nguồn'!F:F, $B$1, 'Data nguồn'!C:C, M$3)</f>
      </c>
      <c r="N37" s="3">
        <f>SUMIFS('Data nguồn'!J:J, 'Data nguồn'!D:D, $D37, 'Data nguồn'!F:F, $B$1, 'Data nguồn'!C:C, N$3)</f>
      </c>
      <c r="O37" s="3">
        <f>SUMIFS('Data nguồn'!J:J, 'Data nguồn'!D:D, $D37, 'Data nguồn'!F:F, $B$1, 'Data nguồn'!C:C, O$3)</f>
      </c>
      <c r="P37" s="3">
        <f>SUMIFS('Data nguồn'!J:J, 'Data nguồn'!D:D, $D37, 'Data nguồn'!F:F, $B$1, 'Data nguồn'!C:C, P$3)</f>
      </c>
      <c r="Q37" s="3">
        <f>SUMIFS('Data nguồn'!J:J, 'Data nguồn'!D:D, $D37, 'Data nguồn'!F:F, $B$1, 'Data nguồn'!C:C, Q$3)</f>
      </c>
      <c r="R37" s="3">
        <f>SUMIFS('Data nguồn'!J:J, 'Data nguồn'!D:D, $D37, 'Data nguồn'!F:F, $B$1, 'Data nguồn'!C:C, R$3)</f>
      </c>
      <c r="S37" s="3">
        <f>SUMIFS('Data nguồn'!J:J, 'Data nguồn'!D:D, $D37, 'Data nguồn'!F:F, $B$1, 'Data nguồn'!C:C, S$3)</f>
      </c>
      <c r="T37" s="3">
        <f>SUMIFS('Data nguồn'!J:J, 'Data nguồn'!D:D, $D37, 'Data nguồn'!F:F, $B$1, 'Data nguồn'!C:C, T$3)</f>
      </c>
      <c r="U37" s="3">
        <f>SUMIFS('Data nguồn'!J:J, 'Data nguồn'!D:D, $D37, 'Data nguồn'!F:F, $B$1, 'Data nguồn'!C:C, U$3)</f>
      </c>
      <c r="W37" s="3">
        <f>SUM(E37:P37)</f>
      </c>
      <c r="X37" s="3">
        <f>SUM(Q37:U37)</f>
      </c>
      <c r="Y37" s="3">
        <f>AVERAGE(S37:U37)</f>
      </c>
      <c r="Z37" s="3">
        <f>AVERAGE(P37:U37)</f>
      </c>
      <c r="AA37" s="3">
        <f>AVERAGE(M37:U37)</f>
      </c>
      <c r="AB37" s="4">
        <f>IFERROR((Y37*2)/(Z37+AA37), 0)</f>
      </c>
      <c r="AC37" s="4">
        <f>IFERROR(X37/SUM(E37:I37), 0)</f>
      </c>
      <c r="AD37" s="4">
        <f>IFERROR(X37/SUM(E37:I37), 0)</f>
      </c>
      <c r="AE37" s="4">
        <f>IFERROR(U37/I37, 0)</f>
      </c>
    </row>
    <row r="38" ht="20" customHeight="1" spans="1:31" x14ac:dyDescent="0.25">
      <c r="A38">
        <v>35</v>
      </c>
      <c r="B38" t="s">
        <v>37</v>
      </c>
      <c r="C38" t="s">
        <v>141</v>
      </c>
      <c r="D38" s="2" t="s">
        <v>37</v>
      </c>
      <c r="E38" s="3">
        <f>SUMIFS('Data nguồn'!J:J, 'Data nguồn'!D:D, $D38, 'Data nguồn'!F:F, $B$1, 'Data nguồn'!C:C, E$3)</f>
      </c>
      <c r="F38" s="3">
        <f>SUMIFS('Data nguồn'!J:J, 'Data nguồn'!D:D, $D38, 'Data nguồn'!F:F, $B$1, 'Data nguồn'!C:C, F$3)</f>
      </c>
      <c r="G38" s="3">
        <f>SUMIFS('Data nguồn'!J:J, 'Data nguồn'!D:D, $D38, 'Data nguồn'!F:F, $B$1, 'Data nguồn'!C:C, G$3)</f>
      </c>
      <c r="H38" s="3">
        <f>SUMIFS('Data nguồn'!J:J, 'Data nguồn'!D:D, $D38, 'Data nguồn'!F:F, $B$1, 'Data nguồn'!C:C, H$3)</f>
      </c>
      <c r="I38" s="3">
        <f>SUMIFS('Data nguồn'!J:J, 'Data nguồn'!D:D, $D38, 'Data nguồn'!F:F, $B$1, 'Data nguồn'!C:C, I$3)</f>
      </c>
      <c r="J38" s="3">
        <f>SUMIFS('Data nguồn'!J:J, 'Data nguồn'!D:D, $D38, 'Data nguồn'!F:F, $B$1, 'Data nguồn'!C:C, J$3)</f>
      </c>
      <c r="K38" s="3">
        <f>SUMIFS('Data nguồn'!J:J, 'Data nguồn'!D:D, $D38, 'Data nguồn'!F:F, $B$1, 'Data nguồn'!C:C, K$3)</f>
      </c>
      <c r="L38" s="3">
        <f>SUMIFS('Data nguồn'!J:J, 'Data nguồn'!D:D, $D38, 'Data nguồn'!F:F, $B$1, 'Data nguồn'!C:C, L$3)</f>
      </c>
      <c r="M38" s="3">
        <f>SUMIFS('Data nguồn'!J:J, 'Data nguồn'!D:D, $D38, 'Data nguồn'!F:F, $B$1, 'Data nguồn'!C:C, M$3)</f>
      </c>
      <c r="N38" s="3">
        <f>SUMIFS('Data nguồn'!J:J, 'Data nguồn'!D:D, $D38, 'Data nguồn'!F:F, $B$1, 'Data nguồn'!C:C, N$3)</f>
      </c>
      <c r="O38" s="3">
        <f>SUMIFS('Data nguồn'!J:J, 'Data nguồn'!D:D, $D38, 'Data nguồn'!F:F, $B$1, 'Data nguồn'!C:C, O$3)</f>
      </c>
      <c r="P38" s="3">
        <f>SUMIFS('Data nguồn'!J:J, 'Data nguồn'!D:D, $D38, 'Data nguồn'!F:F, $B$1, 'Data nguồn'!C:C, P$3)</f>
      </c>
      <c r="Q38" s="3">
        <f>SUMIFS('Data nguồn'!J:J, 'Data nguồn'!D:D, $D38, 'Data nguồn'!F:F, $B$1, 'Data nguồn'!C:C, Q$3)</f>
      </c>
      <c r="R38" s="3">
        <f>SUMIFS('Data nguồn'!J:J, 'Data nguồn'!D:D, $D38, 'Data nguồn'!F:F, $B$1, 'Data nguồn'!C:C, R$3)</f>
      </c>
      <c r="S38" s="3">
        <f>SUMIFS('Data nguồn'!J:J, 'Data nguồn'!D:D, $D38, 'Data nguồn'!F:F, $B$1, 'Data nguồn'!C:C, S$3)</f>
      </c>
      <c r="T38" s="3">
        <f>SUMIFS('Data nguồn'!J:J, 'Data nguồn'!D:D, $D38, 'Data nguồn'!F:F, $B$1, 'Data nguồn'!C:C, T$3)</f>
      </c>
      <c r="U38" s="3">
        <f>SUMIFS('Data nguồn'!J:J, 'Data nguồn'!D:D, $D38, 'Data nguồn'!F:F, $B$1, 'Data nguồn'!C:C, U$3)</f>
      </c>
      <c r="W38" s="3">
        <f>SUM(E38:P38)</f>
      </c>
      <c r="X38" s="3">
        <f>SUM(Q38:U38)</f>
      </c>
      <c r="Y38" s="3">
        <f>AVERAGE(S38:U38)</f>
      </c>
      <c r="Z38" s="3">
        <f>AVERAGE(P38:U38)</f>
      </c>
      <c r="AA38" s="3">
        <f>AVERAGE(M38:U38)</f>
      </c>
      <c r="AB38" s="4">
        <f>IFERROR((Y38*2)/(Z38+AA38), 0)</f>
      </c>
      <c r="AC38" s="4">
        <f>IFERROR(X38/SUM(E38:I38), 0)</f>
      </c>
      <c r="AD38" s="4">
        <f>IFERROR(X38/SUM(E38:I38), 0)</f>
      </c>
      <c r="AE38" s="4">
        <f>IFERROR(U38/I38, 0)</f>
      </c>
    </row>
    <row r="39" ht="20" customHeight="1" spans="1:31" x14ac:dyDescent="0.25">
      <c r="A39">
        <v>36</v>
      </c>
      <c r="B39" t="s">
        <v>38</v>
      </c>
      <c r="C39" t="s">
        <v>141</v>
      </c>
      <c r="D39" s="2" t="s">
        <v>38</v>
      </c>
      <c r="E39" s="3">
        <f>SUMIFS('Data nguồn'!J:J, 'Data nguồn'!D:D, $D39, 'Data nguồn'!F:F, $B$1, 'Data nguồn'!C:C, E$3)</f>
      </c>
      <c r="F39" s="3">
        <f>SUMIFS('Data nguồn'!J:J, 'Data nguồn'!D:D, $D39, 'Data nguồn'!F:F, $B$1, 'Data nguồn'!C:C, F$3)</f>
      </c>
      <c r="G39" s="3">
        <f>SUMIFS('Data nguồn'!J:J, 'Data nguồn'!D:D, $D39, 'Data nguồn'!F:F, $B$1, 'Data nguồn'!C:C, G$3)</f>
      </c>
      <c r="H39" s="3">
        <f>SUMIFS('Data nguồn'!J:J, 'Data nguồn'!D:D, $D39, 'Data nguồn'!F:F, $B$1, 'Data nguồn'!C:C, H$3)</f>
      </c>
      <c r="I39" s="3">
        <f>SUMIFS('Data nguồn'!J:J, 'Data nguồn'!D:D, $D39, 'Data nguồn'!F:F, $B$1, 'Data nguồn'!C:C, I$3)</f>
      </c>
      <c r="J39" s="3">
        <f>SUMIFS('Data nguồn'!J:J, 'Data nguồn'!D:D, $D39, 'Data nguồn'!F:F, $B$1, 'Data nguồn'!C:C, J$3)</f>
      </c>
      <c r="K39" s="3">
        <f>SUMIFS('Data nguồn'!J:J, 'Data nguồn'!D:D, $D39, 'Data nguồn'!F:F, $B$1, 'Data nguồn'!C:C, K$3)</f>
      </c>
      <c r="L39" s="3">
        <f>SUMIFS('Data nguồn'!J:J, 'Data nguồn'!D:D, $D39, 'Data nguồn'!F:F, $B$1, 'Data nguồn'!C:C, L$3)</f>
      </c>
      <c r="M39" s="3">
        <f>SUMIFS('Data nguồn'!J:J, 'Data nguồn'!D:D, $D39, 'Data nguồn'!F:F, $B$1, 'Data nguồn'!C:C, M$3)</f>
      </c>
      <c r="N39" s="3">
        <f>SUMIFS('Data nguồn'!J:J, 'Data nguồn'!D:D, $D39, 'Data nguồn'!F:F, $B$1, 'Data nguồn'!C:C, N$3)</f>
      </c>
      <c r="O39" s="3">
        <f>SUMIFS('Data nguồn'!J:J, 'Data nguồn'!D:D, $D39, 'Data nguồn'!F:F, $B$1, 'Data nguồn'!C:C, O$3)</f>
      </c>
      <c r="P39" s="3">
        <f>SUMIFS('Data nguồn'!J:J, 'Data nguồn'!D:D, $D39, 'Data nguồn'!F:F, $B$1, 'Data nguồn'!C:C, P$3)</f>
      </c>
      <c r="Q39" s="3">
        <f>SUMIFS('Data nguồn'!J:J, 'Data nguồn'!D:D, $D39, 'Data nguồn'!F:F, $B$1, 'Data nguồn'!C:C, Q$3)</f>
      </c>
      <c r="R39" s="3">
        <f>SUMIFS('Data nguồn'!J:J, 'Data nguồn'!D:D, $D39, 'Data nguồn'!F:F, $B$1, 'Data nguồn'!C:C, R$3)</f>
      </c>
      <c r="S39" s="3">
        <f>SUMIFS('Data nguồn'!J:J, 'Data nguồn'!D:D, $D39, 'Data nguồn'!F:F, $B$1, 'Data nguồn'!C:C, S$3)</f>
      </c>
      <c r="T39" s="3">
        <f>SUMIFS('Data nguồn'!J:J, 'Data nguồn'!D:D, $D39, 'Data nguồn'!F:F, $B$1, 'Data nguồn'!C:C, T$3)</f>
      </c>
      <c r="U39" s="3">
        <f>SUMIFS('Data nguồn'!J:J, 'Data nguồn'!D:D, $D39, 'Data nguồn'!F:F, $B$1, 'Data nguồn'!C:C, U$3)</f>
      </c>
      <c r="W39" s="3">
        <f>SUM(E39:P39)</f>
      </c>
      <c r="X39" s="3">
        <f>SUM(Q39:U39)</f>
      </c>
      <c r="Y39" s="3">
        <f>AVERAGE(S39:U39)</f>
      </c>
      <c r="Z39" s="3">
        <f>AVERAGE(P39:U39)</f>
      </c>
      <c r="AA39" s="3">
        <f>AVERAGE(M39:U39)</f>
      </c>
      <c r="AB39" s="4">
        <f>IFERROR((Y39*2)/(Z39+AA39), 0)</f>
      </c>
      <c r="AC39" s="4">
        <f>IFERROR(X39/SUM(E39:I39), 0)</f>
      </c>
      <c r="AD39" s="4">
        <f>IFERROR(X39/SUM(E39:I39), 0)</f>
      </c>
      <c r="AE39" s="4">
        <f>IFERROR(U39/I39, 0)</f>
      </c>
    </row>
    <row r="40" ht="20" customHeight="1" spans="1:31" x14ac:dyDescent="0.25">
      <c r="A40">
        <v>37</v>
      </c>
      <c r="B40" t="s">
        <v>39</v>
      </c>
      <c r="C40" t="s">
        <v>141</v>
      </c>
      <c r="D40" s="2" t="s">
        <v>39</v>
      </c>
      <c r="E40" s="3">
        <f>SUMIFS('Data nguồn'!J:J, 'Data nguồn'!D:D, $D40, 'Data nguồn'!F:F, $B$1, 'Data nguồn'!C:C, E$3)</f>
      </c>
      <c r="F40" s="3">
        <f>SUMIFS('Data nguồn'!J:J, 'Data nguồn'!D:D, $D40, 'Data nguồn'!F:F, $B$1, 'Data nguồn'!C:C, F$3)</f>
      </c>
      <c r="G40" s="3">
        <f>SUMIFS('Data nguồn'!J:J, 'Data nguồn'!D:D, $D40, 'Data nguồn'!F:F, $B$1, 'Data nguồn'!C:C, G$3)</f>
      </c>
      <c r="H40" s="3">
        <f>SUMIFS('Data nguồn'!J:J, 'Data nguồn'!D:D, $D40, 'Data nguồn'!F:F, $B$1, 'Data nguồn'!C:C, H$3)</f>
      </c>
      <c r="I40" s="3">
        <f>SUMIFS('Data nguồn'!J:J, 'Data nguồn'!D:D, $D40, 'Data nguồn'!F:F, $B$1, 'Data nguồn'!C:C, I$3)</f>
      </c>
      <c r="J40" s="3">
        <f>SUMIFS('Data nguồn'!J:J, 'Data nguồn'!D:D, $D40, 'Data nguồn'!F:F, $B$1, 'Data nguồn'!C:C, J$3)</f>
      </c>
      <c r="K40" s="3">
        <f>SUMIFS('Data nguồn'!J:J, 'Data nguồn'!D:D, $D40, 'Data nguồn'!F:F, $B$1, 'Data nguồn'!C:C, K$3)</f>
      </c>
      <c r="L40" s="3">
        <f>SUMIFS('Data nguồn'!J:J, 'Data nguồn'!D:D, $D40, 'Data nguồn'!F:F, $B$1, 'Data nguồn'!C:C, L$3)</f>
      </c>
      <c r="M40" s="3">
        <f>SUMIFS('Data nguồn'!J:J, 'Data nguồn'!D:D, $D40, 'Data nguồn'!F:F, $B$1, 'Data nguồn'!C:C, M$3)</f>
      </c>
      <c r="N40" s="3">
        <f>SUMIFS('Data nguồn'!J:J, 'Data nguồn'!D:D, $D40, 'Data nguồn'!F:F, $B$1, 'Data nguồn'!C:C, N$3)</f>
      </c>
      <c r="O40" s="3">
        <f>SUMIFS('Data nguồn'!J:J, 'Data nguồn'!D:D, $D40, 'Data nguồn'!F:F, $B$1, 'Data nguồn'!C:C, O$3)</f>
      </c>
      <c r="P40" s="3">
        <f>SUMIFS('Data nguồn'!J:J, 'Data nguồn'!D:D, $D40, 'Data nguồn'!F:F, $B$1, 'Data nguồn'!C:C, P$3)</f>
      </c>
      <c r="Q40" s="3">
        <f>SUMIFS('Data nguồn'!J:J, 'Data nguồn'!D:D, $D40, 'Data nguồn'!F:F, $B$1, 'Data nguồn'!C:C, Q$3)</f>
      </c>
      <c r="R40" s="3">
        <f>SUMIFS('Data nguồn'!J:J, 'Data nguồn'!D:D, $D40, 'Data nguồn'!F:F, $B$1, 'Data nguồn'!C:C, R$3)</f>
      </c>
      <c r="S40" s="3">
        <f>SUMIFS('Data nguồn'!J:J, 'Data nguồn'!D:D, $D40, 'Data nguồn'!F:F, $B$1, 'Data nguồn'!C:C, S$3)</f>
      </c>
      <c r="T40" s="3">
        <f>SUMIFS('Data nguồn'!J:J, 'Data nguồn'!D:D, $D40, 'Data nguồn'!F:F, $B$1, 'Data nguồn'!C:C, T$3)</f>
      </c>
      <c r="U40" s="3">
        <f>SUMIFS('Data nguồn'!J:J, 'Data nguồn'!D:D, $D40, 'Data nguồn'!F:F, $B$1, 'Data nguồn'!C:C, U$3)</f>
      </c>
      <c r="W40" s="3">
        <f>SUM(E40:P40)</f>
      </c>
      <c r="X40" s="3">
        <f>SUM(Q40:U40)</f>
      </c>
      <c r="Y40" s="3">
        <f>AVERAGE(S40:U40)</f>
      </c>
      <c r="Z40" s="3">
        <f>AVERAGE(P40:U40)</f>
      </c>
      <c r="AA40" s="3">
        <f>AVERAGE(M40:U40)</f>
      </c>
      <c r="AB40" s="4">
        <f>IFERROR((Y40*2)/(Z40+AA40), 0)</f>
      </c>
      <c r="AC40" s="4">
        <f>IFERROR(X40/SUM(E40:I40), 0)</f>
      </c>
      <c r="AD40" s="4">
        <f>IFERROR(X40/SUM(E40:I40), 0)</f>
      </c>
      <c r="AE40" s="4">
        <f>IFERROR(U40/I40, 0)</f>
      </c>
    </row>
    <row r="41" ht="20" customHeight="1" spans="1:31" x14ac:dyDescent="0.25">
      <c r="A41">
        <v>38</v>
      </c>
      <c r="B41" t="s">
        <v>40</v>
      </c>
      <c r="C41" t="s">
        <v>141</v>
      </c>
      <c r="D41" s="2" t="s">
        <v>40</v>
      </c>
      <c r="E41" s="3">
        <f>SUMIFS('Data nguồn'!J:J, 'Data nguồn'!D:D, $D41, 'Data nguồn'!F:F, $B$1, 'Data nguồn'!C:C, E$3)</f>
      </c>
      <c r="F41" s="3">
        <f>SUMIFS('Data nguồn'!J:J, 'Data nguồn'!D:D, $D41, 'Data nguồn'!F:F, $B$1, 'Data nguồn'!C:C, F$3)</f>
      </c>
      <c r="G41" s="3">
        <f>SUMIFS('Data nguồn'!J:J, 'Data nguồn'!D:D, $D41, 'Data nguồn'!F:F, $B$1, 'Data nguồn'!C:C, G$3)</f>
      </c>
      <c r="H41" s="3">
        <f>SUMIFS('Data nguồn'!J:J, 'Data nguồn'!D:D, $D41, 'Data nguồn'!F:F, $B$1, 'Data nguồn'!C:C, H$3)</f>
      </c>
      <c r="I41" s="3">
        <f>SUMIFS('Data nguồn'!J:J, 'Data nguồn'!D:D, $D41, 'Data nguồn'!F:F, $B$1, 'Data nguồn'!C:C, I$3)</f>
      </c>
      <c r="J41" s="3">
        <f>SUMIFS('Data nguồn'!J:J, 'Data nguồn'!D:D, $D41, 'Data nguồn'!F:F, $B$1, 'Data nguồn'!C:C, J$3)</f>
      </c>
      <c r="K41" s="3">
        <f>SUMIFS('Data nguồn'!J:J, 'Data nguồn'!D:D, $D41, 'Data nguồn'!F:F, $B$1, 'Data nguồn'!C:C, K$3)</f>
      </c>
      <c r="L41" s="3">
        <f>SUMIFS('Data nguồn'!J:J, 'Data nguồn'!D:D, $D41, 'Data nguồn'!F:F, $B$1, 'Data nguồn'!C:C, L$3)</f>
      </c>
      <c r="M41" s="3">
        <f>SUMIFS('Data nguồn'!J:J, 'Data nguồn'!D:D, $D41, 'Data nguồn'!F:F, $B$1, 'Data nguồn'!C:C, M$3)</f>
      </c>
      <c r="N41" s="3">
        <f>SUMIFS('Data nguồn'!J:J, 'Data nguồn'!D:D, $D41, 'Data nguồn'!F:F, $B$1, 'Data nguồn'!C:C, N$3)</f>
      </c>
      <c r="O41" s="3">
        <f>SUMIFS('Data nguồn'!J:J, 'Data nguồn'!D:D, $D41, 'Data nguồn'!F:F, $B$1, 'Data nguồn'!C:C, O$3)</f>
      </c>
      <c r="P41" s="3">
        <f>SUMIFS('Data nguồn'!J:J, 'Data nguồn'!D:D, $D41, 'Data nguồn'!F:F, $B$1, 'Data nguồn'!C:C, P$3)</f>
      </c>
      <c r="Q41" s="3">
        <f>SUMIFS('Data nguồn'!J:J, 'Data nguồn'!D:D, $D41, 'Data nguồn'!F:F, $B$1, 'Data nguồn'!C:C, Q$3)</f>
      </c>
      <c r="R41" s="3">
        <f>SUMIFS('Data nguồn'!J:J, 'Data nguồn'!D:D, $D41, 'Data nguồn'!F:F, $B$1, 'Data nguồn'!C:C, R$3)</f>
      </c>
      <c r="S41" s="3">
        <f>SUMIFS('Data nguồn'!J:J, 'Data nguồn'!D:D, $D41, 'Data nguồn'!F:F, $B$1, 'Data nguồn'!C:C, S$3)</f>
      </c>
      <c r="T41" s="3">
        <f>SUMIFS('Data nguồn'!J:J, 'Data nguồn'!D:D, $D41, 'Data nguồn'!F:F, $B$1, 'Data nguồn'!C:C, T$3)</f>
      </c>
      <c r="U41" s="3">
        <f>SUMIFS('Data nguồn'!J:J, 'Data nguồn'!D:D, $D41, 'Data nguồn'!F:F, $B$1, 'Data nguồn'!C:C, U$3)</f>
      </c>
      <c r="W41" s="3">
        <f>SUM(E41:P41)</f>
      </c>
      <c r="X41" s="3">
        <f>SUM(Q41:U41)</f>
      </c>
      <c r="Y41" s="3">
        <f>AVERAGE(S41:U41)</f>
      </c>
      <c r="Z41" s="3">
        <f>AVERAGE(P41:U41)</f>
      </c>
      <c r="AA41" s="3">
        <f>AVERAGE(M41:U41)</f>
      </c>
      <c r="AB41" s="4">
        <f>IFERROR((Y41*2)/(Z41+AA41), 0)</f>
      </c>
      <c r="AC41" s="4">
        <f>IFERROR(X41/SUM(E41:I41), 0)</f>
      </c>
      <c r="AD41" s="4">
        <f>IFERROR(X41/SUM(E41:I41), 0)</f>
      </c>
      <c r="AE41" s="4">
        <f>IFERROR(U41/I41, 0)</f>
      </c>
    </row>
    <row r="42" ht="20" customHeight="1" spans="1:31" x14ac:dyDescent="0.25">
      <c r="A42">
        <v>39</v>
      </c>
      <c r="B42" t="s">
        <v>41</v>
      </c>
      <c r="C42" t="s">
        <v>141</v>
      </c>
      <c r="D42" s="2" t="s">
        <v>41</v>
      </c>
      <c r="E42" s="3">
        <f>SUMIFS('Data nguồn'!J:J, 'Data nguồn'!D:D, $D42, 'Data nguồn'!F:F, $B$1, 'Data nguồn'!C:C, E$3)</f>
      </c>
      <c r="F42" s="3">
        <f>SUMIFS('Data nguồn'!J:J, 'Data nguồn'!D:D, $D42, 'Data nguồn'!F:F, $B$1, 'Data nguồn'!C:C, F$3)</f>
      </c>
      <c r="G42" s="3">
        <f>SUMIFS('Data nguồn'!J:J, 'Data nguồn'!D:D, $D42, 'Data nguồn'!F:F, $B$1, 'Data nguồn'!C:C, G$3)</f>
      </c>
      <c r="H42" s="3">
        <f>SUMIFS('Data nguồn'!J:J, 'Data nguồn'!D:D, $D42, 'Data nguồn'!F:F, $B$1, 'Data nguồn'!C:C, H$3)</f>
      </c>
      <c r="I42" s="3">
        <f>SUMIFS('Data nguồn'!J:J, 'Data nguồn'!D:D, $D42, 'Data nguồn'!F:F, $B$1, 'Data nguồn'!C:C, I$3)</f>
      </c>
      <c r="J42" s="3">
        <f>SUMIFS('Data nguồn'!J:J, 'Data nguồn'!D:D, $D42, 'Data nguồn'!F:F, $B$1, 'Data nguồn'!C:C, J$3)</f>
      </c>
      <c r="K42" s="3">
        <f>SUMIFS('Data nguồn'!J:J, 'Data nguồn'!D:D, $D42, 'Data nguồn'!F:F, $B$1, 'Data nguồn'!C:C, K$3)</f>
      </c>
      <c r="L42" s="3">
        <f>SUMIFS('Data nguồn'!J:J, 'Data nguồn'!D:D, $D42, 'Data nguồn'!F:F, $B$1, 'Data nguồn'!C:C, L$3)</f>
      </c>
      <c r="M42" s="3">
        <f>SUMIFS('Data nguồn'!J:J, 'Data nguồn'!D:D, $D42, 'Data nguồn'!F:F, $B$1, 'Data nguồn'!C:C, M$3)</f>
      </c>
      <c r="N42" s="3">
        <f>SUMIFS('Data nguồn'!J:J, 'Data nguồn'!D:D, $D42, 'Data nguồn'!F:F, $B$1, 'Data nguồn'!C:C, N$3)</f>
      </c>
      <c r="O42" s="3">
        <f>SUMIFS('Data nguồn'!J:J, 'Data nguồn'!D:D, $D42, 'Data nguồn'!F:F, $B$1, 'Data nguồn'!C:C, O$3)</f>
      </c>
      <c r="P42" s="3">
        <f>SUMIFS('Data nguồn'!J:J, 'Data nguồn'!D:D, $D42, 'Data nguồn'!F:F, $B$1, 'Data nguồn'!C:C, P$3)</f>
      </c>
      <c r="Q42" s="3">
        <f>SUMIFS('Data nguồn'!J:J, 'Data nguồn'!D:D, $D42, 'Data nguồn'!F:F, $B$1, 'Data nguồn'!C:C, Q$3)</f>
      </c>
      <c r="R42" s="3">
        <f>SUMIFS('Data nguồn'!J:J, 'Data nguồn'!D:D, $D42, 'Data nguồn'!F:F, $B$1, 'Data nguồn'!C:C, R$3)</f>
      </c>
      <c r="S42" s="3">
        <f>SUMIFS('Data nguồn'!J:J, 'Data nguồn'!D:D, $D42, 'Data nguồn'!F:F, $B$1, 'Data nguồn'!C:C, S$3)</f>
      </c>
      <c r="T42" s="3">
        <f>SUMIFS('Data nguồn'!J:J, 'Data nguồn'!D:D, $D42, 'Data nguồn'!F:F, $B$1, 'Data nguồn'!C:C, T$3)</f>
      </c>
      <c r="U42" s="3">
        <f>SUMIFS('Data nguồn'!J:J, 'Data nguồn'!D:D, $D42, 'Data nguồn'!F:F, $B$1, 'Data nguồn'!C:C, U$3)</f>
      </c>
      <c r="W42" s="3">
        <f>SUM(E42:P42)</f>
      </c>
      <c r="X42" s="3">
        <f>SUM(Q42:U42)</f>
      </c>
      <c r="Y42" s="3">
        <f>AVERAGE(S42:U42)</f>
      </c>
      <c r="Z42" s="3">
        <f>AVERAGE(P42:U42)</f>
      </c>
      <c r="AA42" s="3">
        <f>AVERAGE(M42:U42)</f>
      </c>
      <c r="AB42" s="4">
        <f>IFERROR((Y42*2)/(Z42+AA42), 0)</f>
      </c>
      <c r="AC42" s="4">
        <f>IFERROR(X42/SUM(E42:I42), 0)</f>
      </c>
      <c r="AD42" s="4">
        <f>IFERROR(X42/SUM(E42:I42), 0)</f>
      </c>
      <c r="AE42" s="4">
        <f>IFERROR(U42/I42, 0)</f>
      </c>
    </row>
    <row r="43" ht="20" customHeight="1" spans="1:31" x14ac:dyDescent="0.25">
      <c r="A43">
        <v>40</v>
      </c>
      <c r="B43" t="s">
        <v>42</v>
      </c>
      <c r="C43" t="s">
        <v>141</v>
      </c>
      <c r="D43" s="2" t="s">
        <v>42</v>
      </c>
      <c r="E43" s="3">
        <f>SUMIFS('Data nguồn'!J:J, 'Data nguồn'!D:D, $D43, 'Data nguồn'!F:F, $B$1, 'Data nguồn'!C:C, E$3)</f>
      </c>
      <c r="F43" s="3">
        <f>SUMIFS('Data nguồn'!J:J, 'Data nguồn'!D:D, $D43, 'Data nguồn'!F:F, $B$1, 'Data nguồn'!C:C, F$3)</f>
      </c>
      <c r="G43" s="3">
        <f>SUMIFS('Data nguồn'!J:J, 'Data nguồn'!D:D, $D43, 'Data nguồn'!F:F, $B$1, 'Data nguồn'!C:C, G$3)</f>
      </c>
      <c r="H43" s="3">
        <f>SUMIFS('Data nguồn'!J:J, 'Data nguồn'!D:D, $D43, 'Data nguồn'!F:F, $B$1, 'Data nguồn'!C:C, H$3)</f>
      </c>
      <c r="I43" s="3">
        <f>SUMIFS('Data nguồn'!J:J, 'Data nguồn'!D:D, $D43, 'Data nguồn'!F:F, $B$1, 'Data nguồn'!C:C, I$3)</f>
      </c>
      <c r="J43" s="3">
        <f>SUMIFS('Data nguồn'!J:J, 'Data nguồn'!D:D, $D43, 'Data nguồn'!F:F, $B$1, 'Data nguồn'!C:C, J$3)</f>
      </c>
      <c r="K43" s="3">
        <f>SUMIFS('Data nguồn'!J:J, 'Data nguồn'!D:D, $D43, 'Data nguồn'!F:F, $B$1, 'Data nguồn'!C:C, K$3)</f>
      </c>
      <c r="L43" s="3">
        <f>SUMIFS('Data nguồn'!J:J, 'Data nguồn'!D:D, $D43, 'Data nguồn'!F:F, $B$1, 'Data nguồn'!C:C, L$3)</f>
      </c>
      <c r="M43" s="3">
        <f>SUMIFS('Data nguồn'!J:J, 'Data nguồn'!D:D, $D43, 'Data nguồn'!F:F, $B$1, 'Data nguồn'!C:C, M$3)</f>
      </c>
      <c r="N43" s="3">
        <f>SUMIFS('Data nguồn'!J:J, 'Data nguồn'!D:D, $D43, 'Data nguồn'!F:F, $B$1, 'Data nguồn'!C:C, N$3)</f>
      </c>
      <c r="O43" s="3">
        <f>SUMIFS('Data nguồn'!J:J, 'Data nguồn'!D:D, $D43, 'Data nguồn'!F:F, $B$1, 'Data nguồn'!C:C, O$3)</f>
      </c>
      <c r="P43" s="3">
        <f>SUMIFS('Data nguồn'!J:J, 'Data nguồn'!D:D, $D43, 'Data nguồn'!F:F, $B$1, 'Data nguồn'!C:C, P$3)</f>
      </c>
      <c r="Q43" s="3">
        <f>SUMIFS('Data nguồn'!J:J, 'Data nguồn'!D:D, $D43, 'Data nguồn'!F:F, $B$1, 'Data nguồn'!C:C, Q$3)</f>
      </c>
      <c r="R43" s="3">
        <f>SUMIFS('Data nguồn'!J:J, 'Data nguồn'!D:D, $D43, 'Data nguồn'!F:F, $B$1, 'Data nguồn'!C:C, R$3)</f>
      </c>
      <c r="S43" s="3">
        <f>SUMIFS('Data nguồn'!J:J, 'Data nguồn'!D:D, $D43, 'Data nguồn'!F:F, $B$1, 'Data nguồn'!C:C, S$3)</f>
      </c>
      <c r="T43" s="3">
        <f>SUMIFS('Data nguồn'!J:J, 'Data nguồn'!D:D, $D43, 'Data nguồn'!F:F, $B$1, 'Data nguồn'!C:C, T$3)</f>
      </c>
      <c r="U43" s="3">
        <f>SUMIFS('Data nguồn'!J:J, 'Data nguồn'!D:D, $D43, 'Data nguồn'!F:F, $B$1, 'Data nguồn'!C:C, U$3)</f>
      </c>
      <c r="W43" s="3">
        <f>SUM(E43:P43)</f>
      </c>
      <c r="X43" s="3">
        <f>SUM(Q43:U43)</f>
      </c>
      <c r="Y43" s="3">
        <f>AVERAGE(S43:U43)</f>
      </c>
      <c r="Z43" s="3">
        <f>AVERAGE(P43:U43)</f>
      </c>
      <c r="AA43" s="3">
        <f>AVERAGE(M43:U43)</f>
      </c>
      <c r="AB43" s="4">
        <f>IFERROR((Y43*2)/(Z43+AA43), 0)</f>
      </c>
      <c r="AC43" s="4">
        <f>IFERROR(X43/SUM(E43:I43), 0)</f>
      </c>
      <c r="AD43" s="4">
        <f>IFERROR(X43/SUM(E43:I43), 0)</f>
      </c>
      <c r="AE43" s="4">
        <f>IFERROR(U43/I43, 0)</f>
      </c>
    </row>
    <row r="44" ht="20" customHeight="1" spans="1:31" x14ac:dyDescent="0.25">
      <c r="A44">
        <v>41</v>
      </c>
      <c r="B44" t="s">
        <v>43</v>
      </c>
      <c r="C44" t="s">
        <v>141</v>
      </c>
      <c r="D44" s="2" t="s">
        <v>43</v>
      </c>
      <c r="E44" s="3">
        <f>SUMIFS('Data nguồn'!J:J, 'Data nguồn'!D:D, $D44, 'Data nguồn'!F:F, $B$1, 'Data nguồn'!C:C, E$3)</f>
      </c>
      <c r="F44" s="3">
        <f>SUMIFS('Data nguồn'!J:J, 'Data nguồn'!D:D, $D44, 'Data nguồn'!F:F, $B$1, 'Data nguồn'!C:C, F$3)</f>
      </c>
      <c r="G44" s="3">
        <f>SUMIFS('Data nguồn'!J:J, 'Data nguồn'!D:D, $D44, 'Data nguồn'!F:F, $B$1, 'Data nguồn'!C:C, G$3)</f>
      </c>
      <c r="H44" s="3">
        <f>SUMIFS('Data nguồn'!J:J, 'Data nguồn'!D:D, $D44, 'Data nguồn'!F:F, $B$1, 'Data nguồn'!C:C, H$3)</f>
      </c>
      <c r="I44" s="3">
        <f>SUMIFS('Data nguồn'!J:J, 'Data nguồn'!D:D, $D44, 'Data nguồn'!F:F, $B$1, 'Data nguồn'!C:C, I$3)</f>
      </c>
      <c r="J44" s="3">
        <f>SUMIFS('Data nguồn'!J:J, 'Data nguồn'!D:D, $D44, 'Data nguồn'!F:F, $B$1, 'Data nguồn'!C:C, J$3)</f>
      </c>
      <c r="K44" s="3">
        <f>SUMIFS('Data nguồn'!J:J, 'Data nguồn'!D:D, $D44, 'Data nguồn'!F:F, $B$1, 'Data nguồn'!C:C, K$3)</f>
      </c>
      <c r="L44" s="3">
        <f>SUMIFS('Data nguồn'!J:J, 'Data nguồn'!D:D, $D44, 'Data nguồn'!F:F, $B$1, 'Data nguồn'!C:C, L$3)</f>
      </c>
      <c r="M44" s="3">
        <f>SUMIFS('Data nguồn'!J:J, 'Data nguồn'!D:D, $D44, 'Data nguồn'!F:F, $B$1, 'Data nguồn'!C:C, M$3)</f>
      </c>
      <c r="N44" s="3">
        <f>SUMIFS('Data nguồn'!J:J, 'Data nguồn'!D:D, $D44, 'Data nguồn'!F:F, $B$1, 'Data nguồn'!C:C, N$3)</f>
      </c>
      <c r="O44" s="3">
        <f>SUMIFS('Data nguồn'!J:J, 'Data nguồn'!D:D, $D44, 'Data nguồn'!F:F, $B$1, 'Data nguồn'!C:C, O$3)</f>
      </c>
      <c r="P44" s="3">
        <f>SUMIFS('Data nguồn'!J:J, 'Data nguồn'!D:D, $D44, 'Data nguồn'!F:F, $B$1, 'Data nguồn'!C:C, P$3)</f>
      </c>
      <c r="Q44" s="3">
        <f>SUMIFS('Data nguồn'!J:J, 'Data nguồn'!D:D, $D44, 'Data nguồn'!F:F, $B$1, 'Data nguồn'!C:C, Q$3)</f>
      </c>
      <c r="R44" s="3">
        <f>SUMIFS('Data nguồn'!J:J, 'Data nguồn'!D:D, $D44, 'Data nguồn'!F:F, $B$1, 'Data nguồn'!C:C, R$3)</f>
      </c>
      <c r="S44" s="3">
        <f>SUMIFS('Data nguồn'!J:J, 'Data nguồn'!D:D, $D44, 'Data nguồn'!F:F, $B$1, 'Data nguồn'!C:C, S$3)</f>
      </c>
      <c r="T44" s="3">
        <f>SUMIFS('Data nguồn'!J:J, 'Data nguồn'!D:D, $D44, 'Data nguồn'!F:F, $B$1, 'Data nguồn'!C:C, T$3)</f>
      </c>
      <c r="U44" s="3">
        <f>SUMIFS('Data nguồn'!J:J, 'Data nguồn'!D:D, $D44, 'Data nguồn'!F:F, $B$1, 'Data nguồn'!C:C, U$3)</f>
      </c>
      <c r="W44" s="3">
        <f>SUM(E44:P44)</f>
      </c>
      <c r="X44" s="3">
        <f>SUM(Q44:U44)</f>
      </c>
      <c r="Y44" s="3">
        <f>AVERAGE(S44:U44)</f>
      </c>
      <c r="Z44" s="3">
        <f>AVERAGE(P44:U44)</f>
      </c>
      <c r="AA44" s="3">
        <f>AVERAGE(M44:U44)</f>
      </c>
      <c r="AB44" s="4">
        <f>IFERROR((Y44*2)/(Z44+AA44), 0)</f>
      </c>
      <c r="AC44" s="4">
        <f>IFERROR(X44/SUM(E44:I44), 0)</f>
      </c>
      <c r="AD44" s="4">
        <f>IFERROR(X44/SUM(E44:I44), 0)</f>
      </c>
      <c r="AE44" s="4">
        <f>IFERROR(U44/I44, 0)</f>
      </c>
    </row>
    <row r="45" ht="20" customHeight="1" spans="1:31" x14ac:dyDescent="0.25">
      <c r="A45">
        <v>42</v>
      </c>
      <c r="B45" t="s">
        <v>44</v>
      </c>
      <c r="C45" t="s">
        <v>141</v>
      </c>
      <c r="D45" s="2" t="s">
        <v>44</v>
      </c>
      <c r="E45" s="3">
        <f>SUMIFS('Data nguồn'!J:J, 'Data nguồn'!D:D, $D45, 'Data nguồn'!F:F, $B$1, 'Data nguồn'!C:C, E$3)</f>
      </c>
      <c r="F45" s="3">
        <f>SUMIFS('Data nguồn'!J:J, 'Data nguồn'!D:D, $D45, 'Data nguồn'!F:F, $B$1, 'Data nguồn'!C:C, F$3)</f>
      </c>
      <c r="G45" s="3">
        <f>SUMIFS('Data nguồn'!J:J, 'Data nguồn'!D:D, $D45, 'Data nguồn'!F:F, $B$1, 'Data nguồn'!C:C, G$3)</f>
      </c>
      <c r="H45" s="3">
        <f>SUMIFS('Data nguồn'!J:J, 'Data nguồn'!D:D, $D45, 'Data nguồn'!F:F, $B$1, 'Data nguồn'!C:C, H$3)</f>
      </c>
      <c r="I45" s="3">
        <f>SUMIFS('Data nguồn'!J:J, 'Data nguồn'!D:D, $D45, 'Data nguồn'!F:F, $B$1, 'Data nguồn'!C:C, I$3)</f>
      </c>
      <c r="J45" s="3">
        <f>SUMIFS('Data nguồn'!J:J, 'Data nguồn'!D:D, $D45, 'Data nguồn'!F:F, $B$1, 'Data nguồn'!C:C, J$3)</f>
      </c>
      <c r="K45" s="3">
        <f>SUMIFS('Data nguồn'!J:J, 'Data nguồn'!D:D, $D45, 'Data nguồn'!F:F, $B$1, 'Data nguồn'!C:C, K$3)</f>
      </c>
      <c r="L45" s="3">
        <f>SUMIFS('Data nguồn'!J:J, 'Data nguồn'!D:D, $D45, 'Data nguồn'!F:F, $B$1, 'Data nguồn'!C:C, L$3)</f>
      </c>
      <c r="M45" s="3">
        <f>SUMIFS('Data nguồn'!J:J, 'Data nguồn'!D:D, $D45, 'Data nguồn'!F:F, $B$1, 'Data nguồn'!C:C, M$3)</f>
      </c>
      <c r="N45" s="3">
        <f>SUMIFS('Data nguồn'!J:J, 'Data nguồn'!D:D, $D45, 'Data nguồn'!F:F, $B$1, 'Data nguồn'!C:C, N$3)</f>
      </c>
      <c r="O45" s="3">
        <f>SUMIFS('Data nguồn'!J:J, 'Data nguồn'!D:D, $D45, 'Data nguồn'!F:F, $B$1, 'Data nguồn'!C:C, O$3)</f>
      </c>
      <c r="P45" s="3">
        <f>SUMIFS('Data nguồn'!J:J, 'Data nguồn'!D:D, $D45, 'Data nguồn'!F:F, $B$1, 'Data nguồn'!C:C, P$3)</f>
      </c>
      <c r="Q45" s="3">
        <f>SUMIFS('Data nguồn'!J:J, 'Data nguồn'!D:D, $D45, 'Data nguồn'!F:F, $B$1, 'Data nguồn'!C:C, Q$3)</f>
      </c>
      <c r="R45" s="3">
        <f>SUMIFS('Data nguồn'!J:J, 'Data nguồn'!D:D, $D45, 'Data nguồn'!F:F, $B$1, 'Data nguồn'!C:C, R$3)</f>
      </c>
      <c r="S45" s="3">
        <f>SUMIFS('Data nguồn'!J:J, 'Data nguồn'!D:D, $D45, 'Data nguồn'!F:F, $B$1, 'Data nguồn'!C:C, S$3)</f>
      </c>
      <c r="T45" s="3">
        <f>SUMIFS('Data nguồn'!J:J, 'Data nguồn'!D:D, $D45, 'Data nguồn'!F:F, $B$1, 'Data nguồn'!C:C, T$3)</f>
      </c>
      <c r="U45" s="3">
        <f>SUMIFS('Data nguồn'!J:J, 'Data nguồn'!D:D, $D45, 'Data nguồn'!F:F, $B$1, 'Data nguồn'!C:C, U$3)</f>
      </c>
      <c r="W45" s="3">
        <f>SUM(E45:P45)</f>
      </c>
      <c r="X45" s="3">
        <f>SUM(Q45:U45)</f>
      </c>
      <c r="Y45" s="3">
        <f>AVERAGE(S45:U45)</f>
      </c>
      <c r="Z45" s="3">
        <f>AVERAGE(P45:U45)</f>
      </c>
      <c r="AA45" s="3">
        <f>AVERAGE(M45:U45)</f>
      </c>
      <c r="AB45" s="4">
        <f>IFERROR((Y45*2)/(Z45+AA45), 0)</f>
      </c>
      <c r="AC45" s="4">
        <f>IFERROR(X45/SUM(E45:I45), 0)</f>
      </c>
      <c r="AD45" s="4">
        <f>IFERROR(X45/SUM(E45:I45), 0)</f>
      </c>
      <c r="AE45" s="4">
        <f>IFERROR(U45/I45, 0)</f>
      </c>
    </row>
    <row r="46" ht="20" customHeight="1" spans="1:31" x14ac:dyDescent="0.25">
      <c r="A46">
        <v>43</v>
      </c>
      <c r="B46" t="s">
        <v>45</v>
      </c>
      <c r="C46" t="s">
        <v>141</v>
      </c>
      <c r="D46" s="2" t="s">
        <v>45</v>
      </c>
      <c r="E46" s="3">
        <f>SUMIFS('Data nguồn'!J:J, 'Data nguồn'!D:D, $D46, 'Data nguồn'!F:F, $B$1, 'Data nguồn'!C:C, E$3)</f>
      </c>
      <c r="F46" s="3">
        <f>SUMIFS('Data nguồn'!J:J, 'Data nguồn'!D:D, $D46, 'Data nguồn'!F:F, $B$1, 'Data nguồn'!C:C, F$3)</f>
      </c>
      <c r="G46" s="3">
        <f>SUMIFS('Data nguồn'!J:J, 'Data nguồn'!D:D, $D46, 'Data nguồn'!F:F, $B$1, 'Data nguồn'!C:C, G$3)</f>
      </c>
      <c r="H46" s="3">
        <f>SUMIFS('Data nguồn'!J:J, 'Data nguồn'!D:D, $D46, 'Data nguồn'!F:F, $B$1, 'Data nguồn'!C:C, H$3)</f>
      </c>
      <c r="I46" s="3">
        <f>SUMIFS('Data nguồn'!J:J, 'Data nguồn'!D:D, $D46, 'Data nguồn'!F:F, $B$1, 'Data nguồn'!C:C, I$3)</f>
      </c>
      <c r="J46" s="3">
        <f>SUMIFS('Data nguồn'!J:J, 'Data nguồn'!D:D, $D46, 'Data nguồn'!F:F, $B$1, 'Data nguồn'!C:C, J$3)</f>
      </c>
      <c r="K46" s="3">
        <f>SUMIFS('Data nguồn'!J:J, 'Data nguồn'!D:D, $D46, 'Data nguồn'!F:F, $B$1, 'Data nguồn'!C:C, K$3)</f>
      </c>
      <c r="L46" s="3">
        <f>SUMIFS('Data nguồn'!J:J, 'Data nguồn'!D:D, $D46, 'Data nguồn'!F:F, $B$1, 'Data nguồn'!C:C, L$3)</f>
      </c>
      <c r="M46" s="3">
        <f>SUMIFS('Data nguồn'!J:J, 'Data nguồn'!D:D, $D46, 'Data nguồn'!F:F, $B$1, 'Data nguồn'!C:C, M$3)</f>
      </c>
      <c r="N46" s="3">
        <f>SUMIFS('Data nguồn'!J:J, 'Data nguồn'!D:D, $D46, 'Data nguồn'!F:F, $B$1, 'Data nguồn'!C:C, N$3)</f>
      </c>
      <c r="O46" s="3">
        <f>SUMIFS('Data nguồn'!J:J, 'Data nguồn'!D:D, $D46, 'Data nguồn'!F:F, $B$1, 'Data nguồn'!C:C, O$3)</f>
      </c>
      <c r="P46" s="3">
        <f>SUMIFS('Data nguồn'!J:J, 'Data nguồn'!D:D, $D46, 'Data nguồn'!F:F, $B$1, 'Data nguồn'!C:C, P$3)</f>
      </c>
      <c r="Q46" s="3">
        <f>SUMIFS('Data nguồn'!J:J, 'Data nguồn'!D:D, $D46, 'Data nguồn'!F:F, $B$1, 'Data nguồn'!C:C, Q$3)</f>
      </c>
      <c r="R46" s="3">
        <f>SUMIFS('Data nguồn'!J:J, 'Data nguồn'!D:D, $D46, 'Data nguồn'!F:F, $B$1, 'Data nguồn'!C:C, R$3)</f>
      </c>
      <c r="S46" s="3">
        <f>SUMIFS('Data nguồn'!J:J, 'Data nguồn'!D:D, $D46, 'Data nguồn'!F:F, $B$1, 'Data nguồn'!C:C, S$3)</f>
      </c>
      <c r="T46" s="3">
        <f>SUMIFS('Data nguồn'!J:J, 'Data nguồn'!D:D, $D46, 'Data nguồn'!F:F, $B$1, 'Data nguồn'!C:C, T$3)</f>
      </c>
      <c r="U46" s="3">
        <f>SUMIFS('Data nguồn'!J:J, 'Data nguồn'!D:D, $D46, 'Data nguồn'!F:F, $B$1, 'Data nguồn'!C:C, U$3)</f>
      </c>
      <c r="W46" s="3">
        <f>SUM(E46:P46)</f>
      </c>
      <c r="X46" s="3">
        <f>SUM(Q46:U46)</f>
      </c>
      <c r="Y46" s="3">
        <f>AVERAGE(S46:U46)</f>
      </c>
      <c r="Z46" s="3">
        <f>AVERAGE(P46:U46)</f>
      </c>
      <c r="AA46" s="3">
        <f>AVERAGE(M46:U46)</f>
      </c>
      <c r="AB46" s="4">
        <f>IFERROR((Y46*2)/(Z46+AA46), 0)</f>
      </c>
      <c r="AC46" s="4">
        <f>IFERROR(X46/SUM(E46:I46), 0)</f>
      </c>
      <c r="AD46" s="4">
        <f>IFERROR(X46/SUM(E46:I46), 0)</f>
      </c>
      <c r="AE46" s="4">
        <f>IFERROR(U46/I46, 0)</f>
      </c>
    </row>
    <row r="47" ht="20" customHeight="1" spans="1:31" x14ac:dyDescent="0.25">
      <c r="A47">
        <v>44</v>
      </c>
      <c r="B47" t="s">
        <v>46</v>
      </c>
      <c r="C47" t="s">
        <v>141</v>
      </c>
      <c r="D47" s="2" t="s">
        <v>46</v>
      </c>
      <c r="E47" s="3">
        <f>SUMIFS('Data nguồn'!J:J, 'Data nguồn'!D:D, $D47, 'Data nguồn'!F:F, $B$1, 'Data nguồn'!C:C, E$3)</f>
      </c>
      <c r="F47" s="3">
        <f>SUMIFS('Data nguồn'!J:J, 'Data nguồn'!D:D, $D47, 'Data nguồn'!F:F, $B$1, 'Data nguồn'!C:C, F$3)</f>
      </c>
      <c r="G47" s="3">
        <f>SUMIFS('Data nguồn'!J:J, 'Data nguồn'!D:D, $D47, 'Data nguồn'!F:F, $B$1, 'Data nguồn'!C:C, G$3)</f>
      </c>
      <c r="H47" s="3">
        <f>SUMIFS('Data nguồn'!J:J, 'Data nguồn'!D:D, $D47, 'Data nguồn'!F:F, $B$1, 'Data nguồn'!C:C, H$3)</f>
      </c>
      <c r="I47" s="3">
        <f>SUMIFS('Data nguồn'!J:J, 'Data nguồn'!D:D, $D47, 'Data nguồn'!F:F, $B$1, 'Data nguồn'!C:C, I$3)</f>
      </c>
      <c r="J47" s="3">
        <f>SUMIFS('Data nguồn'!J:J, 'Data nguồn'!D:D, $D47, 'Data nguồn'!F:F, $B$1, 'Data nguồn'!C:C, J$3)</f>
      </c>
      <c r="K47" s="3">
        <f>SUMIFS('Data nguồn'!J:J, 'Data nguồn'!D:D, $D47, 'Data nguồn'!F:F, $B$1, 'Data nguồn'!C:C, K$3)</f>
      </c>
      <c r="L47" s="3">
        <f>SUMIFS('Data nguồn'!J:J, 'Data nguồn'!D:D, $D47, 'Data nguồn'!F:F, $B$1, 'Data nguồn'!C:C, L$3)</f>
      </c>
      <c r="M47" s="3">
        <f>SUMIFS('Data nguồn'!J:J, 'Data nguồn'!D:D, $D47, 'Data nguồn'!F:F, $B$1, 'Data nguồn'!C:C, M$3)</f>
      </c>
      <c r="N47" s="3">
        <f>SUMIFS('Data nguồn'!J:J, 'Data nguồn'!D:D, $D47, 'Data nguồn'!F:F, $B$1, 'Data nguồn'!C:C, N$3)</f>
      </c>
      <c r="O47" s="3">
        <f>SUMIFS('Data nguồn'!J:J, 'Data nguồn'!D:D, $D47, 'Data nguồn'!F:F, $B$1, 'Data nguồn'!C:C, O$3)</f>
      </c>
      <c r="P47" s="3">
        <f>SUMIFS('Data nguồn'!J:J, 'Data nguồn'!D:D, $D47, 'Data nguồn'!F:F, $B$1, 'Data nguồn'!C:C, P$3)</f>
      </c>
      <c r="Q47" s="3">
        <f>SUMIFS('Data nguồn'!J:J, 'Data nguồn'!D:D, $D47, 'Data nguồn'!F:F, $B$1, 'Data nguồn'!C:C, Q$3)</f>
      </c>
      <c r="R47" s="3">
        <f>SUMIFS('Data nguồn'!J:J, 'Data nguồn'!D:D, $D47, 'Data nguồn'!F:F, $B$1, 'Data nguồn'!C:C, R$3)</f>
      </c>
      <c r="S47" s="3">
        <f>SUMIFS('Data nguồn'!J:J, 'Data nguồn'!D:D, $D47, 'Data nguồn'!F:F, $B$1, 'Data nguồn'!C:C, S$3)</f>
      </c>
      <c r="T47" s="3">
        <f>SUMIFS('Data nguồn'!J:J, 'Data nguồn'!D:D, $D47, 'Data nguồn'!F:F, $B$1, 'Data nguồn'!C:C, T$3)</f>
      </c>
      <c r="U47" s="3">
        <f>SUMIFS('Data nguồn'!J:J, 'Data nguồn'!D:D, $D47, 'Data nguồn'!F:F, $B$1, 'Data nguồn'!C:C, U$3)</f>
      </c>
      <c r="W47" s="3">
        <f>SUM(E47:P47)</f>
      </c>
      <c r="X47" s="3">
        <f>SUM(Q47:U47)</f>
      </c>
      <c r="Y47" s="3">
        <f>AVERAGE(S47:U47)</f>
      </c>
      <c r="Z47" s="3">
        <f>AVERAGE(P47:U47)</f>
      </c>
      <c r="AA47" s="3">
        <f>AVERAGE(M47:U47)</f>
      </c>
      <c r="AB47" s="4">
        <f>IFERROR((Y47*2)/(Z47+AA47), 0)</f>
      </c>
      <c r="AC47" s="4">
        <f>IFERROR(X47/SUM(E47:I47), 0)</f>
      </c>
      <c r="AD47" s="4">
        <f>IFERROR(X47/SUM(E47:I47), 0)</f>
      </c>
      <c r="AE47" s="4">
        <f>IFERROR(U47/I47, 0)</f>
      </c>
    </row>
    <row r="48" ht="20" customHeight="1" spans="1:31" x14ac:dyDescent="0.25">
      <c r="A48">
        <v>45</v>
      </c>
      <c r="B48" t="s">
        <v>47</v>
      </c>
      <c r="C48" t="s">
        <v>141</v>
      </c>
      <c r="D48" s="2" t="s">
        <v>47</v>
      </c>
      <c r="E48" s="3">
        <f>SUMIFS('Data nguồn'!J:J, 'Data nguồn'!D:D, $D48, 'Data nguồn'!F:F, $B$1, 'Data nguồn'!C:C, E$3)</f>
      </c>
      <c r="F48" s="3">
        <f>SUMIFS('Data nguồn'!J:J, 'Data nguồn'!D:D, $D48, 'Data nguồn'!F:F, $B$1, 'Data nguồn'!C:C, F$3)</f>
      </c>
      <c r="G48" s="3">
        <f>SUMIFS('Data nguồn'!J:J, 'Data nguồn'!D:D, $D48, 'Data nguồn'!F:F, $B$1, 'Data nguồn'!C:C, G$3)</f>
      </c>
      <c r="H48" s="3">
        <f>SUMIFS('Data nguồn'!J:J, 'Data nguồn'!D:D, $D48, 'Data nguồn'!F:F, $B$1, 'Data nguồn'!C:C, H$3)</f>
      </c>
      <c r="I48" s="3">
        <f>SUMIFS('Data nguồn'!J:J, 'Data nguồn'!D:D, $D48, 'Data nguồn'!F:F, $B$1, 'Data nguồn'!C:C, I$3)</f>
      </c>
      <c r="J48" s="3">
        <f>SUMIFS('Data nguồn'!J:J, 'Data nguồn'!D:D, $D48, 'Data nguồn'!F:F, $B$1, 'Data nguồn'!C:C, J$3)</f>
      </c>
      <c r="K48" s="3">
        <f>SUMIFS('Data nguồn'!J:J, 'Data nguồn'!D:D, $D48, 'Data nguồn'!F:F, $B$1, 'Data nguồn'!C:C, K$3)</f>
      </c>
      <c r="L48" s="3">
        <f>SUMIFS('Data nguồn'!J:J, 'Data nguồn'!D:D, $D48, 'Data nguồn'!F:F, $B$1, 'Data nguồn'!C:C, L$3)</f>
      </c>
      <c r="M48" s="3">
        <f>SUMIFS('Data nguồn'!J:J, 'Data nguồn'!D:D, $D48, 'Data nguồn'!F:F, $B$1, 'Data nguồn'!C:C, M$3)</f>
      </c>
      <c r="N48" s="3">
        <f>SUMIFS('Data nguồn'!J:J, 'Data nguồn'!D:D, $D48, 'Data nguồn'!F:F, $B$1, 'Data nguồn'!C:C, N$3)</f>
      </c>
      <c r="O48" s="3">
        <f>SUMIFS('Data nguồn'!J:J, 'Data nguồn'!D:D, $D48, 'Data nguồn'!F:F, $B$1, 'Data nguồn'!C:C, O$3)</f>
      </c>
      <c r="P48" s="3">
        <f>SUMIFS('Data nguồn'!J:J, 'Data nguồn'!D:D, $D48, 'Data nguồn'!F:F, $B$1, 'Data nguồn'!C:C, P$3)</f>
      </c>
      <c r="Q48" s="3">
        <f>SUMIFS('Data nguồn'!J:J, 'Data nguồn'!D:D, $D48, 'Data nguồn'!F:F, $B$1, 'Data nguồn'!C:C, Q$3)</f>
      </c>
      <c r="R48" s="3">
        <f>SUMIFS('Data nguồn'!J:J, 'Data nguồn'!D:D, $D48, 'Data nguồn'!F:F, $B$1, 'Data nguồn'!C:C, R$3)</f>
      </c>
      <c r="S48" s="3">
        <f>SUMIFS('Data nguồn'!J:J, 'Data nguồn'!D:D, $D48, 'Data nguồn'!F:F, $B$1, 'Data nguồn'!C:C, S$3)</f>
      </c>
      <c r="T48" s="3">
        <f>SUMIFS('Data nguồn'!J:J, 'Data nguồn'!D:D, $D48, 'Data nguồn'!F:F, $B$1, 'Data nguồn'!C:C, T$3)</f>
      </c>
      <c r="U48" s="3">
        <f>SUMIFS('Data nguồn'!J:J, 'Data nguồn'!D:D, $D48, 'Data nguồn'!F:F, $B$1, 'Data nguồn'!C:C, U$3)</f>
      </c>
      <c r="W48" s="3">
        <f>SUM(E48:P48)</f>
      </c>
      <c r="X48" s="3">
        <f>SUM(Q48:U48)</f>
      </c>
      <c r="Y48" s="3">
        <f>AVERAGE(S48:U48)</f>
      </c>
      <c r="Z48" s="3">
        <f>AVERAGE(P48:U48)</f>
      </c>
      <c r="AA48" s="3">
        <f>AVERAGE(M48:U48)</f>
      </c>
      <c r="AB48" s="4">
        <f>IFERROR((Y48*2)/(Z48+AA48), 0)</f>
      </c>
      <c r="AC48" s="4">
        <f>IFERROR(X48/SUM(E48:I48), 0)</f>
      </c>
      <c r="AD48" s="4">
        <f>IFERROR(X48/SUM(E48:I48), 0)</f>
      </c>
      <c r="AE48" s="4">
        <f>IFERROR(U48/I48, 0)</f>
      </c>
    </row>
    <row r="49" ht="20" customHeight="1" spans="1:31" x14ac:dyDescent="0.25">
      <c r="A49">
        <v>46</v>
      </c>
      <c r="B49" t="s">
        <v>48</v>
      </c>
      <c r="C49" t="s">
        <v>141</v>
      </c>
      <c r="D49" s="2" t="s">
        <v>48</v>
      </c>
      <c r="E49" s="3">
        <f>SUMIFS('Data nguồn'!J:J, 'Data nguồn'!D:D, $D49, 'Data nguồn'!F:F, $B$1, 'Data nguồn'!C:C, E$3)</f>
      </c>
      <c r="F49" s="3">
        <f>SUMIFS('Data nguồn'!J:J, 'Data nguồn'!D:D, $D49, 'Data nguồn'!F:F, $B$1, 'Data nguồn'!C:C, F$3)</f>
      </c>
      <c r="G49" s="3">
        <f>SUMIFS('Data nguồn'!J:J, 'Data nguồn'!D:D, $D49, 'Data nguồn'!F:F, $B$1, 'Data nguồn'!C:C, G$3)</f>
      </c>
      <c r="H49" s="3">
        <f>SUMIFS('Data nguồn'!J:J, 'Data nguồn'!D:D, $D49, 'Data nguồn'!F:F, $B$1, 'Data nguồn'!C:C, H$3)</f>
      </c>
      <c r="I49" s="3">
        <f>SUMIFS('Data nguồn'!J:J, 'Data nguồn'!D:D, $D49, 'Data nguồn'!F:F, $B$1, 'Data nguồn'!C:C, I$3)</f>
      </c>
      <c r="J49" s="3">
        <f>SUMIFS('Data nguồn'!J:J, 'Data nguồn'!D:D, $D49, 'Data nguồn'!F:F, $B$1, 'Data nguồn'!C:C, J$3)</f>
      </c>
      <c r="K49" s="3">
        <f>SUMIFS('Data nguồn'!J:J, 'Data nguồn'!D:D, $D49, 'Data nguồn'!F:F, $B$1, 'Data nguồn'!C:C, K$3)</f>
      </c>
      <c r="L49" s="3">
        <f>SUMIFS('Data nguồn'!J:J, 'Data nguồn'!D:D, $D49, 'Data nguồn'!F:F, $B$1, 'Data nguồn'!C:C, L$3)</f>
      </c>
      <c r="M49" s="3">
        <f>SUMIFS('Data nguồn'!J:J, 'Data nguồn'!D:D, $D49, 'Data nguồn'!F:F, $B$1, 'Data nguồn'!C:C, M$3)</f>
      </c>
      <c r="N49" s="3">
        <f>SUMIFS('Data nguồn'!J:J, 'Data nguồn'!D:D, $D49, 'Data nguồn'!F:F, $B$1, 'Data nguồn'!C:C, N$3)</f>
      </c>
      <c r="O49" s="3">
        <f>SUMIFS('Data nguồn'!J:J, 'Data nguồn'!D:D, $D49, 'Data nguồn'!F:F, $B$1, 'Data nguồn'!C:C, O$3)</f>
      </c>
      <c r="P49" s="3">
        <f>SUMIFS('Data nguồn'!J:J, 'Data nguồn'!D:D, $D49, 'Data nguồn'!F:F, $B$1, 'Data nguồn'!C:C, P$3)</f>
      </c>
      <c r="Q49" s="3">
        <f>SUMIFS('Data nguồn'!J:J, 'Data nguồn'!D:D, $D49, 'Data nguồn'!F:F, $B$1, 'Data nguồn'!C:C, Q$3)</f>
      </c>
      <c r="R49" s="3">
        <f>SUMIFS('Data nguồn'!J:J, 'Data nguồn'!D:D, $D49, 'Data nguồn'!F:F, $B$1, 'Data nguồn'!C:C, R$3)</f>
      </c>
      <c r="S49" s="3">
        <f>SUMIFS('Data nguồn'!J:J, 'Data nguồn'!D:D, $D49, 'Data nguồn'!F:F, $B$1, 'Data nguồn'!C:C, S$3)</f>
      </c>
      <c r="T49" s="3">
        <f>SUMIFS('Data nguồn'!J:J, 'Data nguồn'!D:D, $D49, 'Data nguồn'!F:F, $B$1, 'Data nguồn'!C:C, T$3)</f>
      </c>
      <c r="U49" s="3">
        <f>SUMIFS('Data nguồn'!J:J, 'Data nguồn'!D:D, $D49, 'Data nguồn'!F:F, $B$1, 'Data nguồn'!C:C, U$3)</f>
      </c>
      <c r="W49" s="3">
        <f>SUM(E49:P49)</f>
      </c>
      <c r="X49" s="3">
        <f>SUM(Q49:U49)</f>
      </c>
      <c r="Y49" s="3">
        <f>AVERAGE(S49:U49)</f>
      </c>
      <c r="Z49" s="3">
        <f>AVERAGE(P49:U49)</f>
      </c>
      <c r="AA49" s="3">
        <f>AVERAGE(M49:U49)</f>
      </c>
      <c r="AB49" s="4">
        <f>IFERROR((Y49*2)/(Z49+AA49), 0)</f>
      </c>
      <c r="AC49" s="4">
        <f>IFERROR(X49/SUM(E49:I49), 0)</f>
      </c>
      <c r="AD49" s="4">
        <f>IFERROR(X49/SUM(E49:I49), 0)</f>
      </c>
      <c r="AE49" s="4">
        <f>IFERROR(U49/I49, 0)</f>
      </c>
    </row>
    <row r="50" ht="20" customHeight="1" spans="1:31" x14ac:dyDescent="0.25">
      <c r="A50">
        <v>47</v>
      </c>
      <c r="B50" t="s">
        <v>49</v>
      </c>
      <c r="C50" t="s">
        <v>141</v>
      </c>
      <c r="D50" s="2" t="s">
        <v>49</v>
      </c>
      <c r="E50" s="3">
        <f>SUMIFS('Data nguồn'!J:J, 'Data nguồn'!D:D, $D50, 'Data nguồn'!F:F, $B$1, 'Data nguồn'!C:C, E$3)</f>
      </c>
      <c r="F50" s="3">
        <f>SUMIFS('Data nguồn'!J:J, 'Data nguồn'!D:D, $D50, 'Data nguồn'!F:F, $B$1, 'Data nguồn'!C:C, F$3)</f>
      </c>
      <c r="G50" s="3">
        <f>SUMIFS('Data nguồn'!J:J, 'Data nguồn'!D:D, $D50, 'Data nguồn'!F:F, $B$1, 'Data nguồn'!C:C, G$3)</f>
      </c>
      <c r="H50" s="3">
        <f>SUMIFS('Data nguồn'!J:J, 'Data nguồn'!D:D, $D50, 'Data nguồn'!F:F, $B$1, 'Data nguồn'!C:C, H$3)</f>
      </c>
      <c r="I50" s="3">
        <f>SUMIFS('Data nguồn'!J:J, 'Data nguồn'!D:D, $D50, 'Data nguồn'!F:F, $B$1, 'Data nguồn'!C:C, I$3)</f>
      </c>
      <c r="J50" s="3">
        <f>SUMIFS('Data nguồn'!J:J, 'Data nguồn'!D:D, $D50, 'Data nguồn'!F:F, $B$1, 'Data nguồn'!C:C, J$3)</f>
      </c>
      <c r="K50" s="3">
        <f>SUMIFS('Data nguồn'!J:J, 'Data nguồn'!D:D, $D50, 'Data nguồn'!F:F, $B$1, 'Data nguồn'!C:C, K$3)</f>
      </c>
      <c r="L50" s="3">
        <f>SUMIFS('Data nguồn'!J:J, 'Data nguồn'!D:D, $D50, 'Data nguồn'!F:F, $B$1, 'Data nguồn'!C:C, L$3)</f>
      </c>
      <c r="M50" s="3">
        <f>SUMIFS('Data nguồn'!J:J, 'Data nguồn'!D:D, $D50, 'Data nguồn'!F:F, $B$1, 'Data nguồn'!C:C, M$3)</f>
      </c>
      <c r="N50" s="3">
        <f>SUMIFS('Data nguồn'!J:J, 'Data nguồn'!D:D, $D50, 'Data nguồn'!F:F, $B$1, 'Data nguồn'!C:C, N$3)</f>
      </c>
      <c r="O50" s="3">
        <f>SUMIFS('Data nguồn'!J:J, 'Data nguồn'!D:D, $D50, 'Data nguồn'!F:F, $B$1, 'Data nguồn'!C:C, O$3)</f>
      </c>
      <c r="P50" s="3">
        <f>SUMIFS('Data nguồn'!J:J, 'Data nguồn'!D:D, $D50, 'Data nguồn'!F:F, $B$1, 'Data nguồn'!C:C, P$3)</f>
      </c>
      <c r="Q50" s="3">
        <f>SUMIFS('Data nguồn'!J:J, 'Data nguồn'!D:D, $D50, 'Data nguồn'!F:F, $B$1, 'Data nguồn'!C:C, Q$3)</f>
      </c>
      <c r="R50" s="3">
        <f>SUMIFS('Data nguồn'!J:J, 'Data nguồn'!D:D, $D50, 'Data nguồn'!F:F, $B$1, 'Data nguồn'!C:C, R$3)</f>
      </c>
      <c r="S50" s="3">
        <f>SUMIFS('Data nguồn'!J:J, 'Data nguồn'!D:D, $D50, 'Data nguồn'!F:F, $B$1, 'Data nguồn'!C:C, S$3)</f>
      </c>
      <c r="T50" s="3">
        <f>SUMIFS('Data nguồn'!J:J, 'Data nguồn'!D:D, $D50, 'Data nguồn'!F:F, $B$1, 'Data nguồn'!C:C, T$3)</f>
      </c>
      <c r="U50" s="3">
        <f>SUMIFS('Data nguồn'!J:J, 'Data nguồn'!D:D, $D50, 'Data nguồn'!F:F, $B$1, 'Data nguồn'!C:C, U$3)</f>
      </c>
      <c r="W50" s="3">
        <f>SUM(E50:P50)</f>
      </c>
      <c r="X50" s="3">
        <f>SUM(Q50:U50)</f>
      </c>
      <c r="Y50" s="3">
        <f>AVERAGE(S50:U50)</f>
      </c>
      <c r="Z50" s="3">
        <f>AVERAGE(P50:U50)</f>
      </c>
      <c r="AA50" s="3">
        <f>AVERAGE(M50:U50)</f>
      </c>
      <c r="AB50" s="4">
        <f>IFERROR((Y50*2)/(Z50+AA50), 0)</f>
      </c>
      <c r="AC50" s="4">
        <f>IFERROR(X50/SUM(E50:I50), 0)</f>
      </c>
      <c r="AD50" s="4">
        <f>IFERROR(X50/SUM(E50:I50), 0)</f>
      </c>
      <c r="AE50" s="4">
        <f>IFERROR(U50/I50, 0)</f>
      </c>
    </row>
    <row r="51" ht="20" customHeight="1" spans="1:31" x14ac:dyDescent="0.25">
      <c r="A51">
        <v>48</v>
      </c>
      <c r="B51" t="s">
        <v>50</v>
      </c>
      <c r="C51" t="s">
        <v>141</v>
      </c>
      <c r="D51" s="2" t="s">
        <v>50</v>
      </c>
      <c r="E51" s="3">
        <f>SUMIFS('Data nguồn'!J:J, 'Data nguồn'!D:D, $D51, 'Data nguồn'!F:F, $B$1, 'Data nguồn'!C:C, E$3)</f>
      </c>
      <c r="F51" s="3">
        <f>SUMIFS('Data nguồn'!J:J, 'Data nguồn'!D:D, $D51, 'Data nguồn'!F:F, $B$1, 'Data nguồn'!C:C, F$3)</f>
      </c>
      <c r="G51" s="3">
        <f>SUMIFS('Data nguồn'!J:J, 'Data nguồn'!D:D, $D51, 'Data nguồn'!F:F, $B$1, 'Data nguồn'!C:C, G$3)</f>
      </c>
      <c r="H51" s="3">
        <f>SUMIFS('Data nguồn'!J:J, 'Data nguồn'!D:D, $D51, 'Data nguồn'!F:F, $B$1, 'Data nguồn'!C:C, H$3)</f>
      </c>
      <c r="I51" s="3">
        <f>SUMIFS('Data nguồn'!J:J, 'Data nguồn'!D:D, $D51, 'Data nguồn'!F:F, $B$1, 'Data nguồn'!C:C, I$3)</f>
      </c>
      <c r="J51" s="3">
        <f>SUMIFS('Data nguồn'!J:J, 'Data nguồn'!D:D, $D51, 'Data nguồn'!F:F, $B$1, 'Data nguồn'!C:C, J$3)</f>
      </c>
      <c r="K51" s="3">
        <f>SUMIFS('Data nguồn'!J:J, 'Data nguồn'!D:D, $D51, 'Data nguồn'!F:F, $B$1, 'Data nguồn'!C:C, K$3)</f>
      </c>
      <c r="L51" s="3">
        <f>SUMIFS('Data nguồn'!J:J, 'Data nguồn'!D:D, $D51, 'Data nguồn'!F:F, $B$1, 'Data nguồn'!C:C, L$3)</f>
      </c>
      <c r="M51" s="3">
        <f>SUMIFS('Data nguồn'!J:J, 'Data nguồn'!D:D, $D51, 'Data nguồn'!F:F, $B$1, 'Data nguồn'!C:C, M$3)</f>
      </c>
      <c r="N51" s="3">
        <f>SUMIFS('Data nguồn'!J:J, 'Data nguồn'!D:D, $D51, 'Data nguồn'!F:F, $B$1, 'Data nguồn'!C:C, N$3)</f>
      </c>
      <c r="O51" s="3">
        <f>SUMIFS('Data nguồn'!J:J, 'Data nguồn'!D:D, $D51, 'Data nguồn'!F:F, $B$1, 'Data nguồn'!C:C, O$3)</f>
      </c>
      <c r="P51" s="3">
        <f>SUMIFS('Data nguồn'!J:J, 'Data nguồn'!D:D, $D51, 'Data nguồn'!F:F, $B$1, 'Data nguồn'!C:C, P$3)</f>
      </c>
      <c r="Q51" s="3">
        <f>SUMIFS('Data nguồn'!J:J, 'Data nguồn'!D:D, $D51, 'Data nguồn'!F:F, $B$1, 'Data nguồn'!C:C, Q$3)</f>
      </c>
      <c r="R51" s="3">
        <f>SUMIFS('Data nguồn'!J:J, 'Data nguồn'!D:D, $D51, 'Data nguồn'!F:F, $B$1, 'Data nguồn'!C:C, R$3)</f>
      </c>
      <c r="S51" s="3">
        <f>SUMIFS('Data nguồn'!J:J, 'Data nguồn'!D:D, $D51, 'Data nguồn'!F:F, $B$1, 'Data nguồn'!C:C, S$3)</f>
      </c>
      <c r="T51" s="3">
        <f>SUMIFS('Data nguồn'!J:J, 'Data nguồn'!D:D, $D51, 'Data nguồn'!F:F, $B$1, 'Data nguồn'!C:C, T$3)</f>
      </c>
      <c r="U51" s="3">
        <f>SUMIFS('Data nguồn'!J:J, 'Data nguồn'!D:D, $D51, 'Data nguồn'!F:F, $B$1, 'Data nguồn'!C:C, U$3)</f>
      </c>
      <c r="W51" s="3">
        <f>SUM(E51:P51)</f>
      </c>
      <c r="X51" s="3">
        <f>SUM(Q51:U51)</f>
      </c>
      <c r="Y51" s="3">
        <f>AVERAGE(S51:U51)</f>
      </c>
      <c r="Z51" s="3">
        <f>AVERAGE(P51:U51)</f>
      </c>
      <c r="AA51" s="3">
        <f>AVERAGE(M51:U51)</f>
      </c>
      <c r="AB51" s="4">
        <f>IFERROR((Y51*2)/(Z51+AA51), 0)</f>
      </c>
      <c r="AC51" s="4">
        <f>IFERROR(X51/SUM(E51:I51), 0)</f>
      </c>
      <c r="AD51" s="4">
        <f>IFERROR(X51/SUM(E51:I51), 0)</f>
      </c>
      <c r="AE51" s="4">
        <f>IFERROR(U51/I51, 0)</f>
      </c>
    </row>
    <row r="52" ht="20" customHeight="1" spans="1:31" x14ac:dyDescent="0.25">
      <c r="A52">
        <v>49</v>
      </c>
      <c r="B52" t="s">
        <v>51</v>
      </c>
      <c r="C52" t="s">
        <v>141</v>
      </c>
      <c r="D52" s="2" t="s">
        <v>51</v>
      </c>
      <c r="E52" s="3">
        <f>SUMIFS('Data nguồn'!J:J, 'Data nguồn'!D:D, $D52, 'Data nguồn'!F:F, $B$1, 'Data nguồn'!C:C, E$3)</f>
      </c>
      <c r="F52" s="3">
        <f>SUMIFS('Data nguồn'!J:J, 'Data nguồn'!D:D, $D52, 'Data nguồn'!F:F, $B$1, 'Data nguồn'!C:C, F$3)</f>
      </c>
      <c r="G52" s="3">
        <f>SUMIFS('Data nguồn'!J:J, 'Data nguồn'!D:D, $D52, 'Data nguồn'!F:F, $B$1, 'Data nguồn'!C:C, G$3)</f>
      </c>
      <c r="H52" s="3">
        <f>SUMIFS('Data nguồn'!J:J, 'Data nguồn'!D:D, $D52, 'Data nguồn'!F:F, $B$1, 'Data nguồn'!C:C, H$3)</f>
      </c>
      <c r="I52" s="3">
        <f>SUMIFS('Data nguồn'!J:J, 'Data nguồn'!D:D, $D52, 'Data nguồn'!F:F, $B$1, 'Data nguồn'!C:C, I$3)</f>
      </c>
      <c r="J52" s="3">
        <f>SUMIFS('Data nguồn'!J:J, 'Data nguồn'!D:D, $D52, 'Data nguồn'!F:F, $B$1, 'Data nguồn'!C:C, J$3)</f>
      </c>
      <c r="K52" s="3">
        <f>SUMIFS('Data nguồn'!J:J, 'Data nguồn'!D:D, $D52, 'Data nguồn'!F:F, $B$1, 'Data nguồn'!C:C, K$3)</f>
      </c>
      <c r="L52" s="3">
        <f>SUMIFS('Data nguồn'!J:J, 'Data nguồn'!D:D, $D52, 'Data nguồn'!F:F, $B$1, 'Data nguồn'!C:C, L$3)</f>
      </c>
      <c r="M52" s="3">
        <f>SUMIFS('Data nguồn'!J:J, 'Data nguồn'!D:D, $D52, 'Data nguồn'!F:F, $B$1, 'Data nguồn'!C:C, M$3)</f>
      </c>
      <c r="N52" s="3">
        <f>SUMIFS('Data nguồn'!J:J, 'Data nguồn'!D:D, $D52, 'Data nguồn'!F:F, $B$1, 'Data nguồn'!C:C, N$3)</f>
      </c>
      <c r="O52" s="3">
        <f>SUMIFS('Data nguồn'!J:J, 'Data nguồn'!D:D, $D52, 'Data nguồn'!F:F, $B$1, 'Data nguồn'!C:C, O$3)</f>
      </c>
      <c r="P52" s="3">
        <f>SUMIFS('Data nguồn'!J:J, 'Data nguồn'!D:D, $D52, 'Data nguồn'!F:F, $B$1, 'Data nguồn'!C:C, P$3)</f>
      </c>
      <c r="Q52" s="3">
        <f>SUMIFS('Data nguồn'!J:J, 'Data nguồn'!D:D, $D52, 'Data nguồn'!F:F, $B$1, 'Data nguồn'!C:C, Q$3)</f>
      </c>
      <c r="R52" s="3">
        <f>SUMIFS('Data nguồn'!J:J, 'Data nguồn'!D:D, $D52, 'Data nguồn'!F:F, $B$1, 'Data nguồn'!C:C, R$3)</f>
      </c>
      <c r="S52" s="3">
        <f>SUMIFS('Data nguồn'!J:J, 'Data nguồn'!D:D, $D52, 'Data nguồn'!F:F, $B$1, 'Data nguồn'!C:C, S$3)</f>
      </c>
      <c r="T52" s="3">
        <f>SUMIFS('Data nguồn'!J:J, 'Data nguồn'!D:D, $D52, 'Data nguồn'!F:F, $B$1, 'Data nguồn'!C:C, T$3)</f>
      </c>
      <c r="U52" s="3">
        <f>SUMIFS('Data nguồn'!J:J, 'Data nguồn'!D:D, $D52, 'Data nguồn'!F:F, $B$1, 'Data nguồn'!C:C, U$3)</f>
      </c>
      <c r="W52" s="3">
        <f>SUM(E52:P52)</f>
      </c>
      <c r="X52" s="3">
        <f>SUM(Q52:U52)</f>
      </c>
      <c r="Y52" s="3">
        <f>AVERAGE(S52:U52)</f>
      </c>
      <c r="Z52" s="3">
        <f>AVERAGE(P52:U52)</f>
      </c>
      <c r="AA52" s="3">
        <f>AVERAGE(M52:U52)</f>
      </c>
      <c r="AB52" s="4">
        <f>IFERROR((Y52*2)/(Z52+AA52), 0)</f>
      </c>
      <c r="AC52" s="4">
        <f>IFERROR(X52/SUM(E52:I52), 0)</f>
      </c>
      <c r="AD52" s="4">
        <f>IFERROR(X52/SUM(E52:I52), 0)</f>
      </c>
      <c r="AE52" s="4">
        <f>IFERROR(U52/I52, 0)</f>
      </c>
    </row>
    <row r="53" ht="20" customHeight="1" spans="1:31" x14ac:dyDescent="0.25">
      <c r="A53">
        <v>50</v>
      </c>
      <c r="B53" t="s">
        <v>52</v>
      </c>
      <c r="C53" t="s">
        <v>141</v>
      </c>
      <c r="D53" s="2" t="s">
        <v>52</v>
      </c>
      <c r="E53" s="3">
        <f>SUMIFS('Data nguồn'!J:J, 'Data nguồn'!D:D, $D53, 'Data nguồn'!F:F, $B$1, 'Data nguồn'!C:C, E$3)</f>
      </c>
      <c r="F53" s="3">
        <f>SUMIFS('Data nguồn'!J:J, 'Data nguồn'!D:D, $D53, 'Data nguồn'!F:F, $B$1, 'Data nguồn'!C:C, F$3)</f>
      </c>
      <c r="G53" s="3">
        <f>SUMIFS('Data nguồn'!J:J, 'Data nguồn'!D:D, $D53, 'Data nguồn'!F:F, $B$1, 'Data nguồn'!C:C, G$3)</f>
      </c>
      <c r="H53" s="3">
        <f>SUMIFS('Data nguồn'!J:J, 'Data nguồn'!D:D, $D53, 'Data nguồn'!F:F, $B$1, 'Data nguồn'!C:C, H$3)</f>
      </c>
      <c r="I53" s="3">
        <f>SUMIFS('Data nguồn'!J:J, 'Data nguồn'!D:D, $D53, 'Data nguồn'!F:F, $B$1, 'Data nguồn'!C:C, I$3)</f>
      </c>
      <c r="J53" s="3">
        <f>SUMIFS('Data nguồn'!J:J, 'Data nguồn'!D:D, $D53, 'Data nguồn'!F:F, $B$1, 'Data nguồn'!C:C, J$3)</f>
      </c>
      <c r="K53" s="3">
        <f>SUMIFS('Data nguồn'!J:J, 'Data nguồn'!D:D, $D53, 'Data nguồn'!F:F, $B$1, 'Data nguồn'!C:C, K$3)</f>
      </c>
      <c r="L53" s="3">
        <f>SUMIFS('Data nguồn'!J:J, 'Data nguồn'!D:D, $D53, 'Data nguồn'!F:F, $B$1, 'Data nguồn'!C:C, L$3)</f>
      </c>
      <c r="M53" s="3">
        <f>SUMIFS('Data nguồn'!J:J, 'Data nguồn'!D:D, $D53, 'Data nguồn'!F:F, $B$1, 'Data nguồn'!C:C, M$3)</f>
      </c>
      <c r="N53" s="3">
        <f>SUMIFS('Data nguồn'!J:J, 'Data nguồn'!D:D, $D53, 'Data nguồn'!F:F, $B$1, 'Data nguồn'!C:C, N$3)</f>
      </c>
      <c r="O53" s="3">
        <f>SUMIFS('Data nguồn'!J:J, 'Data nguồn'!D:D, $D53, 'Data nguồn'!F:F, $B$1, 'Data nguồn'!C:C, O$3)</f>
      </c>
      <c r="P53" s="3">
        <f>SUMIFS('Data nguồn'!J:J, 'Data nguồn'!D:D, $D53, 'Data nguồn'!F:F, $B$1, 'Data nguồn'!C:C, P$3)</f>
      </c>
      <c r="Q53" s="3">
        <f>SUMIFS('Data nguồn'!J:J, 'Data nguồn'!D:D, $D53, 'Data nguồn'!F:F, $B$1, 'Data nguồn'!C:C, Q$3)</f>
      </c>
      <c r="R53" s="3">
        <f>SUMIFS('Data nguồn'!J:J, 'Data nguồn'!D:D, $D53, 'Data nguồn'!F:F, $B$1, 'Data nguồn'!C:C, R$3)</f>
      </c>
      <c r="S53" s="3">
        <f>SUMIFS('Data nguồn'!J:J, 'Data nguồn'!D:D, $D53, 'Data nguồn'!F:F, $B$1, 'Data nguồn'!C:C, S$3)</f>
      </c>
      <c r="T53" s="3">
        <f>SUMIFS('Data nguồn'!J:J, 'Data nguồn'!D:D, $D53, 'Data nguồn'!F:F, $B$1, 'Data nguồn'!C:C, T$3)</f>
      </c>
      <c r="U53" s="3">
        <f>SUMIFS('Data nguồn'!J:J, 'Data nguồn'!D:D, $D53, 'Data nguồn'!F:F, $B$1, 'Data nguồn'!C:C, U$3)</f>
      </c>
      <c r="W53" s="3">
        <f>SUM(E53:P53)</f>
      </c>
      <c r="X53" s="3">
        <f>SUM(Q53:U53)</f>
      </c>
      <c r="Y53" s="3">
        <f>AVERAGE(S53:U53)</f>
      </c>
      <c r="Z53" s="3">
        <f>AVERAGE(P53:U53)</f>
      </c>
      <c r="AA53" s="3">
        <f>AVERAGE(M53:U53)</f>
      </c>
      <c r="AB53" s="4">
        <f>IFERROR((Y53*2)/(Z53+AA53), 0)</f>
      </c>
      <c r="AC53" s="4">
        <f>IFERROR(X53/SUM(E53:I53), 0)</f>
      </c>
      <c r="AD53" s="4">
        <f>IFERROR(X53/SUM(E53:I53), 0)</f>
      </c>
      <c r="AE53" s="4">
        <f>IFERROR(U53/I53, 0)</f>
      </c>
    </row>
    <row r="54" ht="20" customHeight="1" spans="1:31" x14ac:dyDescent="0.25">
      <c r="A54">
        <v>51</v>
      </c>
      <c r="B54" t="s">
        <v>53</v>
      </c>
      <c r="C54" t="s">
        <v>141</v>
      </c>
      <c r="D54" s="2" t="s">
        <v>53</v>
      </c>
      <c r="E54" s="3">
        <f>SUMIFS('Data nguồn'!J:J, 'Data nguồn'!D:D, $D54, 'Data nguồn'!F:F, $B$1, 'Data nguồn'!C:C, E$3)</f>
      </c>
      <c r="F54" s="3">
        <f>SUMIFS('Data nguồn'!J:J, 'Data nguồn'!D:D, $D54, 'Data nguồn'!F:F, $B$1, 'Data nguồn'!C:C, F$3)</f>
      </c>
      <c r="G54" s="3">
        <f>SUMIFS('Data nguồn'!J:J, 'Data nguồn'!D:D, $D54, 'Data nguồn'!F:F, $B$1, 'Data nguồn'!C:C, G$3)</f>
      </c>
      <c r="H54" s="3">
        <f>SUMIFS('Data nguồn'!J:J, 'Data nguồn'!D:D, $D54, 'Data nguồn'!F:F, $B$1, 'Data nguồn'!C:C, H$3)</f>
      </c>
      <c r="I54" s="3">
        <f>SUMIFS('Data nguồn'!J:J, 'Data nguồn'!D:D, $D54, 'Data nguồn'!F:F, $B$1, 'Data nguồn'!C:C, I$3)</f>
      </c>
      <c r="J54" s="3">
        <f>SUMIFS('Data nguồn'!J:J, 'Data nguồn'!D:D, $D54, 'Data nguồn'!F:F, $B$1, 'Data nguồn'!C:C, J$3)</f>
      </c>
      <c r="K54" s="3">
        <f>SUMIFS('Data nguồn'!J:J, 'Data nguồn'!D:D, $D54, 'Data nguồn'!F:F, $B$1, 'Data nguồn'!C:C, K$3)</f>
      </c>
      <c r="L54" s="3">
        <f>SUMIFS('Data nguồn'!J:J, 'Data nguồn'!D:D, $D54, 'Data nguồn'!F:F, $B$1, 'Data nguồn'!C:C, L$3)</f>
      </c>
      <c r="M54" s="3">
        <f>SUMIFS('Data nguồn'!J:J, 'Data nguồn'!D:D, $D54, 'Data nguồn'!F:F, $B$1, 'Data nguồn'!C:C, M$3)</f>
      </c>
      <c r="N54" s="3">
        <f>SUMIFS('Data nguồn'!J:J, 'Data nguồn'!D:D, $D54, 'Data nguồn'!F:F, $B$1, 'Data nguồn'!C:C, N$3)</f>
      </c>
      <c r="O54" s="3">
        <f>SUMIFS('Data nguồn'!J:J, 'Data nguồn'!D:D, $D54, 'Data nguồn'!F:F, $B$1, 'Data nguồn'!C:C, O$3)</f>
      </c>
      <c r="P54" s="3">
        <f>SUMIFS('Data nguồn'!J:J, 'Data nguồn'!D:D, $D54, 'Data nguồn'!F:F, $B$1, 'Data nguồn'!C:C, P$3)</f>
      </c>
      <c r="Q54" s="3">
        <f>SUMIFS('Data nguồn'!J:J, 'Data nguồn'!D:D, $D54, 'Data nguồn'!F:F, $B$1, 'Data nguồn'!C:C, Q$3)</f>
      </c>
      <c r="R54" s="3">
        <f>SUMIFS('Data nguồn'!J:J, 'Data nguồn'!D:D, $D54, 'Data nguồn'!F:F, $B$1, 'Data nguồn'!C:C, R$3)</f>
      </c>
      <c r="S54" s="3">
        <f>SUMIFS('Data nguồn'!J:J, 'Data nguồn'!D:D, $D54, 'Data nguồn'!F:F, $B$1, 'Data nguồn'!C:C, S$3)</f>
      </c>
      <c r="T54" s="3">
        <f>SUMIFS('Data nguồn'!J:J, 'Data nguồn'!D:D, $D54, 'Data nguồn'!F:F, $B$1, 'Data nguồn'!C:C, T$3)</f>
      </c>
      <c r="U54" s="3">
        <f>SUMIFS('Data nguồn'!J:J, 'Data nguồn'!D:D, $D54, 'Data nguồn'!F:F, $B$1, 'Data nguồn'!C:C, U$3)</f>
      </c>
      <c r="W54" s="3">
        <f>SUM(E54:P54)</f>
      </c>
      <c r="X54" s="3">
        <f>SUM(Q54:U54)</f>
      </c>
      <c r="Y54" s="3">
        <f>AVERAGE(S54:U54)</f>
      </c>
      <c r="Z54" s="3">
        <f>AVERAGE(P54:U54)</f>
      </c>
      <c r="AA54" s="3">
        <f>AVERAGE(M54:U54)</f>
      </c>
      <c r="AB54" s="4">
        <f>IFERROR((Y54*2)/(Z54+AA54), 0)</f>
      </c>
      <c r="AC54" s="4">
        <f>IFERROR(X54/SUM(E54:I54), 0)</f>
      </c>
      <c r="AD54" s="4">
        <f>IFERROR(X54/SUM(E54:I54), 0)</f>
      </c>
      <c r="AE54" s="4">
        <f>IFERROR(U54/I54, 0)</f>
      </c>
    </row>
    <row r="55" ht="20" customHeight="1" spans="1:31" x14ac:dyDescent="0.25">
      <c r="A55">
        <v>52</v>
      </c>
      <c r="B55" t="s">
        <v>54</v>
      </c>
      <c r="C55" t="s">
        <v>141</v>
      </c>
      <c r="D55" s="2" t="s">
        <v>54</v>
      </c>
      <c r="E55" s="3">
        <f>SUMIFS('Data nguồn'!J:J, 'Data nguồn'!D:D, $D55, 'Data nguồn'!F:F, $B$1, 'Data nguồn'!C:C, E$3)</f>
      </c>
      <c r="F55" s="3">
        <f>SUMIFS('Data nguồn'!J:J, 'Data nguồn'!D:D, $D55, 'Data nguồn'!F:F, $B$1, 'Data nguồn'!C:C, F$3)</f>
      </c>
      <c r="G55" s="3">
        <f>SUMIFS('Data nguồn'!J:J, 'Data nguồn'!D:D, $D55, 'Data nguồn'!F:F, $B$1, 'Data nguồn'!C:C, G$3)</f>
      </c>
      <c r="H55" s="3">
        <f>SUMIFS('Data nguồn'!J:J, 'Data nguồn'!D:D, $D55, 'Data nguồn'!F:F, $B$1, 'Data nguồn'!C:C, H$3)</f>
      </c>
      <c r="I55" s="3">
        <f>SUMIFS('Data nguồn'!J:J, 'Data nguồn'!D:D, $D55, 'Data nguồn'!F:F, $B$1, 'Data nguồn'!C:C, I$3)</f>
      </c>
      <c r="J55" s="3">
        <f>SUMIFS('Data nguồn'!J:J, 'Data nguồn'!D:D, $D55, 'Data nguồn'!F:F, $B$1, 'Data nguồn'!C:C, J$3)</f>
      </c>
      <c r="K55" s="3">
        <f>SUMIFS('Data nguồn'!J:J, 'Data nguồn'!D:D, $D55, 'Data nguồn'!F:F, $B$1, 'Data nguồn'!C:C, K$3)</f>
      </c>
      <c r="L55" s="3">
        <f>SUMIFS('Data nguồn'!J:J, 'Data nguồn'!D:D, $D55, 'Data nguồn'!F:F, $B$1, 'Data nguồn'!C:C, L$3)</f>
      </c>
      <c r="M55" s="3">
        <f>SUMIFS('Data nguồn'!J:J, 'Data nguồn'!D:D, $D55, 'Data nguồn'!F:F, $B$1, 'Data nguồn'!C:C, M$3)</f>
      </c>
      <c r="N55" s="3">
        <f>SUMIFS('Data nguồn'!J:J, 'Data nguồn'!D:D, $D55, 'Data nguồn'!F:F, $B$1, 'Data nguồn'!C:C, N$3)</f>
      </c>
      <c r="O55" s="3">
        <f>SUMIFS('Data nguồn'!J:J, 'Data nguồn'!D:D, $D55, 'Data nguồn'!F:F, $B$1, 'Data nguồn'!C:C, O$3)</f>
      </c>
      <c r="P55" s="3">
        <f>SUMIFS('Data nguồn'!J:J, 'Data nguồn'!D:D, $D55, 'Data nguồn'!F:F, $B$1, 'Data nguồn'!C:C, P$3)</f>
      </c>
      <c r="Q55" s="3">
        <f>SUMIFS('Data nguồn'!J:J, 'Data nguồn'!D:D, $D55, 'Data nguồn'!F:F, $B$1, 'Data nguồn'!C:C, Q$3)</f>
      </c>
      <c r="R55" s="3">
        <f>SUMIFS('Data nguồn'!J:J, 'Data nguồn'!D:D, $D55, 'Data nguồn'!F:F, $B$1, 'Data nguồn'!C:C, R$3)</f>
      </c>
      <c r="S55" s="3">
        <f>SUMIFS('Data nguồn'!J:J, 'Data nguồn'!D:D, $D55, 'Data nguồn'!F:F, $B$1, 'Data nguồn'!C:C, S$3)</f>
      </c>
      <c r="T55" s="3">
        <f>SUMIFS('Data nguồn'!J:J, 'Data nguồn'!D:D, $D55, 'Data nguồn'!F:F, $B$1, 'Data nguồn'!C:C, T$3)</f>
      </c>
      <c r="U55" s="3">
        <f>SUMIFS('Data nguồn'!J:J, 'Data nguồn'!D:D, $D55, 'Data nguồn'!F:F, $B$1, 'Data nguồn'!C:C, U$3)</f>
      </c>
      <c r="W55" s="3">
        <f>SUM(E55:P55)</f>
      </c>
      <c r="X55" s="3">
        <f>SUM(Q55:U55)</f>
      </c>
      <c r="Y55" s="3">
        <f>AVERAGE(S55:U55)</f>
      </c>
      <c r="Z55" s="3">
        <f>AVERAGE(P55:U55)</f>
      </c>
      <c r="AA55" s="3">
        <f>AVERAGE(M55:U55)</f>
      </c>
      <c r="AB55" s="4">
        <f>IFERROR((Y55*2)/(Z55+AA55), 0)</f>
      </c>
      <c r="AC55" s="4">
        <f>IFERROR(X55/SUM(E55:I55), 0)</f>
      </c>
      <c r="AD55" s="4">
        <f>IFERROR(X55/SUM(E55:I55), 0)</f>
      </c>
      <c r="AE55" s="4">
        <f>IFERROR(U55/I55, 0)</f>
      </c>
    </row>
    <row r="56" ht="20" customHeight="1" spans="1:31" x14ac:dyDescent="0.25">
      <c r="A56">
        <v>53</v>
      </c>
      <c r="B56" t="s">
        <v>55</v>
      </c>
      <c r="C56" t="s">
        <v>141</v>
      </c>
      <c r="D56" s="2" t="s">
        <v>55</v>
      </c>
      <c r="E56" s="3">
        <f>SUMIFS('Data nguồn'!J:J, 'Data nguồn'!D:D, $D56, 'Data nguồn'!F:F, $B$1, 'Data nguồn'!C:C, E$3)</f>
      </c>
      <c r="F56" s="3">
        <f>SUMIFS('Data nguồn'!J:J, 'Data nguồn'!D:D, $D56, 'Data nguồn'!F:F, $B$1, 'Data nguồn'!C:C, F$3)</f>
      </c>
      <c r="G56" s="3">
        <f>SUMIFS('Data nguồn'!J:J, 'Data nguồn'!D:D, $D56, 'Data nguồn'!F:F, $B$1, 'Data nguồn'!C:C, G$3)</f>
      </c>
      <c r="H56" s="3">
        <f>SUMIFS('Data nguồn'!J:J, 'Data nguồn'!D:D, $D56, 'Data nguồn'!F:F, $B$1, 'Data nguồn'!C:C, H$3)</f>
      </c>
      <c r="I56" s="3">
        <f>SUMIFS('Data nguồn'!J:J, 'Data nguồn'!D:D, $D56, 'Data nguồn'!F:F, $B$1, 'Data nguồn'!C:C, I$3)</f>
      </c>
      <c r="J56" s="3">
        <f>SUMIFS('Data nguồn'!J:J, 'Data nguồn'!D:D, $D56, 'Data nguồn'!F:F, $B$1, 'Data nguồn'!C:C, J$3)</f>
      </c>
      <c r="K56" s="3">
        <f>SUMIFS('Data nguồn'!J:J, 'Data nguồn'!D:D, $D56, 'Data nguồn'!F:F, $B$1, 'Data nguồn'!C:C, K$3)</f>
      </c>
      <c r="L56" s="3">
        <f>SUMIFS('Data nguồn'!J:J, 'Data nguồn'!D:D, $D56, 'Data nguồn'!F:F, $B$1, 'Data nguồn'!C:C, L$3)</f>
      </c>
      <c r="M56" s="3">
        <f>SUMIFS('Data nguồn'!J:J, 'Data nguồn'!D:D, $D56, 'Data nguồn'!F:F, $B$1, 'Data nguồn'!C:C, M$3)</f>
      </c>
      <c r="N56" s="3">
        <f>SUMIFS('Data nguồn'!J:J, 'Data nguồn'!D:D, $D56, 'Data nguồn'!F:F, $B$1, 'Data nguồn'!C:C, N$3)</f>
      </c>
      <c r="O56" s="3">
        <f>SUMIFS('Data nguồn'!J:J, 'Data nguồn'!D:D, $D56, 'Data nguồn'!F:F, $B$1, 'Data nguồn'!C:C, O$3)</f>
      </c>
      <c r="P56" s="3">
        <f>SUMIFS('Data nguồn'!J:J, 'Data nguồn'!D:D, $D56, 'Data nguồn'!F:F, $B$1, 'Data nguồn'!C:C, P$3)</f>
      </c>
      <c r="Q56" s="3">
        <f>SUMIFS('Data nguồn'!J:J, 'Data nguồn'!D:D, $D56, 'Data nguồn'!F:F, $B$1, 'Data nguồn'!C:C, Q$3)</f>
      </c>
      <c r="R56" s="3">
        <f>SUMIFS('Data nguồn'!J:J, 'Data nguồn'!D:D, $D56, 'Data nguồn'!F:F, $B$1, 'Data nguồn'!C:C, R$3)</f>
      </c>
      <c r="S56" s="3">
        <f>SUMIFS('Data nguồn'!J:J, 'Data nguồn'!D:D, $D56, 'Data nguồn'!F:F, $B$1, 'Data nguồn'!C:C, S$3)</f>
      </c>
      <c r="T56" s="3">
        <f>SUMIFS('Data nguồn'!J:J, 'Data nguồn'!D:D, $D56, 'Data nguồn'!F:F, $B$1, 'Data nguồn'!C:C, T$3)</f>
      </c>
      <c r="U56" s="3">
        <f>SUMIFS('Data nguồn'!J:J, 'Data nguồn'!D:D, $D56, 'Data nguồn'!F:F, $B$1, 'Data nguồn'!C:C, U$3)</f>
      </c>
      <c r="W56" s="3">
        <f>SUM(E56:P56)</f>
      </c>
      <c r="X56" s="3">
        <f>SUM(Q56:U56)</f>
      </c>
      <c r="Y56" s="3">
        <f>AVERAGE(S56:U56)</f>
      </c>
      <c r="Z56" s="3">
        <f>AVERAGE(P56:U56)</f>
      </c>
      <c r="AA56" s="3">
        <f>AVERAGE(M56:U56)</f>
      </c>
      <c r="AB56" s="4">
        <f>IFERROR((Y56*2)/(Z56+AA56), 0)</f>
      </c>
      <c r="AC56" s="4">
        <f>IFERROR(X56/SUM(E56:I56), 0)</f>
      </c>
      <c r="AD56" s="4">
        <f>IFERROR(X56/SUM(E56:I56), 0)</f>
      </c>
      <c r="AE56" s="4">
        <f>IFERROR(U56/I56, 0)</f>
      </c>
    </row>
    <row r="57" ht="20" customHeight="1" spans="1:31" x14ac:dyDescent="0.25">
      <c r="A57">
        <v>54</v>
      </c>
      <c r="B57" t="s">
        <v>56</v>
      </c>
      <c r="C57" t="s">
        <v>141</v>
      </c>
      <c r="D57" s="2" t="s">
        <v>56</v>
      </c>
      <c r="E57" s="3">
        <f>SUMIFS('Data nguồn'!J:J, 'Data nguồn'!D:D, $D57, 'Data nguồn'!F:F, $B$1, 'Data nguồn'!C:C, E$3)</f>
      </c>
      <c r="F57" s="3">
        <f>SUMIFS('Data nguồn'!J:J, 'Data nguồn'!D:D, $D57, 'Data nguồn'!F:F, $B$1, 'Data nguồn'!C:C, F$3)</f>
      </c>
      <c r="G57" s="3">
        <f>SUMIFS('Data nguồn'!J:J, 'Data nguồn'!D:D, $D57, 'Data nguồn'!F:F, $B$1, 'Data nguồn'!C:C, G$3)</f>
      </c>
      <c r="H57" s="3">
        <f>SUMIFS('Data nguồn'!J:J, 'Data nguồn'!D:D, $D57, 'Data nguồn'!F:F, $B$1, 'Data nguồn'!C:C, H$3)</f>
      </c>
      <c r="I57" s="3">
        <f>SUMIFS('Data nguồn'!J:J, 'Data nguồn'!D:D, $D57, 'Data nguồn'!F:F, $B$1, 'Data nguồn'!C:C, I$3)</f>
      </c>
      <c r="J57" s="3">
        <f>SUMIFS('Data nguồn'!J:J, 'Data nguồn'!D:D, $D57, 'Data nguồn'!F:F, $B$1, 'Data nguồn'!C:C, J$3)</f>
      </c>
      <c r="K57" s="3">
        <f>SUMIFS('Data nguồn'!J:J, 'Data nguồn'!D:D, $D57, 'Data nguồn'!F:F, $B$1, 'Data nguồn'!C:C, K$3)</f>
      </c>
      <c r="L57" s="3">
        <f>SUMIFS('Data nguồn'!J:J, 'Data nguồn'!D:D, $D57, 'Data nguồn'!F:F, $B$1, 'Data nguồn'!C:C, L$3)</f>
      </c>
      <c r="M57" s="3">
        <f>SUMIFS('Data nguồn'!J:J, 'Data nguồn'!D:D, $D57, 'Data nguồn'!F:F, $B$1, 'Data nguồn'!C:C, M$3)</f>
      </c>
      <c r="N57" s="3">
        <f>SUMIFS('Data nguồn'!J:J, 'Data nguồn'!D:D, $D57, 'Data nguồn'!F:F, $B$1, 'Data nguồn'!C:C, N$3)</f>
      </c>
      <c r="O57" s="3">
        <f>SUMIFS('Data nguồn'!J:J, 'Data nguồn'!D:D, $D57, 'Data nguồn'!F:F, $B$1, 'Data nguồn'!C:C, O$3)</f>
      </c>
      <c r="P57" s="3">
        <f>SUMIFS('Data nguồn'!J:J, 'Data nguồn'!D:D, $D57, 'Data nguồn'!F:F, $B$1, 'Data nguồn'!C:C, P$3)</f>
      </c>
      <c r="Q57" s="3">
        <f>SUMIFS('Data nguồn'!J:J, 'Data nguồn'!D:D, $D57, 'Data nguồn'!F:F, $B$1, 'Data nguồn'!C:C, Q$3)</f>
      </c>
      <c r="R57" s="3">
        <f>SUMIFS('Data nguồn'!J:J, 'Data nguồn'!D:D, $D57, 'Data nguồn'!F:F, $B$1, 'Data nguồn'!C:C, R$3)</f>
      </c>
      <c r="S57" s="3">
        <f>SUMIFS('Data nguồn'!J:J, 'Data nguồn'!D:D, $D57, 'Data nguồn'!F:F, $B$1, 'Data nguồn'!C:C, S$3)</f>
      </c>
      <c r="T57" s="3">
        <f>SUMIFS('Data nguồn'!J:J, 'Data nguồn'!D:D, $D57, 'Data nguồn'!F:F, $B$1, 'Data nguồn'!C:C, T$3)</f>
      </c>
      <c r="U57" s="3">
        <f>SUMIFS('Data nguồn'!J:J, 'Data nguồn'!D:D, $D57, 'Data nguồn'!F:F, $B$1, 'Data nguồn'!C:C, U$3)</f>
      </c>
      <c r="W57" s="3">
        <f>SUM(E57:P57)</f>
      </c>
      <c r="X57" s="3">
        <f>SUM(Q57:U57)</f>
      </c>
      <c r="Y57" s="3">
        <f>AVERAGE(S57:U57)</f>
      </c>
      <c r="Z57" s="3">
        <f>AVERAGE(P57:U57)</f>
      </c>
      <c r="AA57" s="3">
        <f>AVERAGE(M57:U57)</f>
      </c>
      <c r="AB57" s="4">
        <f>IFERROR((Y57*2)/(Z57+AA57), 0)</f>
      </c>
      <c r="AC57" s="4">
        <f>IFERROR(X57/SUM(E57:I57), 0)</f>
      </c>
      <c r="AD57" s="4">
        <f>IFERROR(X57/SUM(E57:I57), 0)</f>
      </c>
      <c r="AE57" s="4">
        <f>IFERROR(U57/I57, 0)</f>
      </c>
    </row>
    <row r="58" ht="20" customHeight="1" spans="1:31" x14ac:dyDescent="0.25">
      <c r="A58">
        <v>55</v>
      </c>
      <c r="B58" t="s">
        <v>57</v>
      </c>
      <c r="C58" t="s">
        <v>141</v>
      </c>
      <c r="D58" s="2" t="s">
        <v>57</v>
      </c>
      <c r="E58" s="3">
        <f>SUMIFS('Data nguồn'!J:J, 'Data nguồn'!D:D, $D58, 'Data nguồn'!F:F, $B$1, 'Data nguồn'!C:C, E$3)</f>
      </c>
      <c r="F58" s="3">
        <f>SUMIFS('Data nguồn'!J:J, 'Data nguồn'!D:D, $D58, 'Data nguồn'!F:F, $B$1, 'Data nguồn'!C:C, F$3)</f>
      </c>
      <c r="G58" s="3">
        <f>SUMIFS('Data nguồn'!J:J, 'Data nguồn'!D:D, $D58, 'Data nguồn'!F:F, $B$1, 'Data nguồn'!C:C, G$3)</f>
      </c>
      <c r="H58" s="3">
        <f>SUMIFS('Data nguồn'!J:J, 'Data nguồn'!D:D, $D58, 'Data nguồn'!F:F, $B$1, 'Data nguồn'!C:C, H$3)</f>
      </c>
      <c r="I58" s="3">
        <f>SUMIFS('Data nguồn'!J:J, 'Data nguồn'!D:D, $D58, 'Data nguồn'!F:F, $B$1, 'Data nguồn'!C:C, I$3)</f>
      </c>
      <c r="J58" s="3">
        <f>SUMIFS('Data nguồn'!J:J, 'Data nguồn'!D:D, $D58, 'Data nguồn'!F:F, $B$1, 'Data nguồn'!C:C, J$3)</f>
      </c>
      <c r="K58" s="3">
        <f>SUMIFS('Data nguồn'!J:J, 'Data nguồn'!D:D, $D58, 'Data nguồn'!F:F, $B$1, 'Data nguồn'!C:C, K$3)</f>
      </c>
      <c r="L58" s="3">
        <f>SUMIFS('Data nguồn'!J:J, 'Data nguồn'!D:D, $D58, 'Data nguồn'!F:F, $B$1, 'Data nguồn'!C:C, L$3)</f>
      </c>
      <c r="M58" s="3">
        <f>SUMIFS('Data nguồn'!J:J, 'Data nguồn'!D:D, $D58, 'Data nguồn'!F:F, $B$1, 'Data nguồn'!C:C, M$3)</f>
      </c>
      <c r="N58" s="3">
        <f>SUMIFS('Data nguồn'!J:J, 'Data nguồn'!D:D, $D58, 'Data nguồn'!F:F, $B$1, 'Data nguồn'!C:C, N$3)</f>
      </c>
      <c r="O58" s="3">
        <f>SUMIFS('Data nguồn'!J:J, 'Data nguồn'!D:D, $D58, 'Data nguồn'!F:F, $B$1, 'Data nguồn'!C:C, O$3)</f>
      </c>
      <c r="P58" s="3">
        <f>SUMIFS('Data nguồn'!J:J, 'Data nguồn'!D:D, $D58, 'Data nguồn'!F:F, $B$1, 'Data nguồn'!C:C, P$3)</f>
      </c>
      <c r="Q58" s="3">
        <f>SUMIFS('Data nguồn'!J:J, 'Data nguồn'!D:D, $D58, 'Data nguồn'!F:F, $B$1, 'Data nguồn'!C:C, Q$3)</f>
      </c>
      <c r="R58" s="3">
        <f>SUMIFS('Data nguồn'!J:J, 'Data nguồn'!D:D, $D58, 'Data nguồn'!F:F, $B$1, 'Data nguồn'!C:C, R$3)</f>
      </c>
      <c r="S58" s="3">
        <f>SUMIFS('Data nguồn'!J:J, 'Data nguồn'!D:D, $D58, 'Data nguồn'!F:F, $B$1, 'Data nguồn'!C:C, S$3)</f>
      </c>
      <c r="T58" s="3">
        <f>SUMIFS('Data nguồn'!J:J, 'Data nguồn'!D:D, $D58, 'Data nguồn'!F:F, $B$1, 'Data nguồn'!C:C, T$3)</f>
      </c>
      <c r="U58" s="3">
        <f>SUMIFS('Data nguồn'!J:J, 'Data nguồn'!D:D, $D58, 'Data nguồn'!F:F, $B$1, 'Data nguồn'!C:C, U$3)</f>
      </c>
      <c r="W58" s="3">
        <f>SUM(E58:P58)</f>
      </c>
      <c r="X58" s="3">
        <f>SUM(Q58:U58)</f>
      </c>
      <c r="Y58" s="3">
        <f>AVERAGE(S58:U58)</f>
      </c>
      <c r="Z58" s="3">
        <f>AVERAGE(P58:U58)</f>
      </c>
      <c r="AA58" s="3">
        <f>AVERAGE(M58:U58)</f>
      </c>
      <c r="AB58" s="4">
        <f>IFERROR((Y58*2)/(Z58+AA58), 0)</f>
      </c>
      <c r="AC58" s="4">
        <f>IFERROR(X58/SUM(E58:I58), 0)</f>
      </c>
      <c r="AD58" s="4">
        <f>IFERROR(X58/SUM(E58:I58), 0)</f>
      </c>
      <c r="AE58" s="4">
        <f>IFERROR(U58/I58, 0)</f>
      </c>
    </row>
    <row r="59" ht="20" customHeight="1" spans="1:31" x14ac:dyDescent="0.25">
      <c r="A59">
        <v>56</v>
      </c>
      <c r="B59" t="s">
        <v>58</v>
      </c>
      <c r="C59" t="s">
        <v>141</v>
      </c>
      <c r="D59" s="2" t="s">
        <v>58</v>
      </c>
      <c r="E59" s="3">
        <f>SUMIFS('Data nguồn'!J:J, 'Data nguồn'!D:D, $D59, 'Data nguồn'!F:F, $B$1, 'Data nguồn'!C:C, E$3)</f>
      </c>
      <c r="F59" s="3">
        <f>SUMIFS('Data nguồn'!J:J, 'Data nguồn'!D:D, $D59, 'Data nguồn'!F:F, $B$1, 'Data nguồn'!C:C, F$3)</f>
      </c>
      <c r="G59" s="3">
        <f>SUMIFS('Data nguồn'!J:J, 'Data nguồn'!D:D, $D59, 'Data nguồn'!F:F, $B$1, 'Data nguồn'!C:C, G$3)</f>
      </c>
      <c r="H59" s="3">
        <f>SUMIFS('Data nguồn'!J:J, 'Data nguồn'!D:D, $D59, 'Data nguồn'!F:F, $B$1, 'Data nguồn'!C:C, H$3)</f>
      </c>
      <c r="I59" s="3">
        <f>SUMIFS('Data nguồn'!J:J, 'Data nguồn'!D:D, $D59, 'Data nguồn'!F:F, $B$1, 'Data nguồn'!C:C, I$3)</f>
      </c>
      <c r="J59" s="3">
        <f>SUMIFS('Data nguồn'!J:J, 'Data nguồn'!D:D, $D59, 'Data nguồn'!F:F, $B$1, 'Data nguồn'!C:C, J$3)</f>
      </c>
      <c r="K59" s="3">
        <f>SUMIFS('Data nguồn'!J:J, 'Data nguồn'!D:D, $D59, 'Data nguồn'!F:F, $B$1, 'Data nguồn'!C:C, K$3)</f>
      </c>
      <c r="L59" s="3">
        <f>SUMIFS('Data nguồn'!J:J, 'Data nguồn'!D:D, $D59, 'Data nguồn'!F:F, $B$1, 'Data nguồn'!C:C, L$3)</f>
      </c>
      <c r="M59" s="3">
        <f>SUMIFS('Data nguồn'!J:J, 'Data nguồn'!D:D, $D59, 'Data nguồn'!F:F, $B$1, 'Data nguồn'!C:C, M$3)</f>
      </c>
      <c r="N59" s="3">
        <f>SUMIFS('Data nguồn'!J:J, 'Data nguồn'!D:D, $D59, 'Data nguồn'!F:F, $B$1, 'Data nguồn'!C:C, N$3)</f>
      </c>
      <c r="O59" s="3">
        <f>SUMIFS('Data nguồn'!J:J, 'Data nguồn'!D:D, $D59, 'Data nguồn'!F:F, $B$1, 'Data nguồn'!C:C, O$3)</f>
      </c>
      <c r="P59" s="3">
        <f>SUMIFS('Data nguồn'!J:J, 'Data nguồn'!D:D, $D59, 'Data nguồn'!F:F, $B$1, 'Data nguồn'!C:C, P$3)</f>
      </c>
      <c r="Q59" s="3">
        <f>SUMIFS('Data nguồn'!J:J, 'Data nguồn'!D:D, $D59, 'Data nguồn'!F:F, $B$1, 'Data nguồn'!C:C, Q$3)</f>
      </c>
      <c r="R59" s="3">
        <f>SUMIFS('Data nguồn'!J:J, 'Data nguồn'!D:D, $D59, 'Data nguồn'!F:F, $B$1, 'Data nguồn'!C:C, R$3)</f>
      </c>
      <c r="S59" s="3">
        <f>SUMIFS('Data nguồn'!J:J, 'Data nguồn'!D:D, $D59, 'Data nguồn'!F:F, $B$1, 'Data nguồn'!C:C, S$3)</f>
      </c>
      <c r="T59" s="3">
        <f>SUMIFS('Data nguồn'!J:J, 'Data nguồn'!D:D, $D59, 'Data nguồn'!F:F, $B$1, 'Data nguồn'!C:C, T$3)</f>
      </c>
      <c r="U59" s="3">
        <f>SUMIFS('Data nguồn'!J:J, 'Data nguồn'!D:D, $D59, 'Data nguồn'!F:F, $B$1, 'Data nguồn'!C:C, U$3)</f>
      </c>
      <c r="W59" s="3">
        <f>SUM(E59:P59)</f>
      </c>
      <c r="X59" s="3">
        <f>SUM(Q59:U59)</f>
      </c>
      <c r="Y59" s="3">
        <f>AVERAGE(S59:U59)</f>
      </c>
      <c r="Z59" s="3">
        <f>AVERAGE(P59:U59)</f>
      </c>
      <c r="AA59" s="3">
        <f>AVERAGE(M59:U59)</f>
      </c>
      <c r="AB59" s="4">
        <f>IFERROR((Y59*2)/(Z59+AA59), 0)</f>
      </c>
      <c r="AC59" s="4">
        <f>IFERROR(X59/SUM(E59:I59), 0)</f>
      </c>
      <c r="AD59" s="4">
        <f>IFERROR(X59/SUM(E59:I59), 0)</f>
      </c>
      <c r="AE59" s="4">
        <f>IFERROR(U59/I59, 0)</f>
      </c>
    </row>
    <row r="60" ht="20" customHeight="1" spans="1:31" x14ac:dyDescent="0.25">
      <c r="A60">
        <v>57</v>
      </c>
      <c r="B60" t="s">
        <v>59</v>
      </c>
      <c r="C60" t="s">
        <v>141</v>
      </c>
      <c r="D60" s="2" t="s">
        <v>59</v>
      </c>
      <c r="E60" s="3">
        <f>SUMIFS('Data nguồn'!J:J, 'Data nguồn'!D:D, $D60, 'Data nguồn'!F:F, $B$1, 'Data nguồn'!C:C, E$3)</f>
      </c>
      <c r="F60" s="3">
        <f>SUMIFS('Data nguồn'!J:J, 'Data nguồn'!D:D, $D60, 'Data nguồn'!F:F, $B$1, 'Data nguồn'!C:C, F$3)</f>
      </c>
      <c r="G60" s="3">
        <f>SUMIFS('Data nguồn'!J:J, 'Data nguồn'!D:D, $D60, 'Data nguồn'!F:F, $B$1, 'Data nguồn'!C:C, G$3)</f>
      </c>
      <c r="H60" s="3">
        <f>SUMIFS('Data nguồn'!J:J, 'Data nguồn'!D:D, $D60, 'Data nguồn'!F:F, $B$1, 'Data nguồn'!C:C, H$3)</f>
      </c>
      <c r="I60" s="3">
        <f>SUMIFS('Data nguồn'!J:J, 'Data nguồn'!D:D, $D60, 'Data nguồn'!F:F, $B$1, 'Data nguồn'!C:C, I$3)</f>
      </c>
      <c r="J60" s="3">
        <f>SUMIFS('Data nguồn'!J:J, 'Data nguồn'!D:D, $D60, 'Data nguồn'!F:F, $B$1, 'Data nguồn'!C:C, J$3)</f>
      </c>
      <c r="K60" s="3">
        <f>SUMIFS('Data nguồn'!J:J, 'Data nguồn'!D:D, $D60, 'Data nguồn'!F:F, $B$1, 'Data nguồn'!C:C, K$3)</f>
      </c>
      <c r="L60" s="3">
        <f>SUMIFS('Data nguồn'!J:J, 'Data nguồn'!D:D, $D60, 'Data nguồn'!F:F, $B$1, 'Data nguồn'!C:C, L$3)</f>
      </c>
      <c r="M60" s="3">
        <f>SUMIFS('Data nguồn'!J:J, 'Data nguồn'!D:D, $D60, 'Data nguồn'!F:F, $B$1, 'Data nguồn'!C:C, M$3)</f>
      </c>
      <c r="N60" s="3">
        <f>SUMIFS('Data nguồn'!J:J, 'Data nguồn'!D:D, $D60, 'Data nguồn'!F:F, $B$1, 'Data nguồn'!C:C, N$3)</f>
      </c>
      <c r="O60" s="3">
        <f>SUMIFS('Data nguồn'!J:J, 'Data nguồn'!D:D, $D60, 'Data nguồn'!F:F, $B$1, 'Data nguồn'!C:C, O$3)</f>
      </c>
      <c r="P60" s="3">
        <f>SUMIFS('Data nguồn'!J:J, 'Data nguồn'!D:D, $D60, 'Data nguồn'!F:F, $B$1, 'Data nguồn'!C:C, P$3)</f>
      </c>
      <c r="Q60" s="3">
        <f>SUMIFS('Data nguồn'!J:J, 'Data nguồn'!D:D, $D60, 'Data nguồn'!F:F, $B$1, 'Data nguồn'!C:C, Q$3)</f>
      </c>
      <c r="R60" s="3">
        <f>SUMIFS('Data nguồn'!J:J, 'Data nguồn'!D:D, $D60, 'Data nguồn'!F:F, $B$1, 'Data nguồn'!C:C, R$3)</f>
      </c>
      <c r="S60" s="3">
        <f>SUMIFS('Data nguồn'!J:J, 'Data nguồn'!D:D, $D60, 'Data nguồn'!F:F, $B$1, 'Data nguồn'!C:C, S$3)</f>
      </c>
      <c r="T60" s="3">
        <f>SUMIFS('Data nguồn'!J:J, 'Data nguồn'!D:D, $D60, 'Data nguồn'!F:F, $B$1, 'Data nguồn'!C:C, T$3)</f>
      </c>
      <c r="U60" s="3">
        <f>SUMIFS('Data nguồn'!J:J, 'Data nguồn'!D:D, $D60, 'Data nguồn'!F:F, $B$1, 'Data nguồn'!C:C, U$3)</f>
      </c>
      <c r="W60" s="3">
        <f>SUM(E60:P60)</f>
      </c>
      <c r="X60" s="3">
        <f>SUM(Q60:U60)</f>
      </c>
      <c r="Y60" s="3">
        <f>AVERAGE(S60:U60)</f>
      </c>
      <c r="Z60" s="3">
        <f>AVERAGE(P60:U60)</f>
      </c>
      <c r="AA60" s="3">
        <f>AVERAGE(M60:U60)</f>
      </c>
      <c r="AB60" s="4">
        <f>IFERROR((Y60*2)/(Z60+AA60), 0)</f>
      </c>
      <c r="AC60" s="4">
        <f>IFERROR(X60/SUM(E60:I60), 0)</f>
      </c>
      <c r="AD60" s="4">
        <f>IFERROR(X60/SUM(E60:I60), 0)</f>
      </c>
      <c r="AE60" s="4">
        <f>IFERROR(U60/I60, 0)</f>
      </c>
    </row>
    <row r="61" ht="20" customHeight="1" spans="1:31" x14ac:dyDescent="0.25">
      <c r="A61">
        <v>58</v>
      </c>
      <c r="B61" t="s">
        <v>60</v>
      </c>
      <c r="C61" t="s">
        <v>141</v>
      </c>
      <c r="D61" s="2" t="s">
        <v>60</v>
      </c>
      <c r="E61" s="3">
        <f>SUMIFS('Data nguồn'!J:J, 'Data nguồn'!D:D, $D61, 'Data nguồn'!F:F, $B$1, 'Data nguồn'!C:C, E$3)</f>
      </c>
      <c r="F61" s="3">
        <f>SUMIFS('Data nguồn'!J:J, 'Data nguồn'!D:D, $D61, 'Data nguồn'!F:F, $B$1, 'Data nguồn'!C:C, F$3)</f>
      </c>
      <c r="G61" s="3">
        <f>SUMIFS('Data nguồn'!J:J, 'Data nguồn'!D:D, $D61, 'Data nguồn'!F:F, $B$1, 'Data nguồn'!C:C, G$3)</f>
      </c>
      <c r="H61" s="3">
        <f>SUMIFS('Data nguồn'!J:J, 'Data nguồn'!D:D, $D61, 'Data nguồn'!F:F, $B$1, 'Data nguồn'!C:C, H$3)</f>
      </c>
      <c r="I61" s="3">
        <f>SUMIFS('Data nguồn'!J:J, 'Data nguồn'!D:D, $D61, 'Data nguồn'!F:F, $B$1, 'Data nguồn'!C:C, I$3)</f>
      </c>
      <c r="J61" s="3">
        <f>SUMIFS('Data nguồn'!J:J, 'Data nguồn'!D:D, $D61, 'Data nguồn'!F:F, $B$1, 'Data nguồn'!C:C, J$3)</f>
      </c>
      <c r="K61" s="3">
        <f>SUMIFS('Data nguồn'!J:J, 'Data nguồn'!D:D, $D61, 'Data nguồn'!F:F, $B$1, 'Data nguồn'!C:C, K$3)</f>
      </c>
      <c r="L61" s="3">
        <f>SUMIFS('Data nguồn'!J:J, 'Data nguồn'!D:D, $D61, 'Data nguồn'!F:F, $B$1, 'Data nguồn'!C:C, L$3)</f>
      </c>
      <c r="M61" s="3">
        <f>SUMIFS('Data nguồn'!J:J, 'Data nguồn'!D:D, $D61, 'Data nguồn'!F:F, $B$1, 'Data nguồn'!C:C, M$3)</f>
      </c>
      <c r="N61" s="3">
        <f>SUMIFS('Data nguồn'!J:J, 'Data nguồn'!D:D, $D61, 'Data nguồn'!F:F, $B$1, 'Data nguồn'!C:C, N$3)</f>
      </c>
      <c r="O61" s="3">
        <f>SUMIFS('Data nguồn'!J:J, 'Data nguồn'!D:D, $D61, 'Data nguồn'!F:F, $B$1, 'Data nguồn'!C:C, O$3)</f>
      </c>
      <c r="P61" s="3">
        <f>SUMIFS('Data nguồn'!J:J, 'Data nguồn'!D:D, $D61, 'Data nguồn'!F:F, $B$1, 'Data nguồn'!C:C, P$3)</f>
      </c>
      <c r="Q61" s="3">
        <f>SUMIFS('Data nguồn'!J:J, 'Data nguồn'!D:D, $D61, 'Data nguồn'!F:F, $B$1, 'Data nguồn'!C:C, Q$3)</f>
      </c>
      <c r="R61" s="3">
        <f>SUMIFS('Data nguồn'!J:J, 'Data nguồn'!D:D, $D61, 'Data nguồn'!F:F, $B$1, 'Data nguồn'!C:C, R$3)</f>
      </c>
      <c r="S61" s="3">
        <f>SUMIFS('Data nguồn'!J:J, 'Data nguồn'!D:D, $D61, 'Data nguồn'!F:F, $B$1, 'Data nguồn'!C:C, S$3)</f>
      </c>
      <c r="T61" s="3">
        <f>SUMIFS('Data nguồn'!J:J, 'Data nguồn'!D:D, $D61, 'Data nguồn'!F:F, $B$1, 'Data nguồn'!C:C, T$3)</f>
      </c>
      <c r="U61" s="3">
        <f>SUMIFS('Data nguồn'!J:J, 'Data nguồn'!D:D, $D61, 'Data nguồn'!F:F, $B$1, 'Data nguồn'!C:C, U$3)</f>
      </c>
      <c r="W61" s="3">
        <f>SUM(E61:P61)</f>
      </c>
      <c r="X61" s="3">
        <f>SUM(Q61:U61)</f>
      </c>
      <c r="Y61" s="3">
        <f>AVERAGE(S61:U61)</f>
      </c>
      <c r="Z61" s="3">
        <f>AVERAGE(P61:U61)</f>
      </c>
      <c r="AA61" s="3">
        <f>AVERAGE(M61:U61)</f>
      </c>
      <c r="AB61" s="4">
        <f>IFERROR((Y61*2)/(Z61+AA61), 0)</f>
      </c>
      <c r="AC61" s="4">
        <f>IFERROR(X61/SUM(E61:I61), 0)</f>
      </c>
      <c r="AD61" s="4">
        <f>IFERROR(X61/SUM(E61:I61), 0)</f>
      </c>
      <c r="AE61" s="4">
        <f>IFERROR(U61/I61, 0)</f>
      </c>
    </row>
    <row r="62" ht="20" customHeight="1" spans="1:31" x14ac:dyDescent="0.25">
      <c r="A62">
        <v>59</v>
      </c>
      <c r="B62" t="s">
        <v>61</v>
      </c>
      <c r="C62" t="s">
        <v>141</v>
      </c>
      <c r="D62" s="2" t="s">
        <v>61</v>
      </c>
      <c r="E62" s="3">
        <f>SUMIFS('Data nguồn'!J:J, 'Data nguồn'!D:D, $D62, 'Data nguồn'!F:F, $B$1, 'Data nguồn'!C:C, E$3)</f>
      </c>
      <c r="F62" s="3">
        <f>SUMIFS('Data nguồn'!J:J, 'Data nguồn'!D:D, $D62, 'Data nguồn'!F:F, $B$1, 'Data nguồn'!C:C, F$3)</f>
      </c>
      <c r="G62" s="3">
        <f>SUMIFS('Data nguồn'!J:J, 'Data nguồn'!D:D, $D62, 'Data nguồn'!F:F, $B$1, 'Data nguồn'!C:C, G$3)</f>
      </c>
      <c r="H62" s="3">
        <f>SUMIFS('Data nguồn'!J:J, 'Data nguồn'!D:D, $D62, 'Data nguồn'!F:F, $B$1, 'Data nguồn'!C:C, H$3)</f>
      </c>
      <c r="I62" s="3">
        <f>SUMIFS('Data nguồn'!J:J, 'Data nguồn'!D:D, $D62, 'Data nguồn'!F:F, $B$1, 'Data nguồn'!C:C, I$3)</f>
      </c>
      <c r="J62" s="3">
        <f>SUMIFS('Data nguồn'!J:J, 'Data nguồn'!D:D, $D62, 'Data nguồn'!F:F, $B$1, 'Data nguồn'!C:C, J$3)</f>
      </c>
      <c r="K62" s="3">
        <f>SUMIFS('Data nguồn'!J:J, 'Data nguồn'!D:D, $D62, 'Data nguồn'!F:F, $B$1, 'Data nguồn'!C:C, K$3)</f>
      </c>
      <c r="L62" s="3">
        <f>SUMIFS('Data nguồn'!J:J, 'Data nguồn'!D:D, $D62, 'Data nguồn'!F:F, $B$1, 'Data nguồn'!C:C, L$3)</f>
      </c>
      <c r="M62" s="3">
        <f>SUMIFS('Data nguồn'!J:J, 'Data nguồn'!D:D, $D62, 'Data nguồn'!F:F, $B$1, 'Data nguồn'!C:C, M$3)</f>
      </c>
      <c r="N62" s="3">
        <f>SUMIFS('Data nguồn'!J:J, 'Data nguồn'!D:D, $D62, 'Data nguồn'!F:F, $B$1, 'Data nguồn'!C:C, N$3)</f>
      </c>
      <c r="O62" s="3">
        <f>SUMIFS('Data nguồn'!J:J, 'Data nguồn'!D:D, $D62, 'Data nguồn'!F:F, $B$1, 'Data nguồn'!C:C, O$3)</f>
      </c>
      <c r="P62" s="3">
        <f>SUMIFS('Data nguồn'!J:J, 'Data nguồn'!D:D, $D62, 'Data nguồn'!F:F, $B$1, 'Data nguồn'!C:C, P$3)</f>
      </c>
      <c r="Q62" s="3">
        <f>SUMIFS('Data nguồn'!J:J, 'Data nguồn'!D:D, $D62, 'Data nguồn'!F:F, $B$1, 'Data nguồn'!C:C, Q$3)</f>
      </c>
      <c r="R62" s="3">
        <f>SUMIFS('Data nguồn'!J:J, 'Data nguồn'!D:D, $D62, 'Data nguồn'!F:F, $B$1, 'Data nguồn'!C:C, R$3)</f>
      </c>
      <c r="S62" s="3">
        <f>SUMIFS('Data nguồn'!J:J, 'Data nguồn'!D:D, $D62, 'Data nguồn'!F:F, $B$1, 'Data nguồn'!C:C, S$3)</f>
      </c>
      <c r="T62" s="3">
        <f>SUMIFS('Data nguồn'!J:J, 'Data nguồn'!D:D, $D62, 'Data nguồn'!F:F, $B$1, 'Data nguồn'!C:C, T$3)</f>
      </c>
      <c r="U62" s="3">
        <f>SUMIFS('Data nguồn'!J:J, 'Data nguồn'!D:D, $D62, 'Data nguồn'!F:F, $B$1, 'Data nguồn'!C:C, U$3)</f>
      </c>
      <c r="W62" s="3">
        <f>SUM(E62:P62)</f>
      </c>
      <c r="X62" s="3">
        <f>SUM(Q62:U62)</f>
      </c>
      <c r="Y62" s="3">
        <f>AVERAGE(S62:U62)</f>
      </c>
      <c r="Z62" s="3">
        <f>AVERAGE(P62:U62)</f>
      </c>
      <c r="AA62" s="3">
        <f>AVERAGE(M62:U62)</f>
      </c>
      <c r="AB62" s="4">
        <f>IFERROR((Y62*2)/(Z62+AA62), 0)</f>
      </c>
      <c r="AC62" s="4">
        <f>IFERROR(X62/SUM(E62:I62), 0)</f>
      </c>
      <c r="AD62" s="4">
        <f>IFERROR(X62/SUM(E62:I62), 0)</f>
      </c>
      <c r="AE62" s="4">
        <f>IFERROR(U62/I62, 0)</f>
      </c>
    </row>
    <row r="63" ht="20" customHeight="1" spans="1:31" x14ac:dyDescent="0.25">
      <c r="A63">
        <v>60</v>
      </c>
      <c r="B63" t="s">
        <v>62</v>
      </c>
      <c r="C63" t="s">
        <v>141</v>
      </c>
      <c r="D63" s="2" t="s">
        <v>62</v>
      </c>
      <c r="E63" s="3">
        <f>SUMIFS('Data nguồn'!J:J, 'Data nguồn'!D:D, $D63, 'Data nguồn'!F:F, $B$1, 'Data nguồn'!C:C, E$3)</f>
      </c>
      <c r="F63" s="3">
        <f>SUMIFS('Data nguồn'!J:J, 'Data nguồn'!D:D, $D63, 'Data nguồn'!F:F, $B$1, 'Data nguồn'!C:C, F$3)</f>
      </c>
      <c r="G63" s="3">
        <f>SUMIFS('Data nguồn'!J:J, 'Data nguồn'!D:D, $D63, 'Data nguồn'!F:F, $B$1, 'Data nguồn'!C:C, G$3)</f>
      </c>
      <c r="H63" s="3">
        <f>SUMIFS('Data nguồn'!J:J, 'Data nguồn'!D:D, $D63, 'Data nguồn'!F:F, $B$1, 'Data nguồn'!C:C, H$3)</f>
      </c>
      <c r="I63" s="3">
        <f>SUMIFS('Data nguồn'!J:J, 'Data nguồn'!D:D, $D63, 'Data nguồn'!F:F, $B$1, 'Data nguồn'!C:C, I$3)</f>
      </c>
      <c r="J63" s="3">
        <f>SUMIFS('Data nguồn'!J:J, 'Data nguồn'!D:D, $D63, 'Data nguồn'!F:F, $B$1, 'Data nguồn'!C:C, J$3)</f>
      </c>
      <c r="K63" s="3">
        <f>SUMIFS('Data nguồn'!J:J, 'Data nguồn'!D:D, $D63, 'Data nguồn'!F:F, $B$1, 'Data nguồn'!C:C, K$3)</f>
      </c>
      <c r="L63" s="3">
        <f>SUMIFS('Data nguồn'!J:J, 'Data nguồn'!D:D, $D63, 'Data nguồn'!F:F, $B$1, 'Data nguồn'!C:C, L$3)</f>
      </c>
      <c r="M63" s="3">
        <f>SUMIFS('Data nguồn'!J:J, 'Data nguồn'!D:D, $D63, 'Data nguồn'!F:F, $B$1, 'Data nguồn'!C:C, M$3)</f>
      </c>
      <c r="N63" s="3">
        <f>SUMIFS('Data nguồn'!J:J, 'Data nguồn'!D:D, $D63, 'Data nguồn'!F:F, $B$1, 'Data nguồn'!C:C, N$3)</f>
      </c>
      <c r="O63" s="3">
        <f>SUMIFS('Data nguồn'!J:J, 'Data nguồn'!D:D, $D63, 'Data nguồn'!F:F, $B$1, 'Data nguồn'!C:C, O$3)</f>
      </c>
      <c r="P63" s="3">
        <f>SUMIFS('Data nguồn'!J:J, 'Data nguồn'!D:D, $D63, 'Data nguồn'!F:F, $B$1, 'Data nguồn'!C:C, P$3)</f>
      </c>
      <c r="Q63" s="3">
        <f>SUMIFS('Data nguồn'!J:J, 'Data nguồn'!D:D, $D63, 'Data nguồn'!F:F, $B$1, 'Data nguồn'!C:C, Q$3)</f>
      </c>
      <c r="R63" s="3">
        <f>SUMIFS('Data nguồn'!J:J, 'Data nguồn'!D:D, $D63, 'Data nguồn'!F:F, $B$1, 'Data nguồn'!C:C, R$3)</f>
      </c>
      <c r="S63" s="3">
        <f>SUMIFS('Data nguồn'!J:J, 'Data nguồn'!D:D, $D63, 'Data nguồn'!F:F, $B$1, 'Data nguồn'!C:C, S$3)</f>
      </c>
      <c r="T63" s="3">
        <f>SUMIFS('Data nguồn'!J:J, 'Data nguồn'!D:D, $D63, 'Data nguồn'!F:F, $B$1, 'Data nguồn'!C:C, T$3)</f>
      </c>
      <c r="U63" s="3">
        <f>SUMIFS('Data nguồn'!J:J, 'Data nguồn'!D:D, $D63, 'Data nguồn'!F:F, $B$1, 'Data nguồn'!C:C, U$3)</f>
      </c>
      <c r="W63" s="3">
        <f>SUM(E63:P63)</f>
      </c>
      <c r="X63" s="3">
        <f>SUM(Q63:U63)</f>
      </c>
      <c r="Y63" s="3">
        <f>AVERAGE(S63:U63)</f>
      </c>
      <c r="Z63" s="3">
        <f>AVERAGE(P63:U63)</f>
      </c>
      <c r="AA63" s="3">
        <f>AVERAGE(M63:U63)</f>
      </c>
      <c r="AB63" s="4">
        <f>IFERROR((Y63*2)/(Z63+AA63), 0)</f>
      </c>
      <c r="AC63" s="4">
        <f>IFERROR(X63/SUM(E63:I63), 0)</f>
      </c>
      <c r="AD63" s="4">
        <f>IFERROR(X63/SUM(E63:I63), 0)</f>
      </c>
      <c r="AE63" s="4">
        <f>IFERROR(U63/I63, 0)</f>
      </c>
    </row>
    <row r="64" ht="20" customHeight="1" spans="1:31" x14ac:dyDescent="0.25">
      <c r="A64">
        <v>61</v>
      </c>
      <c r="B64" t="s">
        <v>63</v>
      </c>
      <c r="C64" t="s">
        <v>141</v>
      </c>
      <c r="D64" s="2" t="s">
        <v>63</v>
      </c>
      <c r="E64" s="3">
        <f>SUMIFS('Data nguồn'!J:J, 'Data nguồn'!D:D, $D64, 'Data nguồn'!F:F, $B$1, 'Data nguồn'!C:C, E$3)</f>
      </c>
      <c r="F64" s="3">
        <f>SUMIFS('Data nguồn'!J:J, 'Data nguồn'!D:D, $D64, 'Data nguồn'!F:F, $B$1, 'Data nguồn'!C:C, F$3)</f>
      </c>
      <c r="G64" s="3">
        <f>SUMIFS('Data nguồn'!J:J, 'Data nguồn'!D:D, $D64, 'Data nguồn'!F:F, $B$1, 'Data nguồn'!C:C, G$3)</f>
      </c>
      <c r="H64" s="3">
        <f>SUMIFS('Data nguồn'!J:J, 'Data nguồn'!D:D, $D64, 'Data nguồn'!F:F, $B$1, 'Data nguồn'!C:C, H$3)</f>
      </c>
      <c r="I64" s="3">
        <f>SUMIFS('Data nguồn'!J:J, 'Data nguồn'!D:D, $D64, 'Data nguồn'!F:F, $B$1, 'Data nguồn'!C:C, I$3)</f>
      </c>
      <c r="J64" s="3">
        <f>SUMIFS('Data nguồn'!J:J, 'Data nguồn'!D:D, $D64, 'Data nguồn'!F:F, $B$1, 'Data nguồn'!C:C, J$3)</f>
      </c>
      <c r="K64" s="3">
        <f>SUMIFS('Data nguồn'!J:J, 'Data nguồn'!D:D, $D64, 'Data nguồn'!F:F, $B$1, 'Data nguồn'!C:C, K$3)</f>
      </c>
      <c r="L64" s="3">
        <f>SUMIFS('Data nguồn'!J:J, 'Data nguồn'!D:D, $D64, 'Data nguồn'!F:F, $B$1, 'Data nguồn'!C:C, L$3)</f>
      </c>
      <c r="M64" s="3">
        <f>SUMIFS('Data nguồn'!J:J, 'Data nguồn'!D:D, $D64, 'Data nguồn'!F:F, $B$1, 'Data nguồn'!C:C, M$3)</f>
      </c>
      <c r="N64" s="3">
        <f>SUMIFS('Data nguồn'!J:J, 'Data nguồn'!D:D, $D64, 'Data nguồn'!F:F, $B$1, 'Data nguồn'!C:C, N$3)</f>
      </c>
      <c r="O64" s="3">
        <f>SUMIFS('Data nguồn'!J:J, 'Data nguồn'!D:D, $D64, 'Data nguồn'!F:F, $B$1, 'Data nguồn'!C:C, O$3)</f>
      </c>
      <c r="P64" s="3">
        <f>SUMIFS('Data nguồn'!J:J, 'Data nguồn'!D:D, $D64, 'Data nguồn'!F:F, $B$1, 'Data nguồn'!C:C, P$3)</f>
      </c>
      <c r="Q64" s="3">
        <f>SUMIFS('Data nguồn'!J:J, 'Data nguồn'!D:D, $D64, 'Data nguồn'!F:F, $B$1, 'Data nguồn'!C:C, Q$3)</f>
      </c>
      <c r="R64" s="3">
        <f>SUMIFS('Data nguồn'!J:J, 'Data nguồn'!D:D, $D64, 'Data nguồn'!F:F, $B$1, 'Data nguồn'!C:C, R$3)</f>
      </c>
      <c r="S64" s="3">
        <f>SUMIFS('Data nguồn'!J:J, 'Data nguồn'!D:D, $D64, 'Data nguồn'!F:F, $B$1, 'Data nguồn'!C:C, S$3)</f>
      </c>
      <c r="T64" s="3">
        <f>SUMIFS('Data nguồn'!J:J, 'Data nguồn'!D:D, $D64, 'Data nguồn'!F:F, $B$1, 'Data nguồn'!C:C, T$3)</f>
      </c>
      <c r="U64" s="3">
        <f>SUMIFS('Data nguồn'!J:J, 'Data nguồn'!D:D, $D64, 'Data nguồn'!F:F, $B$1, 'Data nguồn'!C:C, U$3)</f>
      </c>
      <c r="W64" s="3">
        <f>SUM(E64:P64)</f>
      </c>
      <c r="X64" s="3">
        <f>SUM(Q64:U64)</f>
      </c>
      <c r="Y64" s="3">
        <f>AVERAGE(S64:U64)</f>
      </c>
      <c r="Z64" s="3">
        <f>AVERAGE(P64:U64)</f>
      </c>
      <c r="AA64" s="3">
        <f>AVERAGE(M64:U64)</f>
      </c>
      <c r="AB64" s="4">
        <f>IFERROR((Y64*2)/(Z64+AA64), 0)</f>
      </c>
      <c r="AC64" s="4">
        <f>IFERROR(X64/SUM(E64:I64), 0)</f>
      </c>
      <c r="AD64" s="4">
        <f>IFERROR(X64/SUM(E64:I64), 0)</f>
      </c>
      <c r="AE64" s="4">
        <f>IFERROR(U64/I64, 0)</f>
      </c>
    </row>
    <row r="65" ht="20" customHeight="1" spans="1:31" x14ac:dyDescent="0.25">
      <c r="A65">
        <v>62</v>
      </c>
      <c r="B65" t="s">
        <v>64</v>
      </c>
      <c r="C65" t="s">
        <v>141</v>
      </c>
      <c r="D65" s="2" t="s">
        <v>64</v>
      </c>
      <c r="E65" s="3">
        <f>SUMIFS('Data nguồn'!J:J, 'Data nguồn'!D:D, $D65, 'Data nguồn'!F:F, $B$1, 'Data nguồn'!C:C, E$3)</f>
      </c>
      <c r="F65" s="3">
        <f>SUMIFS('Data nguồn'!J:J, 'Data nguồn'!D:D, $D65, 'Data nguồn'!F:F, $B$1, 'Data nguồn'!C:C, F$3)</f>
      </c>
      <c r="G65" s="3">
        <f>SUMIFS('Data nguồn'!J:J, 'Data nguồn'!D:D, $D65, 'Data nguồn'!F:F, $B$1, 'Data nguồn'!C:C, G$3)</f>
      </c>
      <c r="H65" s="3">
        <f>SUMIFS('Data nguồn'!J:J, 'Data nguồn'!D:D, $D65, 'Data nguồn'!F:F, $B$1, 'Data nguồn'!C:C, H$3)</f>
      </c>
      <c r="I65" s="3">
        <f>SUMIFS('Data nguồn'!J:J, 'Data nguồn'!D:D, $D65, 'Data nguồn'!F:F, $B$1, 'Data nguồn'!C:C, I$3)</f>
      </c>
      <c r="J65" s="3">
        <f>SUMIFS('Data nguồn'!J:J, 'Data nguồn'!D:D, $D65, 'Data nguồn'!F:F, $B$1, 'Data nguồn'!C:C, J$3)</f>
      </c>
      <c r="K65" s="3">
        <f>SUMIFS('Data nguồn'!J:J, 'Data nguồn'!D:D, $D65, 'Data nguồn'!F:F, $B$1, 'Data nguồn'!C:C, K$3)</f>
      </c>
      <c r="L65" s="3">
        <f>SUMIFS('Data nguồn'!J:J, 'Data nguồn'!D:D, $D65, 'Data nguồn'!F:F, $B$1, 'Data nguồn'!C:C, L$3)</f>
      </c>
      <c r="M65" s="3">
        <f>SUMIFS('Data nguồn'!J:J, 'Data nguồn'!D:D, $D65, 'Data nguồn'!F:F, $B$1, 'Data nguồn'!C:C, M$3)</f>
      </c>
      <c r="N65" s="3">
        <f>SUMIFS('Data nguồn'!J:J, 'Data nguồn'!D:D, $D65, 'Data nguồn'!F:F, $B$1, 'Data nguồn'!C:C, N$3)</f>
      </c>
      <c r="O65" s="3">
        <f>SUMIFS('Data nguồn'!J:J, 'Data nguồn'!D:D, $D65, 'Data nguồn'!F:F, $B$1, 'Data nguồn'!C:C, O$3)</f>
      </c>
      <c r="P65" s="3">
        <f>SUMIFS('Data nguồn'!J:J, 'Data nguồn'!D:D, $D65, 'Data nguồn'!F:F, $B$1, 'Data nguồn'!C:C, P$3)</f>
      </c>
      <c r="Q65" s="3">
        <f>SUMIFS('Data nguồn'!J:J, 'Data nguồn'!D:D, $D65, 'Data nguồn'!F:F, $B$1, 'Data nguồn'!C:C, Q$3)</f>
      </c>
      <c r="R65" s="3">
        <f>SUMIFS('Data nguồn'!J:J, 'Data nguồn'!D:D, $D65, 'Data nguồn'!F:F, $B$1, 'Data nguồn'!C:C, R$3)</f>
      </c>
      <c r="S65" s="3">
        <f>SUMIFS('Data nguồn'!J:J, 'Data nguồn'!D:D, $D65, 'Data nguồn'!F:F, $B$1, 'Data nguồn'!C:C, S$3)</f>
      </c>
      <c r="T65" s="3">
        <f>SUMIFS('Data nguồn'!J:J, 'Data nguồn'!D:D, $D65, 'Data nguồn'!F:F, $B$1, 'Data nguồn'!C:C, T$3)</f>
      </c>
      <c r="U65" s="3">
        <f>SUMIFS('Data nguồn'!J:J, 'Data nguồn'!D:D, $D65, 'Data nguồn'!F:F, $B$1, 'Data nguồn'!C:C, U$3)</f>
      </c>
      <c r="W65" s="3">
        <f>SUM(E65:P65)</f>
      </c>
      <c r="X65" s="3">
        <f>SUM(Q65:U65)</f>
      </c>
      <c r="Y65" s="3">
        <f>AVERAGE(S65:U65)</f>
      </c>
      <c r="Z65" s="3">
        <f>AVERAGE(P65:U65)</f>
      </c>
      <c r="AA65" s="3">
        <f>AVERAGE(M65:U65)</f>
      </c>
      <c r="AB65" s="4">
        <f>IFERROR((Y65*2)/(Z65+AA65), 0)</f>
      </c>
      <c r="AC65" s="4">
        <f>IFERROR(X65/SUM(E65:I65), 0)</f>
      </c>
      <c r="AD65" s="4">
        <f>IFERROR(X65/SUM(E65:I65), 0)</f>
      </c>
      <c r="AE65" s="4">
        <f>IFERROR(U65/I65, 0)</f>
      </c>
    </row>
    <row r="66" ht="20" customHeight="1" spans="1:31" x14ac:dyDescent="0.25">
      <c r="A66">
        <v>63</v>
      </c>
      <c r="B66" t="s">
        <v>65</v>
      </c>
      <c r="C66" t="s">
        <v>141</v>
      </c>
      <c r="D66" s="2" t="s">
        <v>65</v>
      </c>
      <c r="E66" s="3">
        <f>SUMIFS('Data nguồn'!J:J, 'Data nguồn'!D:D, $D66, 'Data nguồn'!F:F, $B$1, 'Data nguồn'!C:C, E$3)</f>
      </c>
      <c r="F66" s="3">
        <f>SUMIFS('Data nguồn'!J:J, 'Data nguồn'!D:D, $D66, 'Data nguồn'!F:F, $B$1, 'Data nguồn'!C:C, F$3)</f>
      </c>
      <c r="G66" s="3">
        <f>SUMIFS('Data nguồn'!J:J, 'Data nguồn'!D:D, $D66, 'Data nguồn'!F:F, $B$1, 'Data nguồn'!C:C, G$3)</f>
      </c>
      <c r="H66" s="3">
        <f>SUMIFS('Data nguồn'!J:J, 'Data nguồn'!D:D, $D66, 'Data nguồn'!F:F, $B$1, 'Data nguồn'!C:C, H$3)</f>
      </c>
      <c r="I66" s="3">
        <f>SUMIFS('Data nguồn'!J:J, 'Data nguồn'!D:D, $D66, 'Data nguồn'!F:F, $B$1, 'Data nguồn'!C:C, I$3)</f>
      </c>
      <c r="J66" s="3">
        <f>SUMIFS('Data nguồn'!J:J, 'Data nguồn'!D:D, $D66, 'Data nguồn'!F:F, $B$1, 'Data nguồn'!C:C, J$3)</f>
      </c>
      <c r="K66" s="3">
        <f>SUMIFS('Data nguồn'!J:J, 'Data nguồn'!D:D, $D66, 'Data nguồn'!F:F, $B$1, 'Data nguồn'!C:C, K$3)</f>
      </c>
      <c r="L66" s="3">
        <f>SUMIFS('Data nguồn'!J:J, 'Data nguồn'!D:D, $D66, 'Data nguồn'!F:F, $B$1, 'Data nguồn'!C:C, L$3)</f>
      </c>
      <c r="M66" s="3">
        <f>SUMIFS('Data nguồn'!J:J, 'Data nguồn'!D:D, $D66, 'Data nguồn'!F:F, $B$1, 'Data nguồn'!C:C, M$3)</f>
      </c>
      <c r="N66" s="3">
        <f>SUMIFS('Data nguồn'!J:J, 'Data nguồn'!D:D, $D66, 'Data nguồn'!F:F, $B$1, 'Data nguồn'!C:C, N$3)</f>
      </c>
      <c r="O66" s="3">
        <f>SUMIFS('Data nguồn'!J:J, 'Data nguồn'!D:D, $D66, 'Data nguồn'!F:F, $B$1, 'Data nguồn'!C:C, O$3)</f>
      </c>
      <c r="P66" s="3">
        <f>SUMIFS('Data nguồn'!J:J, 'Data nguồn'!D:D, $D66, 'Data nguồn'!F:F, $B$1, 'Data nguồn'!C:C, P$3)</f>
      </c>
      <c r="Q66" s="3">
        <f>SUMIFS('Data nguồn'!J:J, 'Data nguồn'!D:D, $D66, 'Data nguồn'!F:F, $B$1, 'Data nguồn'!C:C, Q$3)</f>
      </c>
      <c r="R66" s="3">
        <f>SUMIFS('Data nguồn'!J:J, 'Data nguồn'!D:D, $D66, 'Data nguồn'!F:F, $B$1, 'Data nguồn'!C:C, R$3)</f>
      </c>
      <c r="S66" s="3">
        <f>SUMIFS('Data nguồn'!J:J, 'Data nguồn'!D:D, $D66, 'Data nguồn'!F:F, $B$1, 'Data nguồn'!C:C, S$3)</f>
      </c>
      <c r="T66" s="3">
        <f>SUMIFS('Data nguồn'!J:J, 'Data nguồn'!D:D, $D66, 'Data nguồn'!F:F, $B$1, 'Data nguồn'!C:C, T$3)</f>
      </c>
      <c r="U66" s="3">
        <f>SUMIFS('Data nguồn'!J:J, 'Data nguồn'!D:D, $D66, 'Data nguồn'!F:F, $B$1, 'Data nguồn'!C:C, U$3)</f>
      </c>
      <c r="W66" s="3">
        <f>SUM(E66:P66)</f>
      </c>
      <c r="X66" s="3">
        <f>SUM(Q66:U66)</f>
      </c>
      <c r="Y66" s="3">
        <f>AVERAGE(S66:U66)</f>
      </c>
      <c r="Z66" s="3">
        <f>AVERAGE(P66:U66)</f>
      </c>
      <c r="AA66" s="3">
        <f>AVERAGE(M66:U66)</f>
      </c>
      <c r="AB66" s="4">
        <f>IFERROR((Y66*2)/(Z66+AA66), 0)</f>
      </c>
      <c r="AC66" s="4">
        <f>IFERROR(X66/SUM(E66:I66), 0)</f>
      </c>
      <c r="AD66" s="4">
        <f>IFERROR(X66/SUM(E66:I66), 0)</f>
      </c>
      <c r="AE66" s="4">
        <f>IFERROR(U66/I66, 0)</f>
      </c>
    </row>
    <row r="67" ht="20" customHeight="1" spans="1:31" x14ac:dyDescent="0.25">
      <c r="A67">
        <v>64</v>
      </c>
      <c r="B67" t="s">
        <v>66</v>
      </c>
      <c r="C67" t="s">
        <v>141</v>
      </c>
      <c r="D67" s="2" t="s">
        <v>66</v>
      </c>
      <c r="E67" s="3">
        <f>SUMIFS('Data nguồn'!J:J, 'Data nguồn'!D:D, $D67, 'Data nguồn'!F:F, $B$1, 'Data nguồn'!C:C, E$3)</f>
      </c>
      <c r="F67" s="3">
        <f>SUMIFS('Data nguồn'!J:J, 'Data nguồn'!D:D, $D67, 'Data nguồn'!F:F, $B$1, 'Data nguồn'!C:C, F$3)</f>
      </c>
      <c r="G67" s="3">
        <f>SUMIFS('Data nguồn'!J:J, 'Data nguồn'!D:D, $D67, 'Data nguồn'!F:F, $B$1, 'Data nguồn'!C:C, G$3)</f>
      </c>
      <c r="H67" s="3">
        <f>SUMIFS('Data nguồn'!J:J, 'Data nguồn'!D:D, $D67, 'Data nguồn'!F:F, $B$1, 'Data nguồn'!C:C, H$3)</f>
      </c>
      <c r="I67" s="3">
        <f>SUMIFS('Data nguồn'!J:J, 'Data nguồn'!D:D, $D67, 'Data nguồn'!F:F, $B$1, 'Data nguồn'!C:C, I$3)</f>
      </c>
      <c r="J67" s="3">
        <f>SUMIFS('Data nguồn'!J:J, 'Data nguồn'!D:D, $D67, 'Data nguồn'!F:F, $B$1, 'Data nguồn'!C:C, J$3)</f>
      </c>
      <c r="K67" s="3">
        <f>SUMIFS('Data nguồn'!J:J, 'Data nguồn'!D:D, $D67, 'Data nguồn'!F:F, $B$1, 'Data nguồn'!C:C, K$3)</f>
      </c>
      <c r="L67" s="3">
        <f>SUMIFS('Data nguồn'!J:J, 'Data nguồn'!D:D, $D67, 'Data nguồn'!F:F, $B$1, 'Data nguồn'!C:C, L$3)</f>
      </c>
      <c r="M67" s="3">
        <f>SUMIFS('Data nguồn'!J:J, 'Data nguồn'!D:D, $D67, 'Data nguồn'!F:F, $B$1, 'Data nguồn'!C:C, M$3)</f>
      </c>
      <c r="N67" s="3">
        <f>SUMIFS('Data nguồn'!J:J, 'Data nguồn'!D:D, $D67, 'Data nguồn'!F:F, $B$1, 'Data nguồn'!C:C, N$3)</f>
      </c>
      <c r="O67" s="3">
        <f>SUMIFS('Data nguồn'!J:J, 'Data nguồn'!D:D, $D67, 'Data nguồn'!F:F, $B$1, 'Data nguồn'!C:C, O$3)</f>
      </c>
      <c r="P67" s="3">
        <f>SUMIFS('Data nguồn'!J:J, 'Data nguồn'!D:D, $D67, 'Data nguồn'!F:F, $B$1, 'Data nguồn'!C:C, P$3)</f>
      </c>
      <c r="Q67" s="3">
        <f>SUMIFS('Data nguồn'!J:J, 'Data nguồn'!D:D, $D67, 'Data nguồn'!F:F, $B$1, 'Data nguồn'!C:C, Q$3)</f>
      </c>
      <c r="R67" s="3">
        <f>SUMIFS('Data nguồn'!J:J, 'Data nguồn'!D:D, $D67, 'Data nguồn'!F:F, $B$1, 'Data nguồn'!C:C, R$3)</f>
      </c>
      <c r="S67" s="3">
        <f>SUMIFS('Data nguồn'!J:J, 'Data nguồn'!D:D, $D67, 'Data nguồn'!F:F, $B$1, 'Data nguồn'!C:C, S$3)</f>
      </c>
      <c r="T67" s="3">
        <f>SUMIFS('Data nguồn'!J:J, 'Data nguồn'!D:D, $D67, 'Data nguồn'!F:F, $B$1, 'Data nguồn'!C:C, T$3)</f>
      </c>
      <c r="U67" s="3">
        <f>SUMIFS('Data nguồn'!J:J, 'Data nguồn'!D:D, $D67, 'Data nguồn'!F:F, $B$1, 'Data nguồn'!C:C, U$3)</f>
      </c>
      <c r="W67" s="3">
        <f>SUM(E67:P67)</f>
      </c>
      <c r="X67" s="3">
        <f>SUM(Q67:U67)</f>
      </c>
      <c r="Y67" s="3">
        <f>AVERAGE(S67:U67)</f>
      </c>
      <c r="Z67" s="3">
        <f>AVERAGE(P67:U67)</f>
      </c>
      <c r="AA67" s="3">
        <f>AVERAGE(M67:U67)</f>
      </c>
      <c r="AB67" s="4">
        <f>IFERROR((Y67*2)/(Z67+AA67), 0)</f>
      </c>
      <c r="AC67" s="4">
        <f>IFERROR(X67/SUM(E67:I67), 0)</f>
      </c>
      <c r="AD67" s="4">
        <f>IFERROR(X67/SUM(E67:I67), 0)</f>
      </c>
      <c r="AE67" s="4">
        <f>IFERROR(U67/I67, 0)</f>
      </c>
    </row>
    <row r="68" ht="20" customHeight="1" spans="1:31" x14ac:dyDescent="0.25">
      <c r="A68">
        <v>65</v>
      </c>
      <c r="B68" t="s">
        <v>67</v>
      </c>
      <c r="C68" t="s">
        <v>141</v>
      </c>
      <c r="D68" s="2" t="s">
        <v>67</v>
      </c>
      <c r="E68" s="3">
        <f>SUMIFS('Data nguồn'!J:J, 'Data nguồn'!D:D, $D68, 'Data nguồn'!F:F, $B$1, 'Data nguồn'!C:C, E$3)</f>
      </c>
      <c r="F68" s="3">
        <f>SUMIFS('Data nguồn'!J:J, 'Data nguồn'!D:D, $D68, 'Data nguồn'!F:F, $B$1, 'Data nguồn'!C:C, F$3)</f>
      </c>
      <c r="G68" s="3">
        <f>SUMIFS('Data nguồn'!J:J, 'Data nguồn'!D:D, $D68, 'Data nguồn'!F:F, $B$1, 'Data nguồn'!C:C, G$3)</f>
      </c>
      <c r="H68" s="3">
        <f>SUMIFS('Data nguồn'!J:J, 'Data nguồn'!D:D, $D68, 'Data nguồn'!F:F, $B$1, 'Data nguồn'!C:C, H$3)</f>
      </c>
      <c r="I68" s="3">
        <f>SUMIFS('Data nguồn'!J:J, 'Data nguồn'!D:D, $D68, 'Data nguồn'!F:F, $B$1, 'Data nguồn'!C:C, I$3)</f>
      </c>
      <c r="J68" s="3">
        <f>SUMIFS('Data nguồn'!J:J, 'Data nguồn'!D:D, $D68, 'Data nguồn'!F:F, $B$1, 'Data nguồn'!C:C, J$3)</f>
      </c>
      <c r="K68" s="3">
        <f>SUMIFS('Data nguồn'!J:J, 'Data nguồn'!D:D, $D68, 'Data nguồn'!F:F, $B$1, 'Data nguồn'!C:C, K$3)</f>
      </c>
      <c r="L68" s="3">
        <f>SUMIFS('Data nguồn'!J:J, 'Data nguồn'!D:D, $D68, 'Data nguồn'!F:F, $B$1, 'Data nguồn'!C:C, L$3)</f>
      </c>
      <c r="M68" s="3">
        <f>SUMIFS('Data nguồn'!J:J, 'Data nguồn'!D:D, $D68, 'Data nguồn'!F:F, $B$1, 'Data nguồn'!C:C, M$3)</f>
      </c>
      <c r="N68" s="3">
        <f>SUMIFS('Data nguồn'!J:J, 'Data nguồn'!D:D, $D68, 'Data nguồn'!F:F, $B$1, 'Data nguồn'!C:C, N$3)</f>
      </c>
      <c r="O68" s="3">
        <f>SUMIFS('Data nguồn'!J:J, 'Data nguồn'!D:D, $D68, 'Data nguồn'!F:F, $B$1, 'Data nguồn'!C:C, O$3)</f>
      </c>
      <c r="P68" s="3">
        <f>SUMIFS('Data nguồn'!J:J, 'Data nguồn'!D:D, $D68, 'Data nguồn'!F:F, $B$1, 'Data nguồn'!C:C, P$3)</f>
      </c>
      <c r="Q68" s="3">
        <f>SUMIFS('Data nguồn'!J:J, 'Data nguồn'!D:D, $D68, 'Data nguồn'!F:F, $B$1, 'Data nguồn'!C:C, Q$3)</f>
      </c>
      <c r="R68" s="3">
        <f>SUMIFS('Data nguồn'!J:J, 'Data nguồn'!D:D, $D68, 'Data nguồn'!F:F, $B$1, 'Data nguồn'!C:C, R$3)</f>
      </c>
      <c r="S68" s="3">
        <f>SUMIFS('Data nguồn'!J:J, 'Data nguồn'!D:D, $D68, 'Data nguồn'!F:F, $B$1, 'Data nguồn'!C:C, S$3)</f>
      </c>
      <c r="T68" s="3">
        <f>SUMIFS('Data nguồn'!J:J, 'Data nguồn'!D:D, $D68, 'Data nguồn'!F:F, $B$1, 'Data nguồn'!C:C, T$3)</f>
      </c>
      <c r="U68" s="3">
        <f>SUMIFS('Data nguồn'!J:J, 'Data nguồn'!D:D, $D68, 'Data nguồn'!F:F, $B$1, 'Data nguồn'!C:C, U$3)</f>
      </c>
      <c r="W68" s="3">
        <f>SUM(E68:P68)</f>
      </c>
      <c r="X68" s="3">
        <f>SUM(Q68:U68)</f>
      </c>
      <c r="Y68" s="3">
        <f>AVERAGE(S68:U68)</f>
      </c>
      <c r="Z68" s="3">
        <f>AVERAGE(P68:U68)</f>
      </c>
      <c r="AA68" s="3">
        <f>AVERAGE(M68:U68)</f>
      </c>
      <c r="AB68" s="4">
        <f>IFERROR((Y68*2)/(Z68+AA68), 0)</f>
      </c>
      <c r="AC68" s="4">
        <f>IFERROR(X68/SUM(E68:I68), 0)</f>
      </c>
      <c r="AD68" s="4">
        <f>IFERROR(X68/SUM(E68:I68), 0)</f>
      </c>
      <c r="AE68" s="4">
        <f>IFERROR(U68/I68, 0)</f>
      </c>
    </row>
    <row r="69" ht="20" customHeight="1" spans="1:31" x14ac:dyDescent="0.25">
      <c r="A69">
        <v>66</v>
      </c>
      <c r="B69" t="s">
        <v>68</v>
      </c>
      <c r="C69" t="s">
        <v>141</v>
      </c>
      <c r="D69" s="2" t="s">
        <v>68</v>
      </c>
      <c r="E69" s="3">
        <f>SUMIFS('Data nguồn'!J:J, 'Data nguồn'!D:D, $D69, 'Data nguồn'!F:F, $B$1, 'Data nguồn'!C:C, E$3)</f>
      </c>
      <c r="F69" s="3">
        <f>SUMIFS('Data nguồn'!J:J, 'Data nguồn'!D:D, $D69, 'Data nguồn'!F:F, $B$1, 'Data nguồn'!C:C, F$3)</f>
      </c>
      <c r="G69" s="3">
        <f>SUMIFS('Data nguồn'!J:J, 'Data nguồn'!D:D, $D69, 'Data nguồn'!F:F, $B$1, 'Data nguồn'!C:C, G$3)</f>
      </c>
      <c r="H69" s="3">
        <f>SUMIFS('Data nguồn'!J:J, 'Data nguồn'!D:D, $D69, 'Data nguồn'!F:F, $B$1, 'Data nguồn'!C:C, H$3)</f>
      </c>
      <c r="I69" s="3">
        <f>SUMIFS('Data nguồn'!J:J, 'Data nguồn'!D:D, $D69, 'Data nguồn'!F:F, $B$1, 'Data nguồn'!C:C, I$3)</f>
      </c>
      <c r="J69" s="3">
        <f>SUMIFS('Data nguồn'!J:J, 'Data nguồn'!D:D, $D69, 'Data nguồn'!F:F, $B$1, 'Data nguồn'!C:C, J$3)</f>
      </c>
      <c r="K69" s="3">
        <f>SUMIFS('Data nguồn'!J:J, 'Data nguồn'!D:D, $D69, 'Data nguồn'!F:F, $B$1, 'Data nguồn'!C:C, K$3)</f>
      </c>
      <c r="L69" s="3">
        <f>SUMIFS('Data nguồn'!J:J, 'Data nguồn'!D:D, $D69, 'Data nguồn'!F:F, $B$1, 'Data nguồn'!C:C, L$3)</f>
      </c>
      <c r="M69" s="3">
        <f>SUMIFS('Data nguồn'!J:J, 'Data nguồn'!D:D, $D69, 'Data nguồn'!F:F, $B$1, 'Data nguồn'!C:C, M$3)</f>
      </c>
      <c r="N69" s="3">
        <f>SUMIFS('Data nguồn'!J:J, 'Data nguồn'!D:D, $D69, 'Data nguồn'!F:F, $B$1, 'Data nguồn'!C:C, N$3)</f>
      </c>
      <c r="O69" s="3">
        <f>SUMIFS('Data nguồn'!J:J, 'Data nguồn'!D:D, $D69, 'Data nguồn'!F:F, $B$1, 'Data nguồn'!C:C, O$3)</f>
      </c>
      <c r="P69" s="3">
        <f>SUMIFS('Data nguồn'!J:J, 'Data nguồn'!D:D, $D69, 'Data nguồn'!F:F, $B$1, 'Data nguồn'!C:C, P$3)</f>
      </c>
      <c r="Q69" s="3">
        <f>SUMIFS('Data nguồn'!J:J, 'Data nguồn'!D:D, $D69, 'Data nguồn'!F:F, $B$1, 'Data nguồn'!C:C, Q$3)</f>
      </c>
      <c r="R69" s="3">
        <f>SUMIFS('Data nguồn'!J:J, 'Data nguồn'!D:D, $D69, 'Data nguồn'!F:F, $B$1, 'Data nguồn'!C:C, R$3)</f>
      </c>
      <c r="S69" s="3">
        <f>SUMIFS('Data nguồn'!J:J, 'Data nguồn'!D:D, $D69, 'Data nguồn'!F:F, $B$1, 'Data nguồn'!C:C, S$3)</f>
      </c>
      <c r="T69" s="3">
        <f>SUMIFS('Data nguồn'!J:J, 'Data nguồn'!D:D, $D69, 'Data nguồn'!F:F, $B$1, 'Data nguồn'!C:C, T$3)</f>
      </c>
      <c r="U69" s="3">
        <f>SUMIFS('Data nguồn'!J:J, 'Data nguồn'!D:D, $D69, 'Data nguồn'!F:F, $B$1, 'Data nguồn'!C:C, U$3)</f>
      </c>
      <c r="W69" s="3">
        <f>SUM(E69:P69)</f>
      </c>
      <c r="X69" s="3">
        <f>SUM(Q69:U69)</f>
      </c>
      <c r="Y69" s="3">
        <f>AVERAGE(S69:U69)</f>
      </c>
      <c r="Z69" s="3">
        <f>AVERAGE(P69:U69)</f>
      </c>
      <c r="AA69" s="3">
        <f>AVERAGE(M69:U69)</f>
      </c>
      <c r="AB69" s="4">
        <f>IFERROR((Y69*2)/(Z69+AA69), 0)</f>
      </c>
      <c r="AC69" s="4">
        <f>IFERROR(X69/SUM(E69:I69), 0)</f>
      </c>
      <c r="AD69" s="4">
        <f>IFERROR(X69/SUM(E69:I69), 0)</f>
      </c>
      <c r="AE69" s="4">
        <f>IFERROR(U69/I69, 0)</f>
      </c>
    </row>
    <row r="70" ht="20" customHeight="1" spans="1:31" x14ac:dyDescent="0.25">
      <c r="A70">
        <v>67</v>
      </c>
      <c r="B70" t="s">
        <v>69</v>
      </c>
      <c r="C70" t="s">
        <v>141</v>
      </c>
      <c r="D70" s="2" t="s">
        <v>69</v>
      </c>
      <c r="E70" s="3">
        <f>SUMIFS('Data nguồn'!J:J, 'Data nguồn'!D:D, $D70, 'Data nguồn'!F:F, $B$1, 'Data nguồn'!C:C, E$3)</f>
      </c>
      <c r="F70" s="3">
        <f>SUMIFS('Data nguồn'!J:J, 'Data nguồn'!D:D, $D70, 'Data nguồn'!F:F, $B$1, 'Data nguồn'!C:C, F$3)</f>
      </c>
      <c r="G70" s="3">
        <f>SUMIFS('Data nguồn'!J:J, 'Data nguồn'!D:D, $D70, 'Data nguồn'!F:F, $B$1, 'Data nguồn'!C:C, G$3)</f>
      </c>
      <c r="H70" s="3">
        <f>SUMIFS('Data nguồn'!J:J, 'Data nguồn'!D:D, $D70, 'Data nguồn'!F:F, $B$1, 'Data nguồn'!C:C, H$3)</f>
      </c>
      <c r="I70" s="3">
        <f>SUMIFS('Data nguồn'!J:J, 'Data nguồn'!D:D, $D70, 'Data nguồn'!F:F, $B$1, 'Data nguồn'!C:C, I$3)</f>
      </c>
      <c r="J70" s="3">
        <f>SUMIFS('Data nguồn'!J:J, 'Data nguồn'!D:D, $D70, 'Data nguồn'!F:F, $B$1, 'Data nguồn'!C:C, J$3)</f>
      </c>
      <c r="K70" s="3">
        <f>SUMIFS('Data nguồn'!J:J, 'Data nguồn'!D:D, $D70, 'Data nguồn'!F:F, $B$1, 'Data nguồn'!C:C, K$3)</f>
      </c>
      <c r="L70" s="3">
        <f>SUMIFS('Data nguồn'!J:J, 'Data nguồn'!D:D, $D70, 'Data nguồn'!F:F, $B$1, 'Data nguồn'!C:C, L$3)</f>
      </c>
      <c r="M70" s="3">
        <f>SUMIFS('Data nguồn'!J:J, 'Data nguồn'!D:D, $D70, 'Data nguồn'!F:F, $B$1, 'Data nguồn'!C:C, M$3)</f>
      </c>
      <c r="N70" s="3">
        <f>SUMIFS('Data nguồn'!J:J, 'Data nguồn'!D:D, $D70, 'Data nguồn'!F:F, $B$1, 'Data nguồn'!C:C, N$3)</f>
      </c>
      <c r="O70" s="3">
        <f>SUMIFS('Data nguồn'!J:J, 'Data nguồn'!D:D, $D70, 'Data nguồn'!F:F, $B$1, 'Data nguồn'!C:C, O$3)</f>
      </c>
      <c r="P70" s="3">
        <f>SUMIFS('Data nguồn'!J:J, 'Data nguồn'!D:D, $D70, 'Data nguồn'!F:F, $B$1, 'Data nguồn'!C:C, P$3)</f>
      </c>
      <c r="Q70" s="3">
        <f>SUMIFS('Data nguồn'!J:J, 'Data nguồn'!D:D, $D70, 'Data nguồn'!F:F, $B$1, 'Data nguồn'!C:C, Q$3)</f>
      </c>
      <c r="R70" s="3">
        <f>SUMIFS('Data nguồn'!J:J, 'Data nguồn'!D:D, $D70, 'Data nguồn'!F:F, $B$1, 'Data nguồn'!C:C, R$3)</f>
      </c>
      <c r="S70" s="3">
        <f>SUMIFS('Data nguồn'!J:J, 'Data nguồn'!D:D, $D70, 'Data nguồn'!F:F, $B$1, 'Data nguồn'!C:C, S$3)</f>
      </c>
      <c r="T70" s="3">
        <f>SUMIFS('Data nguồn'!J:J, 'Data nguồn'!D:D, $D70, 'Data nguồn'!F:F, $B$1, 'Data nguồn'!C:C, T$3)</f>
      </c>
      <c r="U70" s="3">
        <f>SUMIFS('Data nguồn'!J:J, 'Data nguồn'!D:D, $D70, 'Data nguồn'!F:F, $B$1, 'Data nguồn'!C:C, U$3)</f>
      </c>
      <c r="W70" s="3">
        <f>SUM(E70:P70)</f>
      </c>
      <c r="X70" s="3">
        <f>SUM(Q70:U70)</f>
      </c>
      <c r="Y70" s="3">
        <f>AVERAGE(S70:U70)</f>
      </c>
      <c r="Z70" s="3">
        <f>AVERAGE(P70:U70)</f>
      </c>
      <c r="AA70" s="3">
        <f>AVERAGE(M70:U70)</f>
      </c>
      <c r="AB70" s="4">
        <f>IFERROR((Y70*2)/(Z70+AA70), 0)</f>
      </c>
      <c r="AC70" s="4">
        <f>IFERROR(X70/SUM(E70:I70), 0)</f>
      </c>
      <c r="AD70" s="4">
        <f>IFERROR(X70/SUM(E70:I70), 0)</f>
      </c>
      <c r="AE70" s="4">
        <f>IFERROR(U70/I70, 0)</f>
      </c>
    </row>
    <row r="71" ht="20" customHeight="1" spans="1:31" x14ac:dyDescent="0.25">
      <c r="A71">
        <v>68</v>
      </c>
      <c r="B71" t="s">
        <v>70</v>
      </c>
      <c r="C71" t="s">
        <v>141</v>
      </c>
      <c r="D71" s="2" t="s">
        <v>70</v>
      </c>
      <c r="E71" s="3">
        <f>SUMIFS('Data nguồn'!J:J, 'Data nguồn'!D:D, $D71, 'Data nguồn'!F:F, $B$1, 'Data nguồn'!C:C, E$3)</f>
      </c>
      <c r="F71" s="3">
        <f>SUMIFS('Data nguồn'!J:J, 'Data nguồn'!D:D, $D71, 'Data nguồn'!F:F, $B$1, 'Data nguồn'!C:C, F$3)</f>
      </c>
      <c r="G71" s="3">
        <f>SUMIFS('Data nguồn'!J:J, 'Data nguồn'!D:D, $D71, 'Data nguồn'!F:F, $B$1, 'Data nguồn'!C:C, G$3)</f>
      </c>
      <c r="H71" s="3">
        <f>SUMIFS('Data nguồn'!J:J, 'Data nguồn'!D:D, $D71, 'Data nguồn'!F:F, $B$1, 'Data nguồn'!C:C, H$3)</f>
      </c>
      <c r="I71" s="3">
        <f>SUMIFS('Data nguồn'!J:J, 'Data nguồn'!D:D, $D71, 'Data nguồn'!F:F, $B$1, 'Data nguồn'!C:C, I$3)</f>
      </c>
      <c r="J71" s="3">
        <f>SUMIFS('Data nguồn'!J:J, 'Data nguồn'!D:D, $D71, 'Data nguồn'!F:F, $B$1, 'Data nguồn'!C:C, J$3)</f>
      </c>
      <c r="K71" s="3">
        <f>SUMIFS('Data nguồn'!J:J, 'Data nguồn'!D:D, $D71, 'Data nguồn'!F:F, $B$1, 'Data nguồn'!C:C, K$3)</f>
      </c>
      <c r="L71" s="3">
        <f>SUMIFS('Data nguồn'!J:J, 'Data nguồn'!D:D, $D71, 'Data nguồn'!F:F, $B$1, 'Data nguồn'!C:C, L$3)</f>
      </c>
      <c r="M71" s="3">
        <f>SUMIFS('Data nguồn'!J:J, 'Data nguồn'!D:D, $D71, 'Data nguồn'!F:F, $B$1, 'Data nguồn'!C:C, M$3)</f>
      </c>
      <c r="N71" s="3">
        <f>SUMIFS('Data nguồn'!J:J, 'Data nguồn'!D:D, $D71, 'Data nguồn'!F:F, $B$1, 'Data nguồn'!C:C, N$3)</f>
      </c>
      <c r="O71" s="3">
        <f>SUMIFS('Data nguồn'!J:J, 'Data nguồn'!D:D, $D71, 'Data nguồn'!F:F, $B$1, 'Data nguồn'!C:C, O$3)</f>
      </c>
      <c r="P71" s="3">
        <f>SUMIFS('Data nguồn'!J:J, 'Data nguồn'!D:D, $D71, 'Data nguồn'!F:F, $B$1, 'Data nguồn'!C:C, P$3)</f>
      </c>
      <c r="Q71" s="3">
        <f>SUMIFS('Data nguồn'!J:J, 'Data nguồn'!D:D, $D71, 'Data nguồn'!F:F, $B$1, 'Data nguồn'!C:C, Q$3)</f>
      </c>
      <c r="R71" s="3">
        <f>SUMIFS('Data nguồn'!J:J, 'Data nguồn'!D:D, $D71, 'Data nguồn'!F:F, $B$1, 'Data nguồn'!C:C, R$3)</f>
      </c>
      <c r="S71" s="3">
        <f>SUMIFS('Data nguồn'!J:J, 'Data nguồn'!D:D, $D71, 'Data nguồn'!F:F, $B$1, 'Data nguồn'!C:C, S$3)</f>
      </c>
      <c r="T71" s="3">
        <f>SUMIFS('Data nguồn'!J:J, 'Data nguồn'!D:D, $D71, 'Data nguồn'!F:F, $B$1, 'Data nguồn'!C:C, T$3)</f>
      </c>
      <c r="U71" s="3">
        <f>SUMIFS('Data nguồn'!J:J, 'Data nguồn'!D:D, $D71, 'Data nguồn'!F:F, $B$1, 'Data nguồn'!C:C, U$3)</f>
      </c>
      <c r="W71" s="3">
        <f>SUM(E71:P71)</f>
      </c>
      <c r="X71" s="3">
        <f>SUM(Q71:U71)</f>
      </c>
      <c r="Y71" s="3">
        <f>AVERAGE(S71:U71)</f>
      </c>
      <c r="Z71" s="3">
        <f>AVERAGE(P71:U71)</f>
      </c>
      <c r="AA71" s="3">
        <f>AVERAGE(M71:U71)</f>
      </c>
      <c r="AB71" s="4">
        <f>IFERROR((Y71*2)/(Z71+AA71), 0)</f>
      </c>
      <c r="AC71" s="4">
        <f>IFERROR(X71/SUM(E71:I71), 0)</f>
      </c>
      <c r="AD71" s="4">
        <f>IFERROR(X71/SUM(E71:I71), 0)</f>
      </c>
      <c r="AE71" s="4">
        <f>IFERROR(U71/I71, 0)</f>
      </c>
    </row>
    <row r="72" ht="20" customHeight="1" spans="1:31" x14ac:dyDescent="0.25">
      <c r="A72">
        <v>69</v>
      </c>
      <c r="B72" t="s">
        <v>71</v>
      </c>
      <c r="C72" t="s">
        <v>141</v>
      </c>
      <c r="D72" s="2" t="s">
        <v>71</v>
      </c>
      <c r="E72" s="3">
        <f>SUMIFS('Data nguồn'!J:J, 'Data nguồn'!D:D, $D72, 'Data nguồn'!F:F, $B$1, 'Data nguồn'!C:C, E$3)</f>
      </c>
      <c r="F72" s="3">
        <f>SUMIFS('Data nguồn'!J:J, 'Data nguồn'!D:D, $D72, 'Data nguồn'!F:F, $B$1, 'Data nguồn'!C:C, F$3)</f>
      </c>
      <c r="G72" s="3">
        <f>SUMIFS('Data nguồn'!J:J, 'Data nguồn'!D:D, $D72, 'Data nguồn'!F:F, $B$1, 'Data nguồn'!C:C, G$3)</f>
      </c>
      <c r="H72" s="3">
        <f>SUMIFS('Data nguồn'!J:J, 'Data nguồn'!D:D, $D72, 'Data nguồn'!F:F, $B$1, 'Data nguồn'!C:C, H$3)</f>
      </c>
      <c r="I72" s="3">
        <f>SUMIFS('Data nguồn'!J:J, 'Data nguồn'!D:D, $D72, 'Data nguồn'!F:F, $B$1, 'Data nguồn'!C:C, I$3)</f>
      </c>
      <c r="J72" s="3">
        <f>SUMIFS('Data nguồn'!J:J, 'Data nguồn'!D:D, $D72, 'Data nguồn'!F:F, $B$1, 'Data nguồn'!C:C, J$3)</f>
      </c>
      <c r="K72" s="3">
        <f>SUMIFS('Data nguồn'!J:J, 'Data nguồn'!D:D, $D72, 'Data nguồn'!F:F, $B$1, 'Data nguồn'!C:C, K$3)</f>
      </c>
      <c r="L72" s="3">
        <f>SUMIFS('Data nguồn'!J:J, 'Data nguồn'!D:D, $D72, 'Data nguồn'!F:F, $B$1, 'Data nguồn'!C:C, L$3)</f>
      </c>
      <c r="M72" s="3">
        <f>SUMIFS('Data nguồn'!J:J, 'Data nguồn'!D:D, $D72, 'Data nguồn'!F:F, $B$1, 'Data nguồn'!C:C, M$3)</f>
      </c>
      <c r="N72" s="3">
        <f>SUMIFS('Data nguồn'!J:J, 'Data nguồn'!D:D, $D72, 'Data nguồn'!F:F, $B$1, 'Data nguồn'!C:C, N$3)</f>
      </c>
      <c r="O72" s="3">
        <f>SUMIFS('Data nguồn'!J:J, 'Data nguồn'!D:D, $D72, 'Data nguồn'!F:F, $B$1, 'Data nguồn'!C:C, O$3)</f>
      </c>
      <c r="P72" s="3">
        <f>SUMIFS('Data nguồn'!J:J, 'Data nguồn'!D:D, $D72, 'Data nguồn'!F:F, $B$1, 'Data nguồn'!C:C, P$3)</f>
      </c>
      <c r="Q72" s="3">
        <f>SUMIFS('Data nguồn'!J:J, 'Data nguồn'!D:D, $D72, 'Data nguồn'!F:F, $B$1, 'Data nguồn'!C:C, Q$3)</f>
      </c>
      <c r="R72" s="3">
        <f>SUMIFS('Data nguồn'!J:J, 'Data nguồn'!D:D, $D72, 'Data nguồn'!F:F, $B$1, 'Data nguồn'!C:C, R$3)</f>
      </c>
      <c r="S72" s="3">
        <f>SUMIFS('Data nguồn'!J:J, 'Data nguồn'!D:D, $D72, 'Data nguồn'!F:F, $B$1, 'Data nguồn'!C:C, S$3)</f>
      </c>
      <c r="T72" s="3">
        <f>SUMIFS('Data nguồn'!J:J, 'Data nguồn'!D:D, $D72, 'Data nguồn'!F:F, $B$1, 'Data nguồn'!C:C, T$3)</f>
      </c>
      <c r="U72" s="3">
        <f>SUMIFS('Data nguồn'!J:J, 'Data nguồn'!D:D, $D72, 'Data nguồn'!F:F, $B$1, 'Data nguồn'!C:C, U$3)</f>
      </c>
      <c r="W72" s="3">
        <f>SUM(E72:P72)</f>
      </c>
      <c r="X72" s="3">
        <f>SUM(Q72:U72)</f>
      </c>
      <c r="Y72" s="3">
        <f>AVERAGE(S72:U72)</f>
      </c>
      <c r="Z72" s="3">
        <f>AVERAGE(P72:U72)</f>
      </c>
      <c r="AA72" s="3">
        <f>AVERAGE(M72:U72)</f>
      </c>
      <c r="AB72" s="4">
        <f>IFERROR((Y72*2)/(Z72+AA72), 0)</f>
      </c>
      <c r="AC72" s="4">
        <f>IFERROR(X72/SUM(E72:I72), 0)</f>
      </c>
      <c r="AD72" s="4">
        <f>IFERROR(X72/SUM(E72:I72), 0)</f>
      </c>
      <c r="AE72" s="4">
        <f>IFERROR(U72/I72, 0)</f>
      </c>
    </row>
    <row r="73" ht="20" customHeight="1" spans="1:31" x14ac:dyDescent="0.25">
      <c r="A73">
        <v>70</v>
      </c>
      <c r="B73" t="s">
        <v>72</v>
      </c>
      <c r="C73" t="s">
        <v>141</v>
      </c>
      <c r="D73" s="2" t="s">
        <v>72</v>
      </c>
      <c r="E73" s="3">
        <f>SUMIFS('Data nguồn'!J:J, 'Data nguồn'!D:D, $D73, 'Data nguồn'!F:F, $B$1, 'Data nguồn'!C:C, E$3)</f>
      </c>
      <c r="F73" s="3">
        <f>SUMIFS('Data nguồn'!J:J, 'Data nguồn'!D:D, $D73, 'Data nguồn'!F:F, $B$1, 'Data nguồn'!C:C, F$3)</f>
      </c>
      <c r="G73" s="3">
        <f>SUMIFS('Data nguồn'!J:J, 'Data nguồn'!D:D, $D73, 'Data nguồn'!F:F, $B$1, 'Data nguồn'!C:C, G$3)</f>
      </c>
      <c r="H73" s="3">
        <f>SUMIFS('Data nguồn'!J:J, 'Data nguồn'!D:D, $D73, 'Data nguồn'!F:F, $B$1, 'Data nguồn'!C:C, H$3)</f>
      </c>
      <c r="I73" s="3">
        <f>SUMIFS('Data nguồn'!J:J, 'Data nguồn'!D:D, $D73, 'Data nguồn'!F:F, $B$1, 'Data nguồn'!C:C, I$3)</f>
      </c>
      <c r="J73" s="3">
        <f>SUMIFS('Data nguồn'!J:J, 'Data nguồn'!D:D, $D73, 'Data nguồn'!F:F, $B$1, 'Data nguồn'!C:C, J$3)</f>
      </c>
      <c r="K73" s="3">
        <f>SUMIFS('Data nguồn'!J:J, 'Data nguồn'!D:D, $D73, 'Data nguồn'!F:F, $B$1, 'Data nguồn'!C:C, K$3)</f>
      </c>
      <c r="L73" s="3">
        <f>SUMIFS('Data nguồn'!J:J, 'Data nguồn'!D:D, $D73, 'Data nguồn'!F:F, $B$1, 'Data nguồn'!C:C, L$3)</f>
      </c>
      <c r="M73" s="3">
        <f>SUMIFS('Data nguồn'!J:J, 'Data nguồn'!D:D, $D73, 'Data nguồn'!F:F, $B$1, 'Data nguồn'!C:C, M$3)</f>
      </c>
      <c r="N73" s="3">
        <f>SUMIFS('Data nguồn'!J:J, 'Data nguồn'!D:D, $D73, 'Data nguồn'!F:F, $B$1, 'Data nguồn'!C:C, N$3)</f>
      </c>
      <c r="O73" s="3">
        <f>SUMIFS('Data nguồn'!J:J, 'Data nguồn'!D:D, $D73, 'Data nguồn'!F:F, $B$1, 'Data nguồn'!C:C, O$3)</f>
      </c>
      <c r="P73" s="3">
        <f>SUMIFS('Data nguồn'!J:J, 'Data nguồn'!D:D, $D73, 'Data nguồn'!F:F, $B$1, 'Data nguồn'!C:C, P$3)</f>
      </c>
      <c r="Q73" s="3">
        <f>SUMIFS('Data nguồn'!J:J, 'Data nguồn'!D:D, $D73, 'Data nguồn'!F:F, $B$1, 'Data nguồn'!C:C, Q$3)</f>
      </c>
      <c r="R73" s="3">
        <f>SUMIFS('Data nguồn'!J:J, 'Data nguồn'!D:D, $D73, 'Data nguồn'!F:F, $B$1, 'Data nguồn'!C:C, R$3)</f>
      </c>
      <c r="S73" s="3">
        <f>SUMIFS('Data nguồn'!J:J, 'Data nguồn'!D:D, $D73, 'Data nguồn'!F:F, $B$1, 'Data nguồn'!C:C, S$3)</f>
      </c>
      <c r="T73" s="3">
        <f>SUMIFS('Data nguồn'!J:J, 'Data nguồn'!D:D, $D73, 'Data nguồn'!F:F, $B$1, 'Data nguồn'!C:C, T$3)</f>
      </c>
      <c r="U73" s="3">
        <f>SUMIFS('Data nguồn'!J:J, 'Data nguồn'!D:D, $D73, 'Data nguồn'!F:F, $B$1, 'Data nguồn'!C:C, U$3)</f>
      </c>
      <c r="W73" s="3">
        <f>SUM(E73:P73)</f>
      </c>
      <c r="X73" s="3">
        <f>SUM(Q73:U73)</f>
      </c>
      <c r="Y73" s="3">
        <f>AVERAGE(S73:U73)</f>
      </c>
      <c r="Z73" s="3">
        <f>AVERAGE(P73:U73)</f>
      </c>
      <c r="AA73" s="3">
        <f>AVERAGE(M73:U73)</f>
      </c>
      <c r="AB73" s="4">
        <f>IFERROR((Y73*2)/(Z73+AA73), 0)</f>
      </c>
      <c r="AC73" s="4">
        <f>IFERROR(X73/SUM(E73:I73), 0)</f>
      </c>
      <c r="AD73" s="4">
        <f>IFERROR(X73/SUM(E73:I73), 0)</f>
      </c>
      <c r="AE73" s="4">
        <f>IFERROR(U73/I73, 0)</f>
      </c>
    </row>
    <row r="74" ht="20" customHeight="1" spans="1:31" x14ac:dyDescent="0.25">
      <c r="A74">
        <v>71</v>
      </c>
      <c r="B74" t="s">
        <v>73</v>
      </c>
      <c r="C74" t="s">
        <v>141</v>
      </c>
      <c r="D74" s="2" t="s">
        <v>73</v>
      </c>
      <c r="E74" s="3">
        <f>SUMIFS('Data nguồn'!J:J, 'Data nguồn'!D:D, $D74, 'Data nguồn'!F:F, $B$1, 'Data nguồn'!C:C, E$3)</f>
      </c>
      <c r="F74" s="3">
        <f>SUMIFS('Data nguồn'!J:J, 'Data nguồn'!D:D, $D74, 'Data nguồn'!F:F, $B$1, 'Data nguồn'!C:C, F$3)</f>
      </c>
      <c r="G74" s="3">
        <f>SUMIFS('Data nguồn'!J:J, 'Data nguồn'!D:D, $D74, 'Data nguồn'!F:F, $B$1, 'Data nguồn'!C:C, G$3)</f>
      </c>
      <c r="H74" s="3">
        <f>SUMIFS('Data nguồn'!J:J, 'Data nguồn'!D:D, $D74, 'Data nguồn'!F:F, $B$1, 'Data nguồn'!C:C, H$3)</f>
      </c>
      <c r="I74" s="3">
        <f>SUMIFS('Data nguồn'!J:J, 'Data nguồn'!D:D, $D74, 'Data nguồn'!F:F, $B$1, 'Data nguồn'!C:C, I$3)</f>
      </c>
      <c r="J74" s="3">
        <f>SUMIFS('Data nguồn'!J:J, 'Data nguồn'!D:D, $D74, 'Data nguồn'!F:F, $B$1, 'Data nguồn'!C:C, J$3)</f>
      </c>
      <c r="K74" s="3">
        <f>SUMIFS('Data nguồn'!J:J, 'Data nguồn'!D:D, $D74, 'Data nguồn'!F:F, $B$1, 'Data nguồn'!C:C, K$3)</f>
      </c>
      <c r="L74" s="3">
        <f>SUMIFS('Data nguồn'!J:J, 'Data nguồn'!D:D, $D74, 'Data nguồn'!F:F, $B$1, 'Data nguồn'!C:C, L$3)</f>
      </c>
      <c r="M74" s="3">
        <f>SUMIFS('Data nguồn'!J:J, 'Data nguồn'!D:D, $D74, 'Data nguồn'!F:F, $B$1, 'Data nguồn'!C:C, M$3)</f>
      </c>
      <c r="N74" s="3">
        <f>SUMIFS('Data nguồn'!J:J, 'Data nguồn'!D:D, $D74, 'Data nguồn'!F:F, $B$1, 'Data nguồn'!C:C, N$3)</f>
      </c>
      <c r="O74" s="3">
        <f>SUMIFS('Data nguồn'!J:J, 'Data nguồn'!D:D, $D74, 'Data nguồn'!F:F, $B$1, 'Data nguồn'!C:C, O$3)</f>
      </c>
      <c r="P74" s="3">
        <f>SUMIFS('Data nguồn'!J:J, 'Data nguồn'!D:D, $D74, 'Data nguồn'!F:F, $B$1, 'Data nguồn'!C:C, P$3)</f>
      </c>
      <c r="Q74" s="3">
        <f>SUMIFS('Data nguồn'!J:J, 'Data nguồn'!D:D, $D74, 'Data nguồn'!F:F, $B$1, 'Data nguồn'!C:C, Q$3)</f>
      </c>
      <c r="R74" s="3">
        <f>SUMIFS('Data nguồn'!J:J, 'Data nguồn'!D:D, $D74, 'Data nguồn'!F:F, $B$1, 'Data nguồn'!C:C, R$3)</f>
      </c>
      <c r="S74" s="3">
        <f>SUMIFS('Data nguồn'!J:J, 'Data nguồn'!D:D, $D74, 'Data nguồn'!F:F, $B$1, 'Data nguồn'!C:C, S$3)</f>
      </c>
      <c r="T74" s="3">
        <f>SUMIFS('Data nguồn'!J:J, 'Data nguồn'!D:D, $D74, 'Data nguồn'!F:F, $B$1, 'Data nguồn'!C:C, T$3)</f>
      </c>
      <c r="U74" s="3">
        <f>SUMIFS('Data nguồn'!J:J, 'Data nguồn'!D:D, $D74, 'Data nguồn'!F:F, $B$1, 'Data nguồn'!C:C, U$3)</f>
      </c>
      <c r="W74" s="3">
        <f>SUM(E74:P74)</f>
      </c>
      <c r="X74" s="3">
        <f>SUM(Q74:U74)</f>
      </c>
      <c r="Y74" s="3">
        <f>AVERAGE(S74:U74)</f>
      </c>
      <c r="Z74" s="3">
        <f>AVERAGE(P74:U74)</f>
      </c>
      <c r="AA74" s="3">
        <f>AVERAGE(M74:U74)</f>
      </c>
      <c r="AB74" s="4">
        <f>IFERROR((Y74*2)/(Z74+AA74), 0)</f>
      </c>
      <c r="AC74" s="4">
        <f>IFERROR(X74/SUM(E74:I74), 0)</f>
      </c>
      <c r="AD74" s="4">
        <f>IFERROR(X74/SUM(E74:I74), 0)</f>
      </c>
      <c r="AE74" s="4">
        <f>IFERROR(U74/I74, 0)</f>
      </c>
    </row>
    <row r="75" ht="20" customHeight="1" spans="1:31" x14ac:dyDescent="0.25">
      <c r="A75">
        <v>72</v>
      </c>
      <c r="B75" t="s">
        <v>74</v>
      </c>
      <c r="C75" t="s">
        <v>141</v>
      </c>
      <c r="D75" s="2" t="s">
        <v>74</v>
      </c>
      <c r="E75" s="3">
        <f>SUMIFS('Data nguồn'!J:J, 'Data nguồn'!D:D, $D75, 'Data nguồn'!F:F, $B$1, 'Data nguồn'!C:C, E$3)</f>
      </c>
      <c r="F75" s="3">
        <f>SUMIFS('Data nguồn'!J:J, 'Data nguồn'!D:D, $D75, 'Data nguồn'!F:F, $B$1, 'Data nguồn'!C:C, F$3)</f>
      </c>
      <c r="G75" s="3">
        <f>SUMIFS('Data nguồn'!J:J, 'Data nguồn'!D:D, $D75, 'Data nguồn'!F:F, $B$1, 'Data nguồn'!C:C, G$3)</f>
      </c>
      <c r="H75" s="3">
        <f>SUMIFS('Data nguồn'!J:J, 'Data nguồn'!D:D, $D75, 'Data nguồn'!F:F, $B$1, 'Data nguồn'!C:C, H$3)</f>
      </c>
      <c r="I75" s="3">
        <f>SUMIFS('Data nguồn'!J:J, 'Data nguồn'!D:D, $D75, 'Data nguồn'!F:F, $B$1, 'Data nguồn'!C:C, I$3)</f>
      </c>
      <c r="J75" s="3">
        <f>SUMIFS('Data nguồn'!J:J, 'Data nguồn'!D:D, $D75, 'Data nguồn'!F:F, $B$1, 'Data nguồn'!C:C, J$3)</f>
      </c>
      <c r="K75" s="3">
        <f>SUMIFS('Data nguồn'!J:J, 'Data nguồn'!D:D, $D75, 'Data nguồn'!F:F, $B$1, 'Data nguồn'!C:C, K$3)</f>
      </c>
      <c r="L75" s="3">
        <f>SUMIFS('Data nguồn'!J:J, 'Data nguồn'!D:D, $D75, 'Data nguồn'!F:F, $B$1, 'Data nguồn'!C:C, L$3)</f>
      </c>
      <c r="M75" s="3">
        <f>SUMIFS('Data nguồn'!J:J, 'Data nguồn'!D:D, $D75, 'Data nguồn'!F:F, $B$1, 'Data nguồn'!C:C, M$3)</f>
      </c>
      <c r="N75" s="3">
        <f>SUMIFS('Data nguồn'!J:J, 'Data nguồn'!D:D, $D75, 'Data nguồn'!F:F, $B$1, 'Data nguồn'!C:C, N$3)</f>
      </c>
      <c r="O75" s="3">
        <f>SUMIFS('Data nguồn'!J:J, 'Data nguồn'!D:D, $D75, 'Data nguồn'!F:F, $B$1, 'Data nguồn'!C:C, O$3)</f>
      </c>
      <c r="P75" s="3">
        <f>SUMIFS('Data nguồn'!J:J, 'Data nguồn'!D:D, $D75, 'Data nguồn'!F:F, $B$1, 'Data nguồn'!C:C, P$3)</f>
      </c>
      <c r="Q75" s="3">
        <f>SUMIFS('Data nguồn'!J:J, 'Data nguồn'!D:D, $D75, 'Data nguồn'!F:F, $B$1, 'Data nguồn'!C:C, Q$3)</f>
      </c>
      <c r="R75" s="3">
        <f>SUMIFS('Data nguồn'!J:J, 'Data nguồn'!D:D, $D75, 'Data nguồn'!F:F, $B$1, 'Data nguồn'!C:C, R$3)</f>
      </c>
      <c r="S75" s="3">
        <f>SUMIFS('Data nguồn'!J:J, 'Data nguồn'!D:D, $D75, 'Data nguồn'!F:F, $B$1, 'Data nguồn'!C:C, S$3)</f>
      </c>
      <c r="T75" s="3">
        <f>SUMIFS('Data nguồn'!J:J, 'Data nguồn'!D:D, $D75, 'Data nguồn'!F:F, $B$1, 'Data nguồn'!C:C, T$3)</f>
      </c>
      <c r="U75" s="3">
        <f>SUMIFS('Data nguồn'!J:J, 'Data nguồn'!D:D, $D75, 'Data nguồn'!F:F, $B$1, 'Data nguồn'!C:C, U$3)</f>
      </c>
      <c r="W75" s="3">
        <f>SUM(E75:P75)</f>
      </c>
      <c r="X75" s="3">
        <f>SUM(Q75:U75)</f>
      </c>
      <c r="Y75" s="3">
        <f>AVERAGE(S75:U75)</f>
      </c>
      <c r="Z75" s="3">
        <f>AVERAGE(P75:U75)</f>
      </c>
      <c r="AA75" s="3">
        <f>AVERAGE(M75:U75)</f>
      </c>
      <c r="AB75" s="4">
        <f>IFERROR((Y75*2)/(Z75+AA75), 0)</f>
      </c>
      <c r="AC75" s="4">
        <f>IFERROR(X75/SUM(E75:I75), 0)</f>
      </c>
      <c r="AD75" s="4">
        <f>IFERROR(X75/SUM(E75:I75), 0)</f>
      </c>
      <c r="AE75" s="4">
        <f>IFERROR(U75/I75, 0)</f>
      </c>
    </row>
    <row r="76" ht="20" customHeight="1" spans="1:31" x14ac:dyDescent="0.25">
      <c r="A76">
        <v>73</v>
      </c>
      <c r="B76" t="s">
        <v>75</v>
      </c>
      <c r="C76" t="s">
        <v>141</v>
      </c>
      <c r="D76" s="2" t="s">
        <v>75</v>
      </c>
      <c r="E76" s="3">
        <f>SUMIFS('Data nguồn'!J:J, 'Data nguồn'!D:D, $D76, 'Data nguồn'!F:F, $B$1, 'Data nguồn'!C:C, E$3)</f>
      </c>
      <c r="F76" s="3">
        <f>SUMIFS('Data nguồn'!J:J, 'Data nguồn'!D:D, $D76, 'Data nguồn'!F:F, $B$1, 'Data nguồn'!C:C, F$3)</f>
      </c>
      <c r="G76" s="3">
        <f>SUMIFS('Data nguồn'!J:J, 'Data nguồn'!D:D, $D76, 'Data nguồn'!F:F, $B$1, 'Data nguồn'!C:C, G$3)</f>
      </c>
      <c r="H76" s="3">
        <f>SUMIFS('Data nguồn'!J:J, 'Data nguồn'!D:D, $D76, 'Data nguồn'!F:F, $B$1, 'Data nguồn'!C:C, H$3)</f>
      </c>
      <c r="I76" s="3">
        <f>SUMIFS('Data nguồn'!J:J, 'Data nguồn'!D:D, $D76, 'Data nguồn'!F:F, $B$1, 'Data nguồn'!C:C, I$3)</f>
      </c>
      <c r="J76" s="3">
        <f>SUMIFS('Data nguồn'!J:J, 'Data nguồn'!D:D, $D76, 'Data nguồn'!F:F, $B$1, 'Data nguồn'!C:C, J$3)</f>
      </c>
      <c r="K76" s="3">
        <f>SUMIFS('Data nguồn'!J:J, 'Data nguồn'!D:D, $D76, 'Data nguồn'!F:F, $B$1, 'Data nguồn'!C:C, K$3)</f>
      </c>
      <c r="L76" s="3">
        <f>SUMIFS('Data nguồn'!J:J, 'Data nguồn'!D:D, $D76, 'Data nguồn'!F:F, $B$1, 'Data nguồn'!C:C, L$3)</f>
      </c>
      <c r="M76" s="3">
        <f>SUMIFS('Data nguồn'!J:J, 'Data nguồn'!D:D, $D76, 'Data nguồn'!F:F, $B$1, 'Data nguồn'!C:C, M$3)</f>
      </c>
      <c r="N76" s="3">
        <f>SUMIFS('Data nguồn'!J:J, 'Data nguồn'!D:D, $D76, 'Data nguồn'!F:F, $B$1, 'Data nguồn'!C:C, N$3)</f>
      </c>
      <c r="O76" s="3">
        <f>SUMIFS('Data nguồn'!J:J, 'Data nguồn'!D:D, $D76, 'Data nguồn'!F:F, $B$1, 'Data nguồn'!C:C, O$3)</f>
      </c>
      <c r="P76" s="3">
        <f>SUMIFS('Data nguồn'!J:J, 'Data nguồn'!D:D, $D76, 'Data nguồn'!F:F, $B$1, 'Data nguồn'!C:C, P$3)</f>
      </c>
      <c r="Q76" s="3">
        <f>SUMIFS('Data nguồn'!J:J, 'Data nguồn'!D:D, $D76, 'Data nguồn'!F:F, $B$1, 'Data nguồn'!C:C, Q$3)</f>
      </c>
      <c r="R76" s="3">
        <f>SUMIFS('Data nguồn'!J:J, 'Data nguồn'!D:D, $D76, 'Data nguồn'!F:F, $B$1, 'Data nguồn'!C:C, R$3)</f>
      </c>
      <c r="S76" s="3">
        <f>SUMIFS('Data nguồn'!J:J, 'Data nguồn'!D:D, $D76, 'Data nguồn'!F:F, $B$1, 'Data nguồn'!C:C, S$3)</f>
      </c>
      <c r="T76" s="3">
        <f>SUMIFS('Data nguồn'!J:J, 'Data nguồn'!D:D, $D76, 'Data nguồn'!F:F, $B$1, 'Data nguồn'!C:C, T$3)</f>
      </c>
      <c r="U76" s="3">
        <f>SUMIFS('Data nguồn'!J:J, 'Data nguồn'!D:D, $D76, 'Data nguồn'!F:F, $B$1, 'Data nguồn'!C:C, U$3)</f>
      </c>
      <c r="W76" s="3">
        <f>SUM(E76:P76)</f>
      </c>
      <c r="X76" s="3">
        <f>SUM(Q76:U76)</f>
      </c>
      <c r="Y76" s="3">
        <f>AVERAGE(S76:U76)</f>
      </c>
      <c r="Z76" s="3">
        <f>AVERAGE(P76:U76)</f>
      </c>
      <c r="AA76" s="3">
        <f>AVERAGE(M76:U76)</f>
      </c>
      <c r="AB76" s="4">
        <f>IFERROR((Y76*2)/(Z76+AA76), 0)</f>
      </c>
      <c r="AC76" s="4">
        <f>IFERROR(X76/SUM(E76:I76), 0)</f>
      </c>
      <c r="AD76" s="4">
        <f>IFERROR(X76/SUM(E76:I76), 0)</f>
      </c>
      <c r="AE76" s="4">
        <f>IFERROR(U76/I76, 0)</f>
      </c>
    </row>
    <row r="77" ht="20" customHeight="1" spans="1:31" x14ac:dyDescent="0.25">
      <c r="A77">
        <v>74</v>
      </c>
      <c r="B77" t="s">
        <v>76</v>
      </c>
      <c r="C77" t="s">
        <v>141</v>
      </c>
      <c r="D77" s="2" t="s">
        <v>76</v>
      </c>
      <c r="E77" s="3">
        <f>SUMIFS('Data nguồn'!J:J, 'Data nguồn'!D:D, $D77, 'Data nguồn'!F:F, $B$1, 'Data nguồn'!C:C, E$3)</f>
      </c>
      <c r="F77" s="3">
        <f>SUMIFS('Data nguồn'!J:J, 'Data nguồn'!D:D, $D77, 'Data nguồn'!F:F, $B$1, 'Data nguồn'!C:C, F$3)</f>
      </c>
      <c r="G77" s="3">
        <f>SUMIFS('Data nguồn'!J:J, 'Data nguồn'!D:D, $D77, 'Data nguồn'!F:F, $B$1, 'Data nguồn'!C:C, G$3)</f>
      </c>
      <c r="H77" s="3">
        <f>SUMIFS('Data nguồn'!J:J, 'Data nguồn'!D:D, $D77, 'Data nguồn'!F:F, $B$1, 'Data nguồn'!C:C, H$3)</f>
      </c>
      <c r="I77" s="3">
        <f>SUMIFS('Data nguồn'!J:J, 'Data nguồn'!D:D, $D77, 'Data nguồn'!F:F, $B$1, 'Data nguồn'!C:C, I$3)</f>
      </c>
      <c r="J77" s="3">
        <f>SUMIFS('Data nguồn'!J:J, 'Data nguồn'!D:D, $D77, 'Data nguồn'!F:F, $B$1, 'Data nguồn'!C:C, J$3)</f>
      </c>
      <c r="K77" s="3">
        <f>SUMIFS('Data nguồn'!J:J, 'Data nguồn'!D:D, $D77, 'Data nguồn'!F:F, $B$1, 'Data nguồn'!C:C, K$3)</f>
      </c>
      <c r="L77" s="3">
        <f>SUMIFS('Data nguồn'!J:J, 'Data nguồn'!D:D, $D77, 'Data nguồn'!F:F, $B$1, 'Data nguồn'!C:C, L$3)</f>
      </c>
      <c r="M77" s="3">
        <f>SUMIFS('Data nguồn'!J:J, 'Data nguồn'!D:D, $D77, 'Data nguồn'!F:F, $B$1, 'Data nguồn'!C:C, M$3)</f>
      </c>
      <c r="N77" s="3">
        <f>SUMIFS('Data nguồn'!J:J, 'Data nguồn'!D:D, $D77, 'Data nguồn'!F:F, $B$1, 'Data nguồn'!C:C, N$3)</f>
      </c>
      <c r="O77" s="3">
        <f>SUMIFS('Data nguồn'!J:J, 'Data nguồn'!D:D, $D77, 'Data nguồn'!F:F, $B$1, 'Data nguồn'!C:C, O$3)</f>
      </c>
      <c r="P77" s="3">
        <f>SUMIFS('Data nguồn'!J:J, 'Data nguồn'!D:D, $D77, 'Data nguồn'!F:F, $B$1, 'Data nguồn'!C:C, P$3)</f>
      </c>
      <c r="Q77" s="3">
        <f>SUMIFS('Data nguồn'!J:J, 'Data nguồn'!D:D, $D77, 'Data nguồn'!F:F, $B$1, 'Data nguồn'!C:C, Q$3)</f>
      </c>
      <c r="R77" s="3">
        <f>SUMIFS('Data nguồn'!J:J, 'Data nguồn'!D:D, $D77, 'Data nguồn'!F:F, $B$1, 'Data nguồn'!C:C, R$3)</f>
      </c>
      <c r="S77" s="3">
        <f>SUMIFS('Data nguồn'!J:J, 'Data nguồn'!D:D, $D77, 'Data nguồn'!F:F, $B$1, 'Data nguồn'!C:C, S$3)</f>
      </c>
      <c r="T77" s="3">
        <f>SUMIFS('Data nguồn'!J:J, 'Data nguồn'!D:D, $D77, 'Data nguồn'!F:F, $B$1, 'Data nguồn'!C:C, T$3)</f>
      </c>
      <c r="U77" s="3">
        <f>SUMIFS('Data nguồn'!J:J, 'Data nguồn'!D:D, $D77, 'Data nguồn'!F:F, $B$1, 'Data nguồn'!C:C, U$3)</f>
      </c>
      <c r="W77" s="3">
        <f>SUM(E77:P77)</f>
      </c>
      <c r="X77" s="3">
        <f>SUM(Q77:U77)</f>
      </c>
      <c r="Y77" s="3">
        <f>AVERAGE(S77:U77)</f>
      </c>
      <c r="Z77" s="3">
        <f>AVERAGE(P77:U77)</f>
      </c>
      <c r="AA77" s="3">
        <f>AVERAGE(M77:U77)</f>
      </c>
      <c r="AB77" s="4">
        <f>IFERROR((Y77*2)/(Z77+AA77), 0)</f>
      </c>
      <c r="AC77" s="4">
        <f>IFERROR(X77/SUM(E77:I77), 0)</f>
      </c>
      <c r="AD77" s="4">
        <f>IFERROR(X77/SUM(E77:I77), 0)</f>
      </c>
      <c r="AE77" s="4">
        <f>IFERROR(U77/I77, 0)</f>
      </c>
    </row>
    <row r="78" ht="20" customHeight="1" spans="1:31" x14ac:dyDescent="0.25">
      <c r="A78">
        <v>75</v>
      </c>
      <c r="B78" t="s">
        <v>77</v>
      </c>
      <c r="C78" t="s">
        <v>141</v>
      </c>
      <c r="D78" s="2" t="s">
        <v>77</v>
      </c>
      <c r="E78" s="3">
        <f>SUMIFS('Data nguồn'!J:J, 'Data nguồn'!D:D, $D78, 'Data nguồn'!F:F, $B$1, 'Data nguồn'!C:C, E$3)</f>
      </c>
      <c r="F78" s="3">
        <f>SUMIFS('Data nguồn'!J:J, 'Data nguồn'!D:D, $D78, 'Data nguồn'!F:F, $B$1, 'Data nguồn'!C:C, F$3)</f>
      </c>
      <c r="G78" s="3">
        <f>SUMIFS('Data nguồn'!J:J, 'Data nguồn'!D:D, $D78, 'Data nguồn'!F:F, $B$1, 'Data nguồn'!C:C, G$3)</f>
      </c>
      <c r="H78" s="3">
        <f>SUMIFS('Data nguồn'!J:J, 'Data nguồn'!D:D, $D78, 'Data nguồn'!F:F, $B$1, 'Data nguồn'!C:C, H$3)</f>
      </c>
      <c r="I78" s="3">
        <f>SUMIFS('Data nguồn'!J:J, 'Data nguồn'!D:D, $D78, 'Data nguồn'!F:F, $B$1, 'Data nguồn'!C:C, I$3)</f>
      </c>
      <c r="J78" s="3">
        <f>SUMIFS('Data nguồn'!J:J, 'Data nguồn'!D:D, $D78, 'Data nguồn'!F:F, $B$1, 'Data nguồn'!C:C, J$3)</f>
      </c>
      <c r="K78" s="3">
        <f>SUMIFS('Data nguồn'!J:J, 'Data nguồn'!D:D, $D78, 'Data nguồn'!F:F, $B$1, 'Data nguồn'!C:C, K$3)</f>
      </c>
      <c r="L78" s="3">
        <f>SUMIFS('Data nguồn'!J:J, 'Data nguồn'!D:D, $D78, 'Data nguồn'!F:F, $B$1, 'Data nguồn'!C:C, L$3)</f>
      </c>
      <c r="M78" s="3">
        <f>SUMIFS('Data nguồn'!J:J, 'Data nguồn'!D:D, $D78, 'Data nguồn'!F:F, $B$1, 'Data nguồn'!C:C, M$3)</f>
      </c>
      <c r="N78" s="3">
        <f>SUMIFS('Data nguồn'!J:J, 'Data nguồn'!D:D, $D78, 'Data nguồn'!F:F, $B$1, 'Data nguồn'!C:C, N$3)</f>
      </c>
      <c r="O78" s="3">
        <f>SUMIFS('Data nguồn'!J:J, 'Data nguồn'!D:D, $D78, 'Data nguồn'!F:F, $B$1, 'Data nguồn'!C:C, O$3)</f>
      </c>
      <c r="P78" s="3">
        <f>SUMIFS('Data nguồn'!J:J, 'Data nguồn'!D:D, $D78, 'Data nguồn'!F:F, $B$1, 'Data nguồn'!C:C, P$3)</f>
      </c>
      <c r="Q78" s="3">
        <f>SUMIFS('Data nguồn'!J:J, 'Data nguồn'!D:D, $D78, 'Data nguồn'!F:F, $B$1, 'Data nguồn'!C:C, Q$3)</f>
      </c>
      <c r="R78" s="3">
        <f>SUMIFS('Data nguồn'!J:J, 'Data nguồn'!D:D, $D78, 'Data nguồn'!F:F, $B$1, 'Data nguồn'!C:C, R$3)</f>
      </c>
      <c r="S78" s="3">
        <f>SUMIFS('Data nguồn'!J:J, 'Data nguồn'!D:D, $D78, 'Data nguồn'!F:F, $B$1, 'Data nguồn'!C:C, S$3)</f>
      </c>
      <c r="T78" s="3">
        <f>SUMIFS('Data nguồn'!J:J, 'Data nguồn'!D:D, $D78, 'Data nguồn'!F:F, $B$1, 'Data nguồn'!C:C, T$3)</f>
      </c>
      <c r="U78" s="3">
        <f>SUMIFS('Data nguồn'!J:J, 'Data nguồn'!D:D, $D78, 'Data nguồn'!F:F, $B$1, 'Data nguồn'!C:C, U$3)</f>
      </c>
      <c r="W78" s="3">
        <f>SUM(E78:P78)</f>
      </c>
      <c r="X78" s="3">
        <f>SUM(Q78:U78)</f>
      </c>
      <c r="Y78" s="3">
        <f>AVERAGE(S78:U78)</f>
      </c>
      <c r="Z78" s="3">
        <f>AVERAGE(P78:U78)</f>
      </c>
      <c r="AA78" s="3">
        <f>AVERAGE(M78:U78)</f>
      </c>
      <c r="AB78" s="4">
        <f>IFERROR((Y78*2)/(Z78+AA78), 0)</f>
      </c>
      <c r="AC78" s="4">
        <f>IFERROR(X78/SUM(E78:I78), 0)</f>
      </c>
      <c r="AD78" s="4">
        <f>IFERROR(X78/SUM(E78:I78), 0)</f>
      </c>
      <c r="AE78" s="4">
        <f>IFERROR(U78/I78, 0)</f>
      </c>
    </row>
    <row r="79" ht="20" customHeight="1" spans="1:31" x14ac:dyDescent="0.25">
      <c r="A79">
        <v>76</v>
      </c>
      <c r="B79" t="s">
        <v>78</v>
      </c>
      <c r="C79" t="s">
        <v>141</v>
      </c>
      <c r="D79" s="2" t="s">
        <v>78</v>
      </c>
      <c r="E79" s="3">
        <f>SUMIFS('Data nguồn'!J:J, 'Data nguồn'!D:D, $D79, 'Data nguồn'!F:F, $B$1, 'Data nguồn'!C:C, E$3)</f>
      </c>
      <c r="F79" s="3">
        <f>SUMIFS('Data nguồn'!J:J, 'Data nguồn'!D:D, $D79, 'Data nguồn'!F:F, $B$1, 'Data nguồn'!C:C, F$3)</f>
      </c>
      <c r="G79" s="3">
        <f>SUMIFS('Data nguồn'!J:J, 'Data nguồn'!D:D, $D79, 'Data nguồn'!F:F, $B$1, 'Data nguồn'!C:C, G$3)</f>
      </c>
      <c r="H79" s="3">
        <f>SUMIFS('Data nguồn'!J:J, 'Data nguồn'!D:D, $D79, 'Data nguồn'!F:F, $B$1, 'Data nguồn'!C:C, H$3)</f>
      </c>
      <c r="I79" s="3">
        <f>SUMIFS('Data nguồn'!J:J, 'Data nguồn'!D:D, $D79, 'Data nguồn'!F:F, $B$1, 'Data nguồn'!C:C, I$3)</f>
      </c>
      <c r="J79" s="3">
        <f>SUMIFS('Data nguồn'!J:J, 'Data nguồn'!D:D, $D79, 'Data nguồn'!F:F, $B$1, 'Data nguồn'!C:C, J$3)</f>
      </c>
      <c r="K79" s="3">
        <f>SUMIFS('Data nguồn'!J:J, 'Data nguồn'!D:D, $D79, 'Data nguồn'!F:F, $B$1, 'Data nguồn'!C:C, K$3)</f>
      </c>
      <c r="L79" s="3">
        <f>SUMIFS('Data nguồn'!J:J, 'Data nguồn'!D:D, $D79, 'Data nguồn'!F:F, $B$1, 'Data nguồn'!C:C, L$3)</f>
      </c>
      <c r="M79" s="3">
        <f>SUMIFS('Data nguồn'!J:J, 'Data nguồn'!D:D, $D79, 'Data nguồn'!F:F, $B$1, 'Data nguồn'!C:C, M$3)</f>
      </c>
      <c r="N79" s="3">
        <f>SUMIFS('Data nguồn'!J:J, 'Data nguồn'!D:D, $D79, 'Data nguồn'!F:F, $B$1, 'Data nguồn'!C:C, N$3)</f>
      </c>
      <c r="O79" s="3">
        <f>SUMIFS('Data nguồn'!J:J, 'Data nguồn'!D:D, $D79, 'Data nguồn'!F:F, $B$1, 'Data nguồn'!C:C, O$3)</f>
      </c>
      <c r="P79" s="3">
        <f>SUMIFS('Data nguồn'!J:J, 'Data nguồn'!D:D, $D79, 'Data nguồn'!F:F, $B$1, 'Data nguồn'!C:C, P$3)</f>
      </c>
      <c r="Q79" s="3">
        <f>SUMIFS('Data nguồn'!J:J, 'Data nguồn'!D:D, $D79, 'Data nguồn'!F:F, $B$1, 'Data nguồn'!C:C, Q$3)</f>
      </c>
      <c r="R79" s="3">
        <f>SUMIFS('Data nguồn'!J:J, 'Data nguồn'!D:D, $D79, 'Data nguồn'!F:F, $B$1, 'Data nguồn'!C:C, R$3)</f>
      </c>
      <c r="S79" s="3">
        <f>SUMIFS('Data nguồn'!J:J, 'Data nguồn'!D:D, $D79, 'Data nguồn'!F:F, $B$1, 'Data nguồn'!C:C, S$3)</f>
      </c>
      <c r="T79" s="3">
        <f>SUMIFS('Data nguồn'!J:J, 'Data nguồn'!D:D, $D79, 'Data nguồn'!F:F, $B$1, 'Data nguồn'!C:C, T$3)</f>
      </c>
      <c r="U79" s="3">
        <f>SUMIFS('Data nguồn'!J:J, 'Data nguồn'!D:D, $D79, 'Data nguồn'!F:F, $B$1, 'Data nguồn'!C:C, U$3)</f>
      </c>
      <c r="W79" s="3">
        <f>SUM(E79:P79)</f>
      </c>
      <c r="X79" s="3">
        <f>SUM(Q79:U79)</f>
      </c>
      <c r="Y79" s="3">
        <f>AVERAGE(S79:U79)</f>
      </c>
      <c r="Z79" s="3">
        <f>AVERAGE(P79:U79)</f>
      </c>
      <c r="AA79" s="3">
        <f>AVERAGE(M79:U79)</f>
      </c>
      <c r="AB79" s="4">
        <f>IFERROR((Y79*2)/(Z79+AA79), 0)</f>
      </c>
      <c r="AC79" s="4">
        <f>IFERROR(X79/SUM(E79:I79), 0)</f>
      </c>
      <c r="AD79" s="4">
        <f>IFERROR(X79/SUM(E79:I79), 0)</f>
      </c>
      <c r="AE79" s="4">
        <f>IFERROR(U79/I79, 0)</f>
      </c>
    </row>
    <row r="80" ht="20" customHeight="1" spans="1:31" x14ac:dyDescent="0.25">
      <c r="A80">
        <v>77</v>
      </c>
      <c r="B80" t="s">
        <v>79</v>
      </c>
      <c r="C80" t="s">
        <v>141</v>
      </c>
      <c r="D80" s="2" t="s">
        <v>79</v>
      </c>
      <c r="E80" s="3">
        <f>SUMIFS('Data nguồn'!J:J, 'Data nguồn'!D:D, $D80, 'Data nguồn'!F:F, $B$1, 'Data nguồn'!C:C, E$3)</f>
      </c>
      <c r="F80" s="3">
        <f>SUMIFS('Data nguồn'!J:J, 'Data nguồn'!D:D, $D80, 'Data nguồn'!F:F, $B$1, 'Data nguồn'!C:C, F$3)</f>
      </c>
      <c r="G80" s="3">
        <f>SUMIFS('Data nguồn'!J:J, 'Data nguồn'!D:D, $D80, 'Data nguồn'!F:F, $B$1, 'Data nguồn'!C:C, G$3)</f>
      </c>
      <c r="H80" s="3">
        <f>SUMIFS('Data nguồn'!J:J, 'Data nguồn'!D:D, $D80, 'Data nguồn'!F:F, $B$1, 'Data nguồn'!C:C, H$3)</f>
      </c>
      <c r="I80" s="3">
        <f>SUMIFS('Data nguồn'!J:J, 'Data nguồn'!D:D, $D80, 'Data nguồn'!F:F, $B$1, 'Data nguồn'!C:C, I$3)</f>
      </c>
      <c r="J80" s="3">
        <f>SUMIFS('Data nguồn'!J:J, 'Data nguồn'!D:D, $D80, 'Data nguồn'!F:F, $B$1, 'Data nguồn'!C:C, J$3)</f>
      </c>
      <c r="K80" s="3">
        <f>SUMIFS('Data nguồn'!J:J, 'Data nguồn'!D:D, $D80, 'Data nguồn'!F:F, $B$1, 'Data nguồn'!C:C, K$3)</f>
      </c>
      <c r="L80" s="3">
        <f>SUMIFS('Data nguồn'!J:J, 'Data nguồn'!D:D, $D80, 'Data nguồn'!F:F, $B$1, 'Data nguồn'!C:C, L$3)</f>
      </c>
      <c r="M80" s="3">
        <f>SUMIFS('Data nguồn'!J:J, 'Data nguồn'!D:D, $D80, 'Data nguồn'!F:F, $B$1, 'Data nguồn'!C:C, M$3)</f>
      </c>
      <c r="N80" s="3">
        <f>SUMIFS('Data nguồn'!J:J, 'Data nguồn'!D:D, $D80, 'Data nguồn'!F:F, $B$1, 'Data nguồn'!C:C, N$3)</f>
      </c>
      <c r="O80" s="3">
        <f>SUMIFS('Data nguồn'!J:J, 'Data nguồn'!D:D, $D80, 'Data nguồn'!F:F, $B$1, 'Data nguồn'!C:C, O$3)</f>
      </c>
      <c r="P80" s="3">
        <f>SUMIFS('Data nguồn'!J:J, 'Data nguồn'!D:D, $D80, 'Data nguồn'!F:F, $B$1, 'Data nguồn'!C:C, P$3)</f>
      </c>
      <c r="Q80" s="3">
        <f>SUMIFS('Data nguồn'!J:J, 'Data nguồn'!D:D, $D80, 'Data nguồn'!F:F, $B$1, 'Data nguồn'!C:C, Q$3)</f>
      </c>
      <c r="R80" s="3">
        <f>SUMIFS('Data nguồn'!J:J, 'Data nguồn'!D:D, $D80, 'Data nguồn'!F:F, $B$1, 'Data nguồn'!C:C, R$3)</f>
      </c>
      <c r="S80" s="3">
        <f>SUMIFS('Data nguồn'!J:J, 'Data nguồn'!D:D, $D80, 'Data nguồn'!F:F, $B$1, 'Data nguồn'!C:C, S$3)</f>
      </c>
      <c r="T80" s="3">
        <f>SUMIFS('Data nguồn'!J:J, 'Data nguồn'!D:D, $D80, 'Data nguồn'!F:F, $B$1, 'Data nguồn'!C:C, T$3)</f>
      </c>
      <c r="U80" s="3">
        <f>SUMIFS('Data nguồn'!J:J, 'Data nguồn'!D:D, $D80, 'Data nguồn'!F:F, $B$1, 'Data nguồn'!C:C, U$3)</f>
      </c>
      <c r="W80" s="3">
        <f>SUM(E80:P80)</f>
      </c>
      <c r="X80" s="3">
        <f>SUM(Q80:U80)</f>
      </c>
      <c r="Y80" s="3">
        <f>AVERAGE(S80:U80)</f>
      </c>
      <c r="Z80" s="3">
        <f>AVERAGE(P80:U80)</f>
      </c>
      <c r="AA80" s="3">
        <f>AVERAGE(M80:U80)</f>
      </c>
      <c r="AB80" s="4">
        <f>IFERROR((Y80*2)/(Z80+AA80), 0)</f>
      </c>
      <c r="AC80" s="4">
        <f>IFERROR(X80/SUM(E80:I80), 0)</f>
      </c>
      <c r="AD80" s="4">
        <f>IFERROR(X80/SUM(E80:I80), 0)</f>
      </c>
      <c r="AE80" s="4">
        <f>IFERROR(U80/I80, 0)</f>
      </c>
    </row>
    <row r="81" ht="20" customHeight="1" spans="1:31" x14ac:dyDescent="0.25">
      <c r="A81">
        <v>78</v>
      </c>
      <c r="B81" t="s">
        <v>80</v>
      </c>
      <c r="C81" t="s">
        <v>141</v>
      </c>
      <c r="D81" s="2" t="s">
        <v>80</v>
      </c>
      <c r="E81" s="3">
        <f>SUMIFS('Data nguồn'!J:J, 'Data nguồn'!D:D, $D81, 'Data nguồn'!F:F, $B$1, 'Data nguồn'!C:C, E$3)</f>
      </c>
      <c r="F81" s="3">
        <f>SUMIFS('Data nguồn'!J:J, 'Data nguồn'!D:D, $D81, 'Data nguồn'!F:F, $B$1, 'Data nguồn'!C:C, F$3)</f>
      </c>
      <c r="G81" s="3">
        <f>SUMIFS('Data nguồn'!J:J, 'Data nguồn'!D:D, $D81, 'Data nguồn'!F:F, $B$1, 'Data nguồn'!C:C, G$3)</f>
      </c>
      <c r="H81" s="3">
        <f>SUMIFS('Data nguồn'!J:J, 'Data nguồn'!D:D, $D81, 'Data nguồn'!F:F, $B$1, 'Data nguồn'!C:C, H$3)</f>
      </c>
      <c r="I81" s="3">
        <f>SUMIFS('Data nguồn'!J:J, 'Data nguồn'!D:D, $D81, 'Data nguồn'!F:F, $B$1, 'Data nguồn'!C:C, I$3)</f>
      </c>
      <c r="J81" s="3">
        <f>SUMIFS('Data nguồn'!J:J, 'Data nguồn'!D:D, $D81, 'Data nguồn'!F:F, $B$1, 'Data nguồn'!C:C, J$3)</f>
      </c>
      <c r="K81" s="3">
        <f>SUMIFS('Data nguồn'!J:J, 'Data nguồn'!D:D, $D81, 'Data nguồn'!F:F, $B$1, 'Data nguồn'!C:C, K$3)</f>
      </c>
      <c r="L81" s="3">
        <f>SUMIFS('Data nguồn'!J:J, 'Data nguồn'!D:D, $D81, 'Data nguồn'!F:F, $B$1, 'Data nguồn'!C:C, L$3)</f>
      </c>
      <c r="M81" s="3">
        <f>SUMIFS('Data nguồn'!J:J, 'Data nguồn'!D:D, $D81, 'Data nguồn'!F:F, $B$1, 'Data nguồn'!C:C, M$3)</f>
      </c>
      <c r="N81" s="3">
        <f>SUMIFS('Data nguồn'!J:J, 'Data nguồn'!D:D, $D81, 'Data nguồn'!F:F, $B$1, 'Data nguồn'!C:C, N$3)</f>
      </c>
      <c r="O81" s="3">
        <f>SUMIFS('Data nguồn'!J:J, 'Data nguồn'!D:D, $D81, 'Data nguồn'!F:F, $B$1, 'Data nguồn'!C:C, O$3)</f>
      </c>
      <c r="P81" s="3">
        <f>SUMIFS('Data nguồn'!J:J, 'Data nguồn'!D:D, $D81, 'Data nguồn'!F:F, $B$1, 'Data nguồn'!C:C, P$3)</f>
      </c>
      <c r="Q81" s="3">
        <f>SUMIFS('Data nguồn'!J:J, 'Data nguồn'!D:D, $D81, 'Data nguồn'!F:F, $B$1, 'Data nguồn'!C:C, Q$3)</f>
      </c>
      <c r="R81" s="3">
        <f>SUMIFS('Data nguồn'!J:J, 'Data nguồn'!D:D, $D81, 'Data nguồn'!F:F, $B$1, 'Data nguồn'!C:C, R$3)</f>
      </c>
      <c r="S81" s="3">
        <f>SUMIFS('Data nguồn'!J:J, 'Data nguồn'!D:D, $D81, 'Data nguồn'!F:F, $B$1, 'Data nguồn'!C:C, S$3)</f>
      </c>
      <c r="T81" s="3">
        <f>SUMIFS('Data nguồn'!J:J, 'Data nguồn'!D:D, $D81, 'Data nguồn'!F:F, $B$1, 'Data nguồn'!C:C, T$3)</f>
      </c>
      <c r="U81" s="3">
        <f>SUMIFS('Data nguồn'!J:J, 'Data nguồn'!D:D, $D81, 'Data nguồn'!F:F, $B$1, 'Data nguồn'!C:C, U$3)</f>
      </c>
      <c r="W81" s="3">
        <f>SUM(E81:P81)</f>
      </c>
      <c r="X81" s="3">
        <f>SUM(Q81:U81)</f>
      </c>
      <c r="Y81" s="3">
        <f>AVERAGE(S81:U81)</f>
      </c>
      <c r="Z81" s="3">
        <f>AVERAGE(P81:U81)</f>
      </c>
      <c r="AA81" s="3">
        <f>AVERAGE(M81:U81)</f>
      </c>
      <c r="AB81" s="4">
        <f>IFERROR((Y81*2)/(Z81+AA81), 0)</f>
      </c>
      <c r="AC81" s="4">
        <f>IFERROR(X81/SUM(E81:I81), 0)</f>
      </c>
      <c r="AD81" s="4">
        <f>IFERROR(X81/SUM(E81:I81), 0)</f>
      </c>
      <c r="AE81" s="4">
        <f>IFERROR(U81/I81, 0)</f>
      </c>
    </row>
    <row r="82" ht="20" customHeight="1" spans="1:31" x14ac:dyDescent="0.25">
      <c r="A82">
        <v>79</v>
      </c>
      <c r="B82" t="s">
        <v>82</v>
      </c>
      <c r="C82" t="s">
        <v>141</v>
      </c>
      <c r="D82" s="2" t="s">
        <v>82</v>
      </c>
      <c r="E82" s="3">
        <f>SUMIFS('Data nguồn'!J:J, 'Data nguồn'!D:D, $D82, 'Data nguồn'!F:F, $B$1, 'Data nguồn'!C:C, E$3)</f>
      </c>
      <c r="F82" s="3">
        <f>SUMIFS('Data nguồn'!J:J, 'Data nguồn'!D:D, $D82, 'Data nguồn'!F:F, $B$1, 'Data nguồn'!C:C, F$3)</f>
      </c>
      <c r="G82" s="3">
        <f>SUMIFS('Data nguồn'!J:J, 'Data nguồn'!D:D, $D82, 'Data nguồn'!F:F, $B$1, 'Data nguồn'!C:C, G$3)</f>
      </c>
      <c r="H82" s="3">
        <f>SUMIFS('Data nguồn'!J:J, 'Data nguồn'!D:D, $D82, 'Data nguồn'!F:F, $B$1, 'Data nguồn'!C:C, H$3)</f>
      </c>
      <c r="I82" s="3">
        <f>SUMIFS('Data nguồn'!J:J, 'Data nguồn'!D:D, $D82, 'Data nguồn'!F:F, $B$1, 'Data nguồn'!C:C, I$3)</f>
      </c>
      <c r="J82" s="3">
        <f>SUMIFS('Data nguồn'!J:J, 'Data nguồn'!D:D, $D82, 'Data nguồn'!F:F, $B$1, 'Data nguồn'!C:C, J$3)</f>
      </c>
      <c r="K82" s="3">
        <f>SUMIFS('Data nguồn'!J:J, 'Data nguồn'!D:D, $D82, 'Data nguồn'!F:F, $B$1, 'Data nguồn'!C:C, K$3)</f>
      </c>
      <c r="L82" s="3">
        <f>SUMIFS('Data nguồn'!J:J, 'Data nguồn'!D:D, $D82, 'Data nguồn'!F:F, $B$1, 'Data nguồn'!C:C, L$3)</f>
      </c>
      <c r="M82" s="3">
        <f>SUMIFS('Data nguồn'!J:J, 'Data nguồn'!D:D, $D82, 'Data nguồn'!F:F, $B$1, 'Data nguồn'!C:C, M$3)</f>
      </c>
      <c r="N82" s="3">
        <f>SUMIFS('Data nguồn'!J:J, 'Data nguồn'!D:D, $D82, 'Data nguồn'!F:F, $B$1, 'Data nguồn'!C:C, N$3)</f>
      </c>
      <c r="O82" s="3">
        <f>SUMIFS('Data nguồn'!J:J, 'Data nguồn'!D:D, $D82, 'Data nguồn'!F:F, $B$1, 'Data nguồn'!C:C, O$3)</f>
      </c>
      <c r="P82" s="3">
        <f>SUMIFS('Data nguồn'!J:J, 'Data nguồn'!D:D, $D82, 'Data nguồn'!F:F, $B$1, 'Data nguồn'!C:C, P$3)</f>
      </c>
      <c r="Q82" s="3">
        <f>SUMIFS('Data nguồn'!J:J, 'Data nguồn'!D:D, $D82, 'Data nguồn'!F:F, $B$1, 'Data nguồn'!C:C, Q$3)</f>
      </c>
      <c r="R82" s="3">
        <f>SUMIFS('Data nguồn'!J:J, 'Data nguồn'!D:D, $D82, 'Data nguồn'!F:F, $B$1, 'Data nguồn'!C:C, R$3)</f>
      </c>
      <c r="S82" s="3">
        <f>SUMIFS('Data nguồn'!J:J, 'Data nguồn'!D:D, $D82, 'Data nguồn'!F:F, $B$1, 'Data nguồn'!C:C, S$3)</f>
      </c>
      <c r="T82" s="3">
        <f>SUMIFS('Data nguồn'!J:J, 'Data nguồn'!D:D, $D82, 'Data nguồn'!F:F, $B$1, 'Data nguồn'!C:C, T$3)</f>
      </c>
      <c r="U82" s="3">
        <f>SUMIFS('Data nguồn'!J:J, 'Data nguồn'!D:D, $D82, 'Data nguồn'!F:F, $B$1, 'Data nguồn'!C:C, U$3)</f>
      </c>
      <c r="W82" s="3">
        <f>SUM(E82:P82)</f>
      </c>
      <c r="X82" s="3">
        <f>SUM(Q82:U82)</f>
      </c>
      <c r="Y82" s="3">
        <f>AVERAGE(S82:U82)</f>
      </c>
      <c r="Z82" s="3">
        <f>AVERAGE(P82:U82)</f>
      </c>
      <c r="AA82" s="3">
        <f>AVERAGE(M82:U82)</f>
      </c>
      <c r="AB82" s="4">
        <f>IFERROR((Y82*2)/(Z82+AA82), 0)</f>
      </c>
      <c r="AC82" s="4">
        <f>IFERROR(X82/SUM(E82:I82), 0)</f>
      </c>
      <c r="AD82" s="4">
        <f>IFERROR(X82/SUM(E82:I82), 0)</f>
      </c>
      <c r="AE82" s="4">
        <f>IFERROR(U82/I82, 0)</f>
      </c>
    </row>
    <row r="83" ht="20" customHeight="1" spans="1:31" x14ac:dyDescent="0.25">
      <c r="A83">
        <v>80</v>
      </c>
      <c r="B83" t="s">
        <v>83</v>
      </c>
      <c r="C83" t="s">
        <v>141</v>
      </c>
      <c r="D83" s="2" t="s">
        <v>83</v>
      </c>
      <c r="E83" s="3">
        <f>SUMIFS('Data nguồn'!J:J, 'Data nguồn'!D:D, $D83, 'Data nguồn'!F:F, $B$1, 'Data nguồn'!C:C, E$3)</f>
      </c>
      <c r="F83" s="3">
        <f>SUMIFS('Data nguồn'!J:J, 'Data nguồn'!D:D, $D83, 'Data nguồn'!F:F, $B$1, 'Data nguồn'!C:C, F$3)</f>
      </c>
      <c r="G83" s="3">
        <f>SUMIFS('Data nguồn'!J:J, 'Data nguồn'!D:D, $D83, 'Data nguồn'!F:F, $B$1, 'Data nguồn'!C:C, G$3)</f>
      </c>
      <c r="H83" s="3">
        <f>SUMIFS('Data nguồn'!J:J, 'Data nguồn'!D:D, $D83, 'Data nguồn'!F:F, $B$1, 'Data nguồn'!C:C, H$3)</f>
      </c>
      <c r="I83" s="3">
        <f>SUMIFS('Data nguồn'!J:J, 'Data nguồn'!D:D, $D83, 'Data nguồn'!F:F, $B$1, 'Data nguồn'!C:C, I$3)</f>
      </c>
      <c r="J83" s="3">
        <f>SUMIFS('Data nguồn'!J:J, 'Data nguồn'!D:D, $D83, 'Data nguồn'!F:F, $B$1, 'Data nguồn'!C:C, J$3)</f>
      </c>
      <c r="K83" s="3">
        <f>SUMIFS('Data nguồn'!J:J, 'Data nguồn'!D:D, $D83, 'Data nguồn'!F:F, $B$1, 'Data nguồn'!C:C, K$3)</f>
      </c>
      <c r="L83" s="3">
        <f>SUMIFS('Data nguồn'!J:J, 'Data nguồn'!D:D, $D83, 'Data nguồn'!F:F, $B$1, 'Data nguồn'!C:C, L$3)</f>
      </c>
      <c r="M83" s="3">
        <f>SUMIFS('Data nguồn'!J:J, 'Data nguồn'!D:D, $D83, 'Data nguồn'!F:F, $B$1, 'Data nguồn'!C:C, M$3)</f>
      </c>
      <c r="N83" s="3">
        <f>SUMIFS('Data nguồn'!J:J, 'Data nguồn'!D:D, $D83, 'Data nguồn'!F:F, $B$1, 'Data nguồn'!C:C, N$3)</f>
      </c>
      <c r="O83" s="3">
        <f>SUMIFS('Data nguồn'!J:J, 'Data nguồn'!D:D, $D83, 'Data nguồn'!F:F, $B$1, 'Data nguồn'!C:C, O$3)</f>
      </c>
      <c r="P83" s="3">
        <f>SUMIFS('Data nguồn'!J:J, 'Data nguồn'!D:D, $D83, 'Data nguồn'!F:F, $B$1, 'Data nguồn'!C:C, P$3)</f>
      </c>
      <c r="Q83" s="3">
        <f>SUMIFS('Data nguồn'!J:J, 'Data nguồn'!D:D, $D83, 'Data nguồn'!F:F, $B$1, 'Data nguồn'!C:C, Q$3)</f>
      </c>
      <c r="R83" s="3">
        <f>SUMIFS('Data nguồn'!J:J, 'Data nguồn'!D:D, $D83, 'Data nguồn'!F:F, $B$1, 'Data nguồn'!C:C, R$3)</f>
      </c>
      <c r="S83" s="3">
        <f>SUMIFS('Data nguồn'!J:J, 'Data nguồn'!D:D, $D83, 'Data nguồn'!F:F, $B$1, 'Data nguồn'!C:C, S$3)</f>
      </c>
      <c r="T83" s="3">
        <f>SUMIFS('Data nguồn'!J:J, 'Data nguồn'!D:D, $D83, 'Data nguồn'!F:F, $B$1, 'Data nguồn'!C:C, T$3)</f>
      </c>
      <c r="U83" s="3">
        <f>SUMIFS('Data nguồn'!J:J, 'Data nguồn'!D:D, $D83, 'Data nguồn'!F:F, $B$1, 'Data nguồn'!C:C, U$3)</f>
      </c>
      <c r="W83" s="3">
        <f>SUM(E83:P83)</f>
      </c>
      <c r="X83" s="3">
        <f>SUM(Q83:U83)</f>
      </c>
      <c r="Y83" s="3">
        <f>AVERAGE(S83:U83)</f>
      </c>
      <c r="Z83" s="3">
        <f>AVERAGE(P83:U83)</f>
      </c>
      <c r="AA83" s="3">
        <f>AVERAGE(M83:U83)</f>
      </c>
      <c r="AB83" s="4">
        <f>IFERROR((Y83*2)/(Z83+AA83), 0)</f>
      </c>
      <c r="AC83" s="4">
        <f>IFERROR(X83/SUM(E83:I83), 0)</f>
      </c>
      <c r="AD83" s="4">
        <f>IFERROR(X83/SUM(E83:I83), 0)</f>
      </c>
      <c r="AE83" s="4">
        <f>IFERROR(U83/I83, 0)</f>
      </c>
    </row>
    <row r="84" ht="20" customHeight="1" spans="1:31" x14ac:dyDescent="0.25">
      <c r="A84">
        <v>81</v>
      </c>
      <c r="B84" t="s">
        <v>84</v>
      </c>
      <c r="C84" t="s">
        <v>141</v>
      </c>
      <c r="D84" s="2" t="s">
        <v>84</v>
      </c>
      <c r="E84" s="3">
        <f>SUMIFS('Data nguồn'!J:J, 'Data nguồn'!D:D, $D84, 'Data nguồn'!F:F, $B$1, 'Data nguồn'!C:C, E$3)</f>
      </c>
      <c r="F84" s="3">
        <f>SUMIFS('Data nguồn'!J:J, 'Data nguồn'!D:D, $D84, 'Data nguồn'!F:F, $B$1, 'Data nguồn'!C:C, F$3)</f>
      </c>
      <c r="G84" s="3">
        <f>SUMIFS('Data nguồn'!J:J, 'Data nguồn'!D:D, $D84, 'Data nguồn'!F:F, $B$1, 'Data nguồn'!C:C, G$3)</f>
      </c>
      <c r="H84" s="3">
        <f>SUMIFS('Data nguồn'!J:J, 'Data nguồn'!D:D, $D84, 'Data nguồn'!F:F, $B$1, 'Data nguồn'!C:C, H$3)</f>
      </c>
      <c r="I84" s="3">
        <f>SUMIFS('Data nguồn'!J:J, 'Data nguồn'!D:D, $D84, 'Data nguồn'!F:F, $B$1, 'Data nguồn'!C:C, I$3)</f>
      </c>
      <c r="J84" s="3">
        <f>SUMIFS('Data nguồn'!J:J, 'Data nguồn'!D:D, $D84, 'Data nguồn'!F:F, $B$1, 'Data nguồn'!C:C, J$3)</f>
      </c>
      <c r="K84" s="3">
        <f>SUMIFS('Data nguồn'!J:J, 'Data nguồn'!D:D, $D84, 'Data nguồn'!F:F, $B$1, 'Data nguồn'!C:C, K$3)</f>
      </c>
      <c r="L84" s="3">
        <f>SUMIFS('Data nguồn'!J:J, 'Data nguồn'!D:D, $D84, 'Data nguồn'!F:F, $B$1, 'Data nguồn'!C:C, L$3)</f>
      </c>
      <c r="M84" s="3">
        <f>SUMIFS('Data nguồn'!J:J, 'Data nguồn'!D:D, $D84, 'Data nguồn'!F:F, $B$1, 'Data nguồn'!C:C, M$3)</f>
      </c>
      <c r="N84" s="3">
        <f>SUMIFS('Data nguồn'!J:J, 'Data nguồn'!D:D, $D84, 'Data nguồn'!F:F, $B$1, 'Data nguồn'!C:C, N$3)</f>
      </c>
      <c r="O84" s="3">
        <f>SUMIFS('Data nguồn'!J:J, 'Data nguồn'!D:D, $D84, 'Data nguồn'!F:F, $B$1, 'Data nguồn'!C:C, O$3)</f>
      </c>
      <c r="P84" s="3">
        <f>SUMIFS('Data nguồn'!J:J, 'Data nguồn'!D:D, $D84, 'Data nguồn'!F:F, $B$1, 'Data nguồn'!C:C, P$3)</f>
      </c>
      <c r="Q84" s="3">
        <f>SUMIFS('Data nguồn'!J:J, 'Data nguồn'!D:D, $D84, 'Data nguồn'!F:F, $B$1, 'Data nguồn'!C:C, Q$3)</f>
      </c>
      <c r="R84" s="3">
        <f>SUMIFS('Data nguồn'!J:J, 'Data nguồn'!D:D, $D84, 'Data nguồn'!F:F, $B$1, 'Data nguồn'!C:C, R$3)</f>
      </c>
      <c r="S84" s="3">
        <f>SUMIFS('Data nguồn'!J:J, 'Data nguồn'!D:D, $D84, 'Data nguồn'!F:F, $B$1, 'Data nguồn'!C:C, S$3)</f>
      </c>
      <c r="T84" s="3">
        <f>SUMIFS('Data nguồn'!J:J, 'Data nguồn'!D:D, $D84, 'Data nguồn'!F:F, $B$1, 'Data nguồn'!C:C, T$3)</f>
      </c>
      <c r="U84" s="3">
        <f>SUMIFS('Data nguồn'!J:J, 'Data nguồn'!D:D, $D84, 'Data nguồn'!F:F, $B$1, 'Data nguồn'!C:C, U$3)</f>
      </c>
      <c r="W84" s="3">
        <f>SUM(E84:P84)</f>
      </c>
      <c r="X84" s="3">
        <f>SUM(Q84:U84)</f>
      </c>
      <c r="Y84" s="3">
        <f>AVERAGE(S84:U84)</f>
      </c>
      <c r="Z84" s="3">
        <f>AVERAGE(P84:U84)</f>
      </c>
      <c r="AA84" s="3">
        <f>AVERAGE(M84:U84)</f>
      </c>
      <c r="AB84" s="4">
        <f>IFERROR((Y84*2)/(Z84+AA84), 0)</f>
      </c>
      <c r="AC84" s="4">
        <f>IFERROR(X84/SUM(E84:I84), 0)</f>
      </c>
      <c r="AD84" s="4">
        <f>IFERROR(X84/SUM(E84:I84), 0)</f>
      </c>
      <c r="AE84" s="4">
        <f>IFERROR(U84/I84, 0)</f>
      </c>
    </row>
    <row r="85" ht="20" customHeight="1" spans="1:31" x14ac:dyDescent="0.25">
      <c r="A85">
        <v>82</v>
      </c>
      <c r="B85" t="s">
        <v>85</v>
      </c>
      <c r="C85" t="s">
        <v>141</v>
      </c>
      <c r="D85" s="2" t="s">
        <v>85</v>
      </c>
      <c r="E85" s="3">
        <f>SUMIFS('Data nguồn'!J:J, 'Data nguồn'!D:D, $D85, 'Data nguồn'!F:F, $B$1, 'Data nguồn'!C:C, E$3)</f>
      </c>
      <c r="F85" s="3">
        <f>SUMIFS('Data nguồn'!J:J, 'Data nguồn'!D:D, $D85, 'Data nguồn'!F:F, $B$1, 'Data nguồn'!C:C, F$3)</f>
      </c>
      <c r="G85" s="3">
        <f>SUMIFS('Data nguồn'!J:J, 'Data nguồn'!D:D, $D85, 'Data nguồn'!F:F, $B$1, 'Data nguồn'!C:C, G$3)</f>
      </c>
      <c r="H85" s="3">
        <f>SUMIFS('Data nguồn'!J:J, 'Data nguồn'!D:D, $D85, 'Data nguồn'!F:F, $B$1, 'Data nguồn'!C:C, H$3)</f>
      </c>
      <c r="I85" s="3">
        <f>SUMIFS('Data nguồn'!J:J, 'Data nguồn'!D:D, $D85, 'Data nguồn'!F:F, $B$1, 'Data nguồn'!C:C, I$3)</f>
      </c>
      <c r="J85" s="3">
        <f>SUMIFS('Data nguồn'!J:J, 'Data nguồn'!D:D, $D85, 'Data nguồn'!F:F, $B$1, 'Data nguồn'!C:C, J$3)</f>
      </c>
      <c r="K85" s="3">
        <f>SUMIFS('Data nguồn'!J:J, 'Data nguồn'!D:D, $D85, 'Data nguồn'!F:F, $B$1, 'Data nguồn'!C:C, K$3)</f>
      </c>
      <c r="L85" s="3">
        <f>SUMIFS('Data nguồn'!J:J, 'Data nguồn'!D:D, $D85, 'Data nguồn'!F:F, $B$1, 'Data nguồn'!C:C, L$3)</f>
      </c>
      <c r="M85" s="3">
        <f>SUMIFS('Data nguồn'!J:J, 'Data nguồn'!D:D, $D85, 'Data nguồn'!F:F, $B$1, 'Data nguồn'!C:C, M$3)</f>
      </c>
      <c r="N85" s="3">
        <f>SUMIFS('Data nguồn'!J:J, 'Data nguồn'!D:D, $D85, 'Data nguồn'!F:F, $B$1, 'Data nguồn'!C:C, N$3)</f>
      </c>
      <c r="O85" s="3">
        <f>SUMIFS('Data nguồn'!J:J, 'Data nguồn'!D:D, $D85, 'Data nguồn'!F:F, $B$1, 'Data nguồn'!C:C, O$3)</f>
      </c>
      <c r="P85" s="3">
        <f>SUMIFS('Data nguồn'!J:J, 'Data nguồn'!D:D, $D85, 'Data nguồn'!F:F, $B$1, 'Data nguồn'!C:C, P$3)</f>
      </c>
      <c r="Q85" s="3">
        <f>SUMIFS('Data nguồn'!J:J, 'Data nguồn'!D:D, $D85, 'Data nguồn'!F:F, $B$1, 'Data nguồn'!C:C, Q$3)</f>
      </c>
      <c r="R85" s="3">
        <f>SUMIFS('Data nguồn'!J:J, 'Data nguồn'!D:D, $D85, 'Data nguồn'!F:F, $B$1, 'Data nguồn'!C:C, R$3)</f>
      </c>
      <c r="S85" s="3">
        <f>SUMIFS('Data nguồn'!J:J, 'Data nguồn'!D:D, $D85, 'Data nguồn'!F:F, $B$1, 'Data nguồn'!C:C, S$3)</f>
      </c>
      <c r="T85" s="3">
        <f>SUMIFS('Data nguồn'!J:J, 'Data nguồn'!D:D, $D85, 'Data nguồn'!F:F, $B$1, 'Data nguồn'!C:C, T$3)</f>
      </c>
      <c r="U85" s="3">
        <f>SUMIFS('Data nguồn'!J:J, 'Data nguồn'!D:D, $D85, 'Data nguồn'!F:F, $B$1, 'Data nguồn'!C:C, U$3)</f>
      </c>
      <c r="W85" s="3">
        <f>SUM(E85:P85)</f>
      </c>
      <c r="X85" s="3">
        <f>SUM(Q85:U85)</f>
      </c>
      <c r="Y85" s="3">
        <f>AVERAGE(S85:U85)</f>
      </c>
      <c r="Z85" s="3">
        <f>AVERAGE(P85:U85)</f>
      </c>
      <c r="AA85" s="3">
        <f>AVERAGE(M85:U85)</f>
      </c>
      <c r="AB85" s="4">
        <f>IFERROR((Y85*2)/(Z85+AA85), 0)</f>
      </c>
      <c r="AC85" s="4">
        <f>IFERROR(X85/SUM(E85:I85), 0)</f>
      </c>
      <c r="AD85" s="4">
        <f>IFERROR(X85/SUM(E85:I85), 0)</f>
      </c>
      <c r="AE85" s="4">
        <f>IFERROR(U85/I85, 0)</f>
      </c>
    </row>
    <row r="86" ht="20" customHeight="1" spans="1:31" x14ac:dyDescent="0.25">
      <c r="A86">
        <v>83</v>
      </c>
      <c r="B86" t="s">
        <v>86</v>
      </c>
      <c r="C86" t="s">
        <v>141</v>
      </c>
      <c r="D86" s="2" t="s">
        <v>86</v>
      </c>
      <c r="E86" s="3">
        <f>SUMIFS('Data nguồn'!J:J, 'Data nguồn'!D:D, $D86, 'Data nguồn'!F:F, $B$1, 'Data nguồn'!C:C, E$3)</f>
      </c>
      <c r="F86" s="3">
        <f>SUMIFS('Data nguồn'!J:J, 'Data nguồn'!D:D, $D86, 'Data nguồn'!F:F, $B$1, 'Data nguồn'!C:C, F$3)</f>
      </c>
      <c r="G86" s="3">
        <f>SUMIFS('Data nguồn'!J:J, 'Data nguồn'!D:D, $D86, 'Data nguồn'!F:F, $B$1, 'Data nguồn'!C:C, G$3)</f>
      </c>
      <c r="H86" s="3">
        <f>SUMIFS('Data nguồn'!J:J, 'Data nguồn'!D:D, $D86, 'Data nguồn'!F:F, $B$1, 'Data nguồn'!C:C, H$3)</f>
      </c>
      <c r="I86" s="3">
        <f>SUMIFS('Data nguồn'!J:J, 'Data nguồn'!D:D, $D86, 'Data nguồn'!F:F, $B$1, 'Data nguồn'!C:C, I$3)</f>
      </c>
      <c r="J86" s="3">
        <f>SUMIFS('Data nguồn'!J:J, 'Data nguồn'!D:D, $D86, 'Data nguồn'!F:F, $B$1, 'Data nguồn'!C:C, J$3)</f>
      </c>
      <c r="K86" s="3">
        <f>SUMIFS('Data nguồn'!J:J, 'Data nguồn'!D:D, $D86, 'Data nguồn'!F:F, $B$1, 'Data nguồn'!C:C, K$3)</f>
      </c>
      <c r="L86" s="3">
        <f>SUMIFS('Data nguồn'!J:J, 'Data nguồn'!D:D, $D86, 'Data nguồn'!F:F, $B$1, 'Data nguồn'!C:C, L$3)</f>
      </c>
      <c r="M86" s="3">
        <f>SUMIFS('Data nguồn'!J:J, 'Data nguồn'!D:D, $D86, 'Data nguồn'!F:F, $B$1, 'Data nguồn'!C:C, M$3)</f>
      </c>
      <c r="N86" s="3">
        <f>SUMIFS('Data nguồn'!J:J, 'Data nguồn'!D:D, $D86, 'Data nguồn'!F:F, $B$1, 'Data nguồn'!C:C, N$3)</f>
      </c>
      <c r="O86" s="3">
        <f>SUMIFS('Data nguồn'!J:J, 'Data nguồn'!D:D, $D86, 'Data nguồn'!F:F, $B$1, 'Data nguồn'!C:C, O$3)</f>
      </c>
      <c r="P86" s="3">
        <f>SUMIFS('Data nguồn'!J:J, 'Data nguồn'!D:D, $D86, 'Data nguồn'!F:F, $B$1, 'Data nguồn'!C:C, P$3)</f>
      </c>
      <c r="Q86" s="3">
        <f>SUMIFS('Data nguồn'!J:J, 'Data nguồn'!D:D, $D86, 'Data nguồn'!F:F, $B$1, 'Data nguồn'!C:C, Q$3)</f>
      </c>
      <c r="R86" s="3">
        <f>SUMIFS('Data nguồn'!J:J, 'Data nguồn'!D:D, $D86, 'Data nguồn'!F:F, $B$1, 'Data nguồn'!C:C, R$3)</f>
      </c>
      <c r="S86" s="3">
        <f>SUMIFS('Data nguồn'!J:J, 'Data nguồn'!D:D, $D86, 'Data nguồn'!F:F, $B$1, 'Data nguồn'!C:C, S$3)</f>
      </c>
      <c r="T86" s="3">
        <f>SUMIFS('Data nguồn'!J:J, 'Data nguồn'!D:D, $D86, 'Data nguồn'!F:F, $B$1, 'Data nguồn'!C:C, T$3)</f>
      </c>
      <c r="U86" s="3">
        <f>SUMIFS('Data nguồn'!J:J, 'Data nguồn'!D:D, $D86, 'Data nguồn'!F:F, $B$1, 'Data nguồn'!C:C, U$3)</f>
      </c>
      <c r="W86" s="3">
        <f>SUM(E86:P86)</f>
      </c>
      <c r="X86" s="3">
        <f>SUM(Q86:U86)</f>
      </c>
      <c r="Y86" s="3">
        <f>AVERAGE(S86:U86)</f>
      </c>
      <c r="Z86" s="3">
        <f>AVERAGE(P86:U86)</f>
      </c>
      <c r="AA86" s="3">
        <f>AVERAGE(M86:U86)</f>
      </c>
      <c r="AB86" s="4">
        <f>IFERROR((Y86*2)/(Z86+AA86), 0)</f>
      </c>
      <c r="AC86" s="4">
        <f>IFERROR(X86/SUM(E86:I86), 0)</f>
      </c>
      <c r="AD86" s="4">
        <f>IFERROR(X86/SUM(E86:I86), 0)</f>
      </c>
      <c r="AE86" s="4">
        <f>IFERROR(U86/I86, 0)</f>
      </c>
    </row>
    <row r="87" ht="20" customHeight="1" spans="1:31" x14ac:dyDescent="0.25">
      <c r="A87">
        <v>84</v>
      </c>
      <c r="B87" t="s">
        <v>87</v>
      </c>
      <c r="C87" t="s">
        <v>141</v>
      </c>
      <c r="D87" s="2" t="s">
        <v>87</v>
      </c>
      <c r="E87" s="3">
        <f>SUMIFS('Data nguồn'!J:J, 'Data nguồn'!D:D, $D87, 'Data nguồn'!F:F, $B$1, 'Data nguồn'!C:C, E$3)</f>
      </c>
      <c r="F87" s="3">
        <f>SUMIFS('Data nguồn'!J:J, 'Data nguồn'!D:D, $D87, 'Data nguồn'!F:F, $B$1, 'Data nguồn'!C:C, F$3)</f>
      </c>
      <c r="G87" s="3">
        <f>SUMIFS('Data nguồn'!J:J, 'Data nguồn'!D:D, $D87, 'Data nguồn'!F:F, $B$1, 'Data nguồn'!C:C, G$3)</f>
      </c>
      <c r="H87" s="3">
        <f>SUMIFS('Data nguồn'!J:J, 'Data nguồn'!D:D, $D87, 'Data nguồn'!F:F, $B$1, 'Data nguồn'!C:C, H$3)</f>
      </c>
      <c r="I87" s="3">
        <f>SUMIFS('Data nguồn'!J:J, 'Data nguồn'!D:D, $D87, 'Data nguồn'!F:F, $B$1, 'Data nguồn'!C:C, I$3)</f>
      </c>
      <c r="J87" s="3">
        <f>SUMIFS('Data nguồn'!J:J, 'Data nguồn'!D:D, $D87, 'Data nguồn'!F:F, $B$1, 'Data nguồn'!C:C, J$3)</f>
      </c>
      <c r="K87" s="3">
        <f>SUMIFS('Data nguồn'!J:J, 'Data nguồn'!D:D, $D87, 'Data nguồn'!F:F, $B$1, 'Data nguồn'!C:C, K$3)</f>
      </c>
      <c r="L87" s="3">
        <f>SUMIFS('Data nguồn'!J:J, 'Data nguồn'!D:D, $D87, 'Data nguồn'!F:F, $B$1, 'Data nguồn'!C:C, L$3)</f>
      </c>
      <c r="M87" s="3">
        <f>SUMIFS('Data nguồn'!J:J, 'Data nguồn'!D:D, $D87, 'Data nguồn'!F:F, $B$1, 'Data nguồn'!C:C, M$3)</f>
      </c>
      <c r="N87" s="3">
        <f>SUMIFS('Data nguồn'!J:J, 'Data nguồn'!D:D, $D87, 'Data nguồn'!F:F, $B$1, 'Data nguồn'!C:C, N$3)</f>
      </c>
      <c r="O87" s="3">
        <f>SUMIFS('Data nguồn'!J:J, 'Data nguồn'!D:D, $D87, 'Data nguồn'!F:F, $B$1, 'Data nguồn'!C:C, O$3)</f>
      </c>
      <c r="P87" s="3">
        <f>SUMIFS('Data nguồn'!J:J, 'Data nguồn'!D:D, $D87, 'Data nguồn'!F:F, $B$1, 'Data nguồn'!C:C, P$3)</f>
      </c>
      <c r="Q87" s="3">
        <f>SUMIFS('Data nguồn'!J:J, 'Data nguồn'!D:D, $D87, 'Data nguồn'!F:F, $B$1, 'Data nguồn'!C:C, Q$3)</f>
      </c>
      <c r="R87" s="3">
        <f>SUMIFS('Data nguồn'!J:J, 'Data nguồn'!D:D, $D87, 'Data nguồn'!F:F, $B$1, 'Data nguồn'!C:C, R$3)</f>
      </c>
      <c r="S87" s="3">
        <f>SUMIFS('Data nguồn'!J:J, 'Data nguồn'!D:D, $D87, 'Data nguồn'!F:F, $B$1, 'Data nguồn'!C:C, S$3)</f>
      </c>
      <c r="T87" s="3">
        <f>SUMIFS('Data nguồn'!J:J, 'Data nguồn'!D:D, $D87, 'Data nguồn'!F:F, $B$1, 'Data nguồn'!C:C, T$3)</f>
      </c>
      <c r="U87" s="3">
        <f>SUMIFS('Data nguồn'!J:J, 'Data nguồn'!D:D, $D87, 'Data nguồn'!F:F, $B$1, 'Data nguồn'!C:C, U$3)</f>
      </c>
      <c r="W87" s="3">
        <f>SUM(E87:P87)</f>
      </c>
      <c r="X87" s="3">
        <f>SUM(Q87:U87)</f>
      </c>
      <c r="Y87" s="3">
        <f>AVERAGE(S87:U87)</f>
      </c>
      <c r="Z87" s="3">
        <f>AVERAGE(P87:U87)</f>
      </c>
      <c r="AA87" s="3">
        <f>AVERAGE(M87:U87)</f>
      </c>
      <c r="AB87" s="4">
        <f>IFERROR((Y87*2)/(Z87+AA87), 0)</f>
      </c>
      <c r="AC87" s="4">
        <f>IFERROR(X87/SUM(E87:I87), 0)</f>
      </c>
      <c r="AD87" s="4">
        <f>IFERROR(X87/SUM(E87:I87), 0)</f>
      </c>
      <c r="AE87" s="4">
        <f>IFERROR(U87/I87, 0)</f>
      </c>
    </row>
    <row r="88" ht="20" customHeight="1" spans="1:31" x14ac:dyDescent="0.25">
      <c r="A88">
        <v>85</v>
      </c>
      <c r="B88" t="s">
        <v>88</v>
      </c>
      <c r="C88" t="s">
        <v>141</v>
      </c>
      <c r="D88" s="2" t="s">
        <v>88</v>
      </c>
      <c r="E88" s="3">
        <f>SUMIFS('Data nguồn'!J:J, 'Data nguồn'!D:D, $D88, 'Data nguồn'!F:F, $B$1, 'Data nguồn'!C:C, E$3)</f>
      </c>
      <c r="F88" s="3">
        <f>SUMIFS('Data nguồn'!J:J, 'Data nguồn'!D:D, $D88, 'Data nguồn'!F:F, $B$1, 'Data nguồn'!C:C, F$3)</f>
      </c>
      <c r="G88" s="3">
        <f>SUMIFS('Data nguồn'!J:J, 'Data nguồn'!D:D, $D88, 'Data nguồn'!F:F, $B$1, 'Data nguồn'!C:C, G$3)</f>
      </c>
      <c r="H88" s="3">
        <f>SUMIFS('Data nguồn'!J:J, 'Data nguồn'!D:D, $D88, 'Data nguồn'!F:F, $B$1, 'Data nguồn'!C:C, H$3)</f>
      </c>
      <c r="I88" s="3">
        <f>SUMIFS('Data nguồn'!J:J, 'Data nguồn'!D:D, $D88, 'Data nguồn'!F:F, $B$1, 'Data nguồn'!C:C, I$3)</f>
      </c>
      <c r="J88" s="3">
        <f>SUMIFS('Data nguồn'!J:J, 'Data nguồn'!D:D, $D88, 'Data nguồn'!F:F, $B$1, 'Data nguồn'!C:C, J$3)</f>
      </c>
      <c r="K88" s="3">
        <f>SUMIFS('Data nguồn'!J:J, 'Data nguồn'!D:D, $D88, 'Data nguồn'!F:F, $B$1, 'Data nguồn'!C:C, K$3)</f>
      </c>
      <c r="L88" s="3">
        <f>SUMIFS('Data nguồn'!J:J, 'Data nguồn'!D:D, $D88, 'Data nguồn'!F:F, $B$1, 'Data nguồn'!C:C, L$3)</f>
      </c>
      <c r="M88" s="3">
        <f>SUMIFS('Data nguồn'!J:J, 'Data nguồn'!D:D, $D88, 'Data nguồn'!F:F, $B$1, 'Data nguồn'!C:C, M$3)</f>
      </c>
      <c r="N88" s="3">
        <f>SUMIFS('Data nguồn'!J:J, 'Data nguồn'!D:D, $D88, 'Data nguồn'!F:F, $B$1, 'Data nguồn'!C:C, N$3)</f>
      </c>
      <c r="O88" s="3">
        <f>SUMIFS('Data nguồn'!J:J, 'Data nguồn'!D:D, $D88, 'Data nguồn'!F:F, $B$1, 'Data nguồn'!C:C, O$3)</f>
      </c>
      <c r="P88" s="3">
        <f>SUMIFS('Data nguồn'!J:J, 'Data nguồn'!D:D, $D88, 'Data nguồn'!F:F, $B$1, 'Data nguồn'!C:C, P$3)</f>
      </c>
      <c r="Q88" s="3">
        <f>SUMIFS('Data nguồn'!J:J, 'Data nguồn'!D:D, $D88, 'Data nguồn'!F:F, $B$1, 'Data nguồn'!C:C, Q$3)</f>
      </c>
      <c r="R88" s="3">
        <f>SUMIFS('Data nguồn'!J:J, 'Data nguồn'!D:D, $D88, 'Data nguồn'!F:F, $B$1, 'Data nguồn'!C:C, R$3)</f>
      </c>
      <c r="S88" s="3">
        <f>SUMIFS('Data nguồn'!J:J, 'Data nguồn'!D:D, $D88, 'Data nguồn'!F:F, $B$1, 'Data nguồn'!C:C, S$3)</f>
      </c>
      <c r="T88" s="3">
        <f>SUMIFS('Data nguồn'!J:J, 'Data nguồn'!D:D, $D88, 'Data nguồn'!F:F, $B$1, 'Data nguồn'!C:C, T$3)</f>
      </c>
      <c r="U88" s="3">
        <f>SUMIFS('Data nguồn'!J:J, 'Data nguồn'!D:D, $D88, 'Data nguồn'!F:F, $B$1, 'Data nguồn'!C:C, U$3)</f>
      </c>
      <c r="W88" s="3">
        <f>SUM(E88:P88)</f>
      </c>
      <c r="X88" s="3">
        <f>SUM(Q88:U88)</f>
      </c>
      <c r="Y88" s="3">
        <f>AVERAGE(S88:U88)</f>
      </c>
      <c r="Z88" s="3">
        <f>AVERAGE(P88:U88)</f>
      </c>
      <c r="AA88" s="3">
        <f>AVERAGE(M88:U88)</f>
      </c>
      <c r="AB88" s="4">
        <f>IFERROR((Y88*2)/(Z88+AA88), 0)</f>
      </c>
      <c r="AC88" s="4">
        <f>IFERROR(X88/SUM(E88:I88), 0)</f>
      </c>
      <c r="AD88" s="4">
        <f>IFERROR(X88/SUM(E88:I88), 0)</f>
      </c>
      <c r="AE88" s="4">
        <f>IFERROR(U88/I88, 0)</f>
      </c>
    </row>
    <row r="89" ht="20" customHeight="1" spans="1:31" x14ac:dyDescent="0.25">
      <c r="A89">
        <v>86</v>
      </c>
      <c r="B89" t="s">
        <v>89</v>
      </c>
      <c r="C89" t="s">
        <v>141</v>
      </c>
      <c r="D89" s="2" t="s">
        <v>89</v>
      </c>
      <c r="E89" s="3">
        <f>SUMIFS('Data nguồn'!J:J, 'Data nguồn'!D:D, $D89, 'Data nguồn'!F:F, $B$1, 'Data nguồn'!C:C, E$3)</f>
      </c>
      <c r="F89" s="3">
        <f>SUMIFS('Data nguồn'!J:J, 'Data nguồn'!D:D, $D89, 'Data nguồn'!F:F, $B$1, 'Data nguồn'!C:C, F$3)</f>
      </c>
      <c r="G89" s="3">
        <f>SUMIFS('Data nguồn'!J:J, 'Data nguồn'!D:D, $D89, 'Data nguồn'!F:F, $B$1, 'Data nguồn'!C:C, G$3)</f>
      </c>
      <c r="H89" s="3">
        <f>SUMIFS('Data nguồn'!J:J, 'Data nguồn'!D:D, $D89, 'Data nguồn'!F:F, $B$1, 'Data nguồn'!C:C, H$3)</f>
      </c>
      <c r="I89" s="3">
        <f>SUMIFS('Data nguồn'!J:J, 'Data nguồn'!D:D, $D89, 'Data nguồn'!F:F, $B$1, 'Data nguồn'!C:C, I$3)</f>
      </c>
      <c r="J89" s="3">
        <f>SUMIFS('Data nguồn'!J:J, 'Data nguồn'!D:D, $D89, 'Data nguồn'!F:F, $B$1, 'Data nguồn'!C:C, J$3)</f>
      </c>
      <c r="K89" s="3">
        <f>SUMIFS('Data nguồn'!J:J, 'Data nguồn'!D:D, $D89, 'Data nguồn'!F:F, $B$1, 'Data nguồn'!C:C, K$3)</f>
      </c>
      <c r="L89" s="3">
        <f>SUMIFS('Data nguồn'!J:J, 'Data nguồn'!D:D, $D89, 'Data nguồn'!F:F, $B$1, 'Data nguồn'!C:C, L$3)</f>
      </c>
      <c r="M89" s="3">
        <f>SUMIFS('Data nguồn'!J:J, 'Data nguồn'!D:D, $D89, 'Data nguồn'!F:F, $B$1, 'Data nguồn'!C:C, M$3)</f>
      </c>
      <c r="N89" s="3">
        <f>SUMIFS('Data nguồn'!J:J, 'Data nguồn'!D:D, $D89, 'Data nguồn'!F:F, $B$1, 'Data nguồn'!C:C, N$3)</f>
      </c>
      <c r="O89" s="3">
        <f>SUMIFS('Data nguồn'!J:J, 'Data nguồn'!D:D, $D89, 'Data nguồn'!F:F, $B$1, 'Data nguồn'!C:C, O$3)</f>
      </c>
      <c r="P89" s="3">
        <f>SUMIFS('Data nguồn'!J:J, 'Data nguồn'!D:D, $D89, 'Data nguồn'!F:F, $B$1, 'Data nguồn'!C:C, P$3)</f>
      </c>
      <c r="Q89" s="3">
        <f>SUMIFS('Data nguồn'!J:J, 'Data nguồn'!D:D, $D89, 'Data nguồn'!F:F, $B$1, 'Data nguồn'!C:C, Q$3)</f>
      </c>
      <c r="R89" s="3">
        <f>SUMIFS('Data nguồn'!J:J, 'Data nguồn'!D:D, $D89, 'Data nguồn'!F:F, $B$1, 'Data nguồn'!C:C, R$3)</f>
      </c>
      <c r="S89" s="3">
        <f>SUMIFS('Data nguồn'!J:J, 'Data nguồn'!D:D, $D89, 'Data nguồn'!F:F, $B$1, 'Data nguồn'!C:C, S$3)</f>
      </c>
      <c r="T89" s="3">
        <f>SUMIFS('Data nguồn'!J:J, 'Data nguồn'!D:D, $D89, 'Data nguồn'!F:F, $B$1, 'Data nguồn'!C:C, T$3)</f>
      </c>
      <c r="U89" s="3">
        <f>SUMIFS('Data nguồn'!J:J, 'Data nguồn'!D:D, $D89, 'Data nguồn'!F:F, $B$1, 'Data nguồn'!C:C, U$3)</f>
      </c>
      <c r="W89" s="3">
        <f>SUM(E89:P89)</f>
      </c>
      <c r="X89" s="3">
        <f>SUM(Q89:U89)</f>
      </c>
      <c r="Y89" s="3">
        <f>AVERAGE(S89:U89)</f>
      </c>
      <c r="Z89" s="3">
        <f>AVERAGE(P89:U89)</f>
      </c>
      <c r="AA89" s="3">
        <f>AVERAGE(M89:U89)</f>
      </c>
      <c r="AB89" s="4">
        <f>IFERROR((Y89*2)/(Z89+AA89), 0)</f>
      </c>
      <c r="AC89" s="4">
        <f>IFERROR(X89/SUM(E89:I89), 0)</f>
      </c>
      <c r="AD89" s="4">
        <f>IFERROR(X89/SUM(E89:I89), 0)</f>
      </c>
      <c r="AE89" s="4">
        <f>IFERROR(U89/I89, 0)</f>
      </c>
    </row>
    <row r="90" ht="20" customHeight="1" spans="1:31" x14ac:dyDescent="0.25">
      <c r="A90">
        <v>87</v>
      </c>
      <c r="B90" t="s">
        <v>90</v>
      </c>
      <c r="C90" t="s">
        <v>141</v>
      </c>
      <c r="D90" s="2" t="s">
        <v>90</v>
      </c>
      <c r="E90" s="3">
        <f>SUMIFS('Data nguồn'!J:J, 'Data nguồn'!D:D, $D90, 'Data nguồn'!F:F, $B$1, 'Data nguồn'!C:C, E$3)</f>
      </c>
      <c r="F90" s="3">
        <f>SUMIFS('Data nguồn'!J:J, 'Data nguồn'!D:D, $D90, 'Data nguồn'!F:F, $B$1, 'Data nguồn'!C:C, F$3)</f>
      </c>
      <c r="G90" s="3">
        <f>SUMIFS('Data nguồn'!J:J, 'Data nguồn'!D:D, $D90, 'Data nguồn'!F:F, $B$1, 'Data nguồn'!C:C, G$3)</f>
      </c>
      <c r="H90" s="3">
        <f>SUMIFS('Data nguồn'!J:J, 'Data nguồn'!D:D, $D90, 'Data nguồn'!F:F, $B$1, 'Data nguồn'!C:C, H$3)</f>
      </c>
      <c r="I90" s="3">
        <f>SUMIFS('Data nguồn'!J:J, 'Data nguồn'!D:D, $D90, 'Data nguồn'!F:F, $B$1, 'Data nguồn'!C:C, I$3)</f>
      </c>
      <c r="J90" s="3">
        <f>SUMIFS('Data nguồn'!J:J, 'Data nguồn'!D:D, $D90, 'Data nguồn'!F:F, $B$1, 'Data nguồn'!C:C, J$3)</f>
      </c>
      <c r="K90" s="3">
        <f>SUMIFS('Data nguồn'!J:J, 'Data nguồn'!D:D, $D90, 'Data nguồn'!F:F, $B$1, 'Data nguồn'!C:C, K$3)</f>
      </c>
      <c r="L90" s="3">
        <f>SUMIFS('Data nguồn'!J:J, 'Data nguồn'!D:D, $D90, 'Data nguồn'!F:F, $B$1, 'Data nguồn'!C:C, L$3)</f>
      </c>
      <c r="M90" s="3">
        <f>SUMIFS('Data nguồn'!J:J, 'Data nguồn'!D:D, $D90, 'Data nguồn'!F:F, $B$1, 'Data nguồn'!C:C, M$3)</f>
      </c>
      <c r="N90" s="3">
        <f>SUMIFS('Data nguồn'!J:J, 'Data nguồn'!D:D, $D90, 'Data nguồn'!F:F, $B$1, 'Data nguồn'!C:C, N$3)</f>
      </c>
      <c r="O90" s="3">
        <f>SUMIFS('Data nguồn'!J:J, 'Data nguồn'!D:D, $D90, 'Data nguồn'!F:F, $B$1, 'Data nguồn'!C:C, O$3)</f>
      </c>
      <c r="P90" s="3">
        <f>SUMIFS('Data nguồn'!J:J, 'Data nguồn'!D:D, $D90, 'Data nguồn'!F:F, $B$1, 'Data nguồn'!C:C, P$3)</f>
      </c>
      <c r="Q90" s="3">
        <f>SUMIFS('Data nguồn'!J:J, 'Data nguồn'!D:D, $D90, 'Data nguồn'!F:F, $B$1, 'Data nguồn'!C:C, Q$3)</f>
      </c>
      <c r="R90" s="3">
        <f>SUMIFS('Data nguồn'!J:J, 'Data nguồn'!D:D, $D90, 'Data nguồn'!F:F, $B$1, 'Data nguồn'!C:C, R$3)</f>
      </c>
      <c r="S90" s="3">
        <f>SUMIFS('Data nguồn'!J:J, 'Data nguồn'!D:D, $D90, 'Data nguồn'!F:F, $B$1, 'Data nguồn'!C:C, S$3)</f>
      </c>
      <c r="T90" s="3">
        <f>SUMIFS('Data nguồn'!J:J, 'Data nguồn'!D:D, $D90, 'Data nguồn'!F:F, $B$1, 'Data nguồn'!C:C, T$3)</f>
      </c>
      <c r="U90" s="3">
        <f>SUMIFS('Data nguồn'!J:J, 'Data nguồn'!D:D, $D90, 'Data nguồn'!F:F, $B$1, 'Data nguồn'!C:C, U$3)</f>
      </c>
      <c r="W90" s="3">
        <f>SUM(E90:P90)</f>
      </c>
      <c r="X90" s="3">
        <f>SUM(Q90:U90)</f>
      </c>
      <c r="Y90" s="3">
        <f>AVERAGE(S90:U90)</f>
      </c>
      <c r="Z90" s="3">
        <f>AVERAGE(P90:U90)</f>
      </c>
      <c r="AA90" s="3">
        <f>AVERAGE(M90:U90)</f>
      </c>
      <c r="AB90" s="4">
        <f>IFERROR((Y90*2)/(Z90+AA90), 0)</f>
      </c>
      <c r="AC90" s="4">
        <f>IFERROR(X90/SUM(E90:I90), 0)</f>
      </c>
      <c r="AD90" s="4">
        <f>IFERROR(X90/SUM(E90:I90), 0)</f>
      </c>
      <c r="AE90" s="4">
        <f>IFERROR(U90/I90, 0)</f>
      </c>
    </row>
    <row r="91" ht="20" customHeight="1" spans="1:31" x14ac:dyDescent="0.25">
      <c r="A91">
        <v>88</v>
      </c>
      <c r="B91" t="s">
        <v>91</v>
      </c>
      <c r="C91" t="s">
        <v>141</v>
      </c>
      <c r="D91" s="2" t="s">
        <v>91</v>
      </c>
      <c r="E91" s="3">
        <f>SUMIFS('Data nguồn'!J:J, 'Data nguồn'!D:D, $D91, 'Data nguồn'!F:F, $B$1, 'Data nguồn'!C:C, E$3)</f>
      </c>
      <c r="F91" s="3">
        <f>SUMIFS('Data nguồn'!J:J, 'Data nguồn'!D:D, $D91, 'Data nguồn'!F:F, $B$1, 'Data nguồn'!C:C, F$3)</f>
      </c>
      <c r="G91" s="3">
        <f>SUMIFS('Data nguồn'!J:J, 'Data nguồn'!D:D, $D91, 'Data nguồn'!F:F, $B$1, 'Data nguồn'!C:C, G$3)</f>
      </c>
      <c r="H91" s="3">
        <f>SUMIFS('Data nguồn'!J:J, 'Data nguồn'!D:D, $D91, 'Data nguồn'!F:F, $B$1, 'Data nguồn'!C:C, H$3)</f>
      </c>
      <c r="I91" s="3">
        <f>SUMIFS('Data nguồn'!J:J, 'Data nguồn'!D:D, $D91, 'Data nguồn'!F:F, $B$1, 'Data nguồn'!C:C, I$3)</f>
      </c>
      <c r="J91" s="3">
        <f>SUMIFS('Data nguồn'!J:J, 'Data nguồn'!D:D, $D91, 'Data nguồn'!F:F, $B$1, 'Data nguồn'!C:C, J$3)</f>
      </c>
      <c r="K91" s="3">
        <f>SUMIFS('Data nguồn'!J:J, 'Data nguồn'!D:D, $D91, 'Data nguồn'!F:F, $B$1, 'Data nguồn'!C:C, K$3)</f>
      </c>
      <c r="L91" s="3">
        <f>SUMIFS('Data nguồn'!J:J, 'Data nguồn'!D:D, $D91, 'Data nguồn'!F:F, $B$1, 'Data nguồn'!C:C, L$3)</f>
      </c>
      <c r="M91" s="3">
        <f>SUMIFS('Data nguồn'!J:J, 'Data nguồn'!D:D, $D91, 'Data nguồn'!F:F, $B$1, 'Data nguồn'!C:C, M$3)</f>
      </c>
      <c r="N91" s="3">
        <f>SUMIFS('Data nguồn'!J:J, 'Data nguồn'!D:D, $D91, 'Data nguồn'!F:F, $B$1, 'Data nguồn'!C:C, N$3)</f>
      </c>
      <c r="O91" s="3">
        <f>SUMIFS('Data nguồn'!J:J, 'Data nguồn'!D:D, $D91, 'Data nguồn'!F:F, $B$1, 'Data nguồn'!C:C, O$3)</f>
      </c>
      <c r="P91" s="3">
        <f>SUMIFS('Data nguồn'!J:J, 'Data nguồn'!D:D, $D91, 'Data nguồn'!F:F, $B$1, 'Data nguồn'!C:C, P$3)</f>
      </c>
      <c r="Q91" s="3">
        <f>SUMIFS('Data nguồn'!J:J, 'Data nguồn'!D:D, $D91, 'Data nguồn'!F:F, $B$1, 'Data nguồn'!C:C, Q$3)</f>
      </c>
      <c r="R91" s="3">
        <f>SUMIFS('Data nguồn'!J:J, 'Data nguồn'!D:D, $D91, 'Data nguồn'!F:F, $B$1, 'Data nguồn'!C:C, R$3)</f>
      </c>
      <c r="S91" s="3">
        <f>SUMIFS('Data nguồn'!J:J, 'Data nguồn'!D:D, $D91, 'Data nguồn'!F:F, $B$1, 'Data nguồn'!C:C, S$3)</f>
      </c>
      <c r="T91" s="3">
        <f>SUMIFS('Data nguồn'!J:J, 'Data nguồn'!D:D, $D91, 'Data nguồn'!F:F, $B$1, 'Data nguồn'!C:C, T$3)</f>
      </c>
      <c r="U91" s="3">
        <f>SUMIFS('Data nguồn'!J:J, 'Data nguồn'!D:D, $D91, 'Data nguồn'!F:F, $B$1, 'Data nguồn'!C:C, U$3)</f>
      </c>
      <c r="W91" s="3">
        <f>SUM(E91:P91)</f>
      </c>
      <c r="X91" s="3">
        <f>SUM(Q91:U91)</f>
      </c>
      <c r="Y91" s="3">
        <f>AVERAGE(S91:U91)</f>
      </c>
      <c r="Z91" s="3">
        <f>AVERAGE(P91:U91)</f>
      </c>
      <c r="AA91" s="3">
        <f>AVERAGE(M91:U91)</f>
      </c>
      <c r="AB91" s="4">
        <f>IFERROR((Y91*2)/(Z91+AA91), 0)</f>
      </c>
      <c r="AC91" s="4">
        <f>IFERROR(X91/SUM(E91:I91), 0)</f>
      </c>
      <c r="AD91" s="4">
        <f>IFERROR(X91/SUM(E91:I91), 0)</f>
      </c>
      <c r="AE91" s="4">
        <f>IFERROR(U91/I91, 0)</f>
      </c>
    </row>
    <row r="92" ht="20" customHeight="1" spans="1:31" x14ac:dyDescent="0.25">
      <c r="A92">
        <v>89</v>
      </c>
      <c r="B92" t="s">
        <v>93</v>
      </c>
      <c r="C92" t="s">
        <v>141</v>
      </c>
      <c r="D92" s="2" t="s">
        <v>93</v>
      </c>
      <c r="E92" s="3">
        <f>SUMIFS('Data nguồn'!J:J, 'Data nguồn'!D:D, $D92, 'Data nguồn'!F:F, $B$1, 'Data nguồn'!C:C, E$3)</f>
      </c>
      <c r="F92" s="3">
        <f>SUMIFS('Data nguồn'!J:J, 'Data nguồn'!D:D, $D92, 'Data nguồn'!F:F, $B$1, 'Data nguồn'!C:C, F$3)</f>
      </c>
      <c r="G92" s="3">
        <f>SUMIFS('Data nguồn'!J:J, 'Data nguồn'!D:D, $D92, 'Data nguồn'!F:F, $B$1, 'Data nguồn'!C:C, G$3)</f>
      </c>
      <c r="H92" s="3">
        <f>SUMIFS('Data nguồn'!J:J, 'Data nguồn'!D:D, $D92, 'Data nguồn'!F:F, $B$1, 'Data nguồn'!C:C, H$3)</f>
      </c>
      <c r="I92" s="3">
        <f>SUMIFS('Data nguồn'!J:J, 'Data nguồn'!D:D, $D92, 'Data nguồn'!F:F, $B$1, 'Data nguồn'!C:C, I$3)</f>
      </c>
      <c r="J92" s="3">
        <f>SUMIFS('Data nguồn'!J:J, 'Data nguồn'!D:D, $D92, 'Data nguồn'!F:F, $B$1, 'Data nguồn'!C:C, J$3)</f>
      </c>
      <c r="K92" s="3">
        <f>SUMIFS('Data nguồn'!J:J, 'Data nguồn'!D:D, $D92, 'Data nguồn'!F:F, $B$1, 'Data nguồn'!C:C, K$3)</f>
      </c>
      <c r="L92" s="3">
        <f>SUMIFS('Data nguồn'!J:J, 'Data nguồn'!D:D, $D92, 'Data nguồn'!F:F, $B$1, 'Data nguồn'!C:C, L$3)</f>
      </c>
      <c r="M92" s="3">
        <f>SUMIFS('Data nguồn'!J:J, 'Data nguồn'!D:D, $D92, 'Data nguồn'!F:F, $B$1, 'Data nguồn'!C:C, M$3)</f>
      </c>
      <c r="N92" s="3">
        <f>SUMIFS('Data nguồn'!J:J, 'Data nguồn'!D:D, $D92, 'Data nguồn'!F:F, $B$1, 'Data nguồn'!C:C, N$3)</f>
      </c>
      <c r="O92" s="3">
        <f>SUMIFS('Data nguồn'!J:J, 'Data nguồn'!D:D, $D92, 'Data nguồn'!F:F, $B$1, 'Data nguồn'!C:C, O$3)</f>
      </c>
      <c r="P92" s="3">
        <f>SUMIFS('Data nguồn'!J:J, 'Data nguồn'!D:D, $D92, 'Data nguồn'!F:F, $B$1, 'Data nguồn'!C:C, P$3)</f>
      </c>
      <c r="Q92" s="3">
        <f>SUMIFS('Data nguồn'!J:J, 'Data nguồn'!D:D, $D92, 'Data nguồn'!F:F, $B$1, 'Data nguồn'!C:C, Q$3)</f>
      </c>
      <c r="R92" s="3">
        <f>SUMIFS('Data nguồn'!J:J, 'Data nguồn'!D:D, $D92, 'Data nguồn'!F:F, $B$1, 'Data nguồn'!C:C, R$3)</f>
      </c>
      <c r="S92" s="3">
        <f>SUMIFS('Data nguồn'!J:J, 'Data nguồn'!D:D, $D92, 'Data nguồn'!F:F, $B$1, 'Data nguồn'!C:C, S$3)</f>
      </c>
      <c r="T92" s="3">
        <f>SUMIFS('Data nguồn'!J:J, 'Data nguồn'!D:D, $D92, 'Data nguồn'!F:F, $B$1, 'Data nguồn'!C:C, T$3)</f>
      </c>
      <c r="U92" s="3">
        <f>SUMIFS('Data nguồn'!J:J, 'Data nguồn'!D:D, $D92, 'Data nguồn'!F:F, $B$1, 'Data nguồn'!C:C, U$3)</f>
      </c>
      <c r="W92" s="3">
        <f>SUM(E92:P92)</f>
      </c>
      <c r="X92" s="3">
        <f>SUM(Q92:U92)</f>
      </c>
      <c r="Y92" s="3">
        <f>AVERAGE(S92:U92)</f>
      </c>
      <c r="Z92" s="3">
        <f>AVERAGE(P92:U92)</f>
      </c>
      <c r="AA92" s="3">
        <f>AVERAGE(M92:U92)</f>
      </c>
      <c r="AB92" s="4">
        <f>IFERROR((Y92*2)/(Z92+AA92), 0)</f>
      </c>
      <c r="AC92" s="4">
        <f>IFERROR(X92/SUM(E92:I92), 0)</f>
      </c>
      <c r="AD92" s="4">
        <f>IFERROR(X92/SUM(E92:I92), 0)</f>
      </c>
      <c r="AE92" s="4">
        <f>IFERROR(U92/I92, 0)</f>
      </c>
    </row>
    <row r="93" ht="20" customHeight="1" spans="1:31" x14ac:dyDescent="0.25">
      <c r="A93">
        <v>90</v>
      </c>
      <c r="B93" t="s">
        <v>94</v>
      </c>
      <c r="C93" t="s">
        <v>141</v>
      </c>
      <c r="D93" s="2" t="s">
        <v>94</v>
      </c>
      <c r="E93" s="3">
        <f>SUMIFS('Data nguồn'!J:J, 'Data nguồn'!D:D, $D93, 'Data nguồn'!F:F, $B$1, 'Data nguồn'!C:C, E$3)</f>
      </c>
      <c r="F93" s="3">
        <f>SUMIFS('Data nguồn'!J:J, 'Data nguồn'!D:D, $D93, 'Data nguồn'!F:F, $B$1, 'Data nguồn'!C:C, F$3)</f>
      </c>
      <c r="G93" s="3">
        <f>SUMIFS('Data nguồn'!J:J, 'Data nguồn'!D:D, $D93, 'Data nguồn'!F:F, $B$1, 'Data nguồn'!C:C, G$3)</f>
      </c>
      <c r="H93" s="3">
        <f>SUMIFS('Data nguồn'!J:J, 'Data nguồn'!D:D, $D93, 'Data nguồn'!F:F, $B$1, 'Data nguồn'!C:C, H$3)</f>
      </c>
      <c r="I93" s="3">
        <f>SUMIFS('Data nguồn'!J:J, 'Data nguồn'!D:D, $D93, 'Data nguồn'!F:F, $B$1, 'Data nguồn'!C:C, I$3)</f>
      </c>
      <c r="J93" s="3">
        <f>SUMIFS('Data nguồn'!J:J, 'Data nguồn'!D:D, $D93, 'Data nguồn'!F:F, $B$1, 'Data nguồn'!C:C, J$3)</f>
      </c>
      <c r="K93" s="3">
        <f>SUMIFS('Data nguồn'!J:J, 'Data nguồn'!D:D, $D93, 'Data nguồn'!F:F, $B$1, 'Data nguồn'!C:C, K$3)</f>
      </c>
      <c r="L93" s="3">
        <f>SUMIFS('Data nguồn'!J:J, 'Data nguồn'!D:D, $D93, 'Data nguồn'!F:F, $B$1, 'Data nguồn'!C:C, L$3)</f>
      </c>
      <c r="M93" s="3">
        <f>SUMIFS('Data nguồn'!J:J, 'Data nguồn'!D:D, $D93, 'Data nguồn'!F:F, $B$1, 'Data nguồn'!C:C, M$3)</f>
      </c>
      <c r="N93" s="3">
        <f>SUMIFS('Data nguồn'!J:J, 'Data nguồn'!D:D, $D93, 'Data nguồn'!F:F, $B$1, 'Data nguồn'!C:C, N$3)</f>
      </c>
      <c r="O93" s="3">
        <f>SUMIFS('Data nguồn'!J:J, 'Data nguồn'!D:D, $D93, 'Data nguồn'!F:F, $B$1, 'Data nguồn'!C:C, O$3)</f>
      </c>
      <c r="P93" s="3">
        <f>SUMIFS('Data nguồn'!J:J, 'Data nguồn'!D:D, $D93, 'Data nguồn'!F:F, $B$1, 'Data nguồn'!C:C, P$3)</f>
      </c>
      <c r="Q93" s="3">
        <f>SUMIFS('Data nguồn'!J:J, 'Data nguồn'!D:D, $D93, 'Data nguồn'!F:F, $B$1, 'Data nguồn'!C:C, Q$3)</f>
      </c>
      <c r="R93" s="3">
        <f>SUMIFS('Data nguồn'!J:J, 'Data nguồn'!D:D, $D93, 'Data nguồn'!F:F, $B$1, 'Data nguồn'!C:C, R$3)</f>
      </c>
      <c r="S93" s="3">
        <f>SUMIFS('Data nguồn'!J:J, 'Data nguồn'!D:D, $D93, 'Data nguồn'!F:F, $B$1, 'Data nguồn'!C:C, S$3)</f>
      </c>
      <c r="T93" s="3">
        <f>SUMIFS('Data nguồn'!J:J, 'Data nguồn'!D:D, $D93, 'Data nguồn'!F:F, $B$1, 'Data nguồn'!C:C, T$3)</f>
      </c>
      <c r="U93" s="3">
        <f>SUMIFS('Data nguồn'!J:J, 'Data nguồn'!D:D, $D93, 'Data nguồn'!F:F, $B$1, 'Data nguồn'!C:C, U$3)</f>
      </c>
      <c r="W93" s="3">
        <f>SUM(E93:P93)</f>
      </c>
      <c r="X93" s="3">
        <f>SUM(Q93:U93)</f>
      </c>
      <c r="Y93" s="3">
        <f>AVERAGE(S93:U93)</f>
      </c>
      <c r="Z93" s="3">
        <f>AVERAGE(P93:U93)</f>
      </c>
      <c r="AA93" s="3">
        <f>AVERAGE(M93:U93)</f>
      </c>
      <c r="AB93" s="4">
        <f>IFERROR((Y93*2)/(Z93+AA93), 0)</f>
      </c>
      <c r="AC93" s="4">
        <f>IFERROR(X93/SUM(E93:I93), 0)</f>
      </c>
      <c r="AD93" s="4">
        <f>IFERROR(X93/SUM(E93:I93), 0)</f>
      </c>
      <c r="AE93" s="4">
        <f>IFERROR(U93/I93, 0)</f>
      </c>
    </row>
    <row r="94" ht="20" customHeight="1" spans="1:31" x14ac:dyDescent="0.25">
      <c r="A94">
        <v>91</v>
      </c>
      <c r="B94" t="s">
        <v>95</v>
      </c>
      <c r="C94" t="s">
        <v>141</v>
      </c>
      <c r="D94" s="2" t="s">
        <v>95</v>
      </c>
      <c r="E94" s="3">
        <f>SUMIFS('Data nguồn'!J:J, 'Data nguồn'!D:D, $D94, 'Data nguồn'!F:F, $B$1, 'Data nguồn'!C:C, E$3)</f>
      </c>
      <c r="F94" s="3">
        <f>SUMIFS('Data nguồn'!J:J, 'Data nguồn'!D:D, $D94, 'Data nguồn'!F:F, $B$1, 'Data nguồn'!C:C, F$3)</f>
      </c>
      <c r="G94" s="3">
        <f>SUMIFS('Data nguồn'!J:J, 'Data nguồn'!D:D, $D94, 'Data nguồn'!F:F, $B$1, 'Data nguồn'!C:C, G$3)</f>
      </c>
      <c r="H94" s="3">
        <f>SUMIFS('Data nguồn'!J:J, 'Data nguồn'!D:D, $D94, 'Data nguồn'!F:F, $B$1, 'Data nguồn'!C:C, H$3)</f>
      </c>
      <c r="I94" s="3">
        <f>SUMIFS('Data nguồn'!J:J, 'Data nguồn'!D:D, $D94, 'Data nguồn'!F:F, $B$1, 'Data nguồn'!C:C, I$3)</f>
      </c>
      <c r="J94" s="3">
        <f>SUMIFS('Data nguồn'!J:J, 'Data nguồn'!D:D, $D94, 'Data nguồn'!F:F, $B$1, 'Data nguồn'!C:C, J$3)</f>
      </c>
      <c r="K94" s="3">
        <f>SUMIFS('Data nguồn'!J:J, 'Data nguồn'!D:D, $D94, 'Data nguồn'!F:F, $B$1, 'Data nguồn'!C:C, K$3)</f>
      </c>
      <c r="L94" s="3">
        <f>SUMIFS('Data nguồn'!J:J, 'Data nguồn'!D:D, $D94, 'Data nguồn'!F:F, $B$1, 'Data nguồn'!C:C, L$3)</f>
      </c>
      <c r="M94" s="3">
        <f>SUMIFS('Data nguồn'!J:J, 'Data nguồn'!D:D, $D94, 'Data nguồn'!F:F, $B$1, 'Data nguồn'!C:C, M$3)</f>
      </c>
      <c r="N94" s="3">
        <f>SUMIFS('Data nguồn'!J:J, 'Data nguồn'!D:D, $D94, 'Data nguồn'!F:F, $B$1, 'Data nguồn'!C:C, N$3)</f>
      </c>
      <c r="O94" s="3">
        <f>SUMIFS('Data nguồn'!J:J, 'Data nguồn'!D:D, $D94, 'Data nguồn'!F:F, $B$1, 'Data nguồn'!C:C, O$3)</f>
      </c>
      <c r="P94" s="3">
        <f>SUMIFS('Data nguồn'!J:J, 'Data nguồn'!D:D, $D94, 'Data nguồn'!F:F, $B$1, 'Data nguồn'!C:C, P$3)</f>
      </c>
      <c r="Q94" s="3">
        <f>SUMIFS('Data nguồn'!J:J, 'Data nguồn'!D:D, $D94, 'Data nguồn'!F:F, $B$1, 'Data nguồn'!C:C, Q$3)</f>
      </c>
      <c r="R94" s="3">
        <f>SUMIFS('Data nguồn'!J:J, 'Data nguồn'!D:D, $D94, 'Data nguồn'!F:F, $B$1, 'Data nguồn'!C:C, R$3)</f>
      </c>
      <c r="S94" s="3">
        <f>SUMIFS('Data nguồn'!J:J, 'Data nguồn'!D:D, $D94, 'Data nguồn'!F:F, $B$1, 'Data nguồn'!C:C, S$3)</f>
      </c>
      <c r="T94" s="3">
        <f>SUMIFS('Data nguồn'!J:J, 'Data nguồn'!D:D, $D94, 'Data nguồn'!F:F, $B$1, 'Data nguồn'!C:C, T$3)</f>
      </c>
      <c r="U94" s="3">
        <f>SUMIFS('Data nguồn'!J:J, 'Data nguồn'!D:D, $D94, 'Data nguồn'!F:F, $B$1, 'Data nguồn'!C:C, U$3)</f>
      </c>
      <c r="W94" s="3">
        <f>SUM(E94:P94)</f>
      </c>
      <c r="X94" s="3">
        <f>SUM(Q94:U94)</f>
      </c>
      <c r="Y94" s="3">
        <f>AVERAGE(S94:U94)</f>
      </c>
      <c r="Z94" s="3">
        <f>AVERAGE(P94:U94)</f>
      </c>
      <c r="AA94" s="3">
        <f>AVERAGE(M94:U94)</f>
      </c>
      <c r="AB94" s="4">
        <f>IFERROR((Y94*2)/(Z94+AA94), 0)</f>
      </c>
      <c r="AC94" s="4">
        <f>IFERROR(X94/SUM(E94:I94), 0)</f>
      </c>
      <c r="AD94" s="4">
        <f>IFERROR(X94/SUM(E94:I94), 0)</f>
      </c>
      <c r="AE94" s="4">
        <f>IFERROR(U94/I94, 0)</f>
      </c>
    </row>
    <row r="95" ht="20" customHeight="1" spans="1:31" x14ac:dyDescent="0.25">
      <c r="A95">
        <v>92</v>
      </c>
      <c r="B95" t="s">
        <v>96</v>
      </c>
      <c r="C95" t="s">
        <v>141</v>
      </c>
      <c r="D95" s="2" t="s">
        <v>96</v>
      </c>
      <c r="E95" s="3">
        <f>SUMIFS('Data nguồn'!J:J, 'Data nguồn'!D:D, $D95, 'Data nguồn'!F:F, $B$1, 'Data nguồn'!C:C, E$3)</f>
      </c>
      <c r="F95" s="3">
        <f>SUMIFS('Data nguồn'!J:J, 'Data nguồn'!D:D, $D95, 'Data nguồn'!F:F, $B$1, 'Data nguồn'!C:C, F$3)</f>
      </c>
      <c r="G95" s="3">
        <f>SUMIFS('Data nguồn'!J:J, 'Data nguồn'!D:D, $D95, 'Data nguồn'!F:F, $B$1, 'Data nguồn'!C:C, G$3)</f>
      </c>
      <c r="H95" s="3">
        <f>SUMIFS('Data nguồn'!J:J, 'Data nguồn'!D:D, $D95, 'Data nguồn'!F:F, $B$1, 'Data nguồn'!C:C, H$3)</f>
      </c>
      <c r="I95" s="3">
        <f>SUMIFS('Data nguồn'!J:J, 'Data nguồn'!D:D, $D95, 'Data nguồn'!F:F, $B$1, 'Data nguồn'!C:C, I$3)</f>
      </c>
      <c r="J95" s="3">
        <f>SUMIFS('Data nguồn'!J:J, 'Data nguồn'!D:D, $D95, 'Data nguồn'!F:F, $B$1, 'Data nguồn'!C:C, J$3)</f>
      </c>
      <c r="K95" s="3">
        <f>SUMIFS('Data nguồn'!J:J, 'Data nguồn'!D:D, $D95, 'Data nguồn'!F:F, $B$1, 'Data nguồn'!C:C, K$3)</f>
      </c>
      <c r="L95" s="3">
        <f>SUMIFS('Data nguồn'!J:J, 'Data nguồn'!D:D, $D95, 'Data nguồn'!F:F, $B$1, 'Data nguồn'!C:C, L$3)</f>
      </c>
      <c r="M95" s="3">
        <f>SUMIFS('Data nguồn'!J:J, 'Data nguồn'!D:D, $D95, 'Data nguồn'!F:F, $B$1, 'Data nguồn'!C:C, M$3)</f>
      </c>
      <c r="N95" s="3">
        <f>SUMIFS('Data nguồn'!J:J, 'Data nguồn'!D:D, $D95, 'Data nguồn'!F:F, $B$1, 'Data nguồn'!C:C, N$3)</f>
      </c>
      <c r="O95" s="3">
        <f>SUMIFS('Data nguồn'!J:J, 'Data nguồn'!D:D, $D95, 'Data nguồn'!F:F, $B$1, 'Data nguồn'!C:C, O$3)</f>
      </c>
      <c r="P95" s="3">
        <f>SUMIFS('Data nguồn'!J:J, 'Data nguồn'!D:D, $D95, 'Data nguồn'!F:F, $B$1, 'Data nguồn'!C:C, P$3)</f>
      </c>
      <c r="Q95" s="3">
        <f>SUMIFS('Data nguồn'!J:J, 'Data nguồn'!D:D, $D95, 'Data nguồn'!F:F, $B$1, 'Data nguồn'!C:C, Q$3)</f>
      </c>
      <c r="R95" s="3">
        <f>SUMIFS('Data nguồn'!J:J, 'Data nguồn'!D:D, $D95, 'Data nguồn'!F:F, $B$1, 'Data nguồn'!C:C, R$3)</f>
      </c>
      <c r="S95" s="3">
        <f>SUMIFS('Data nguồn'!J:J, 'Data nguồn'!D:D, $D95, 'Data nguồn'!F:F, $B$1, 'Data nguồn'!C:C, S$3)</f>
      </c>
      <c r="T95" s="3">
        <f>SUMIFS('Data nguồn'!J:J, 'Data nguồn'!D:D, $D95, 'Data nguồn'!F:F, $B$1, 'Data nguồn'!C:C, T$3)</f>
      </c>
      <c r="U95" s="3">
        <f>SUMIFS('Data nguồn'!J:J, 'Data nguồn'!D:D, $D95, 'Data nguồn'!F:F, $B$1, 'Data nguồn'!C:C, U$3)</f>
      </c>
      <c r="W95" s="3">
        <f>SUM(E95:P95)</f>
      </c>
      <c r="X95" s="3">
        <f>SUM(Q95:U95)</f>
      </c>
      <c r="Y95" s="3">
        <f>AVERAGE(S95:U95)</f>
      </c>
      <c r="Z95" s="3">
        <f>AVERAGE(P95:U95)</f>
      </c>
      <c r="AA95" s="3">
        <f>AVERAGE(M95:U95)</f>
      </c>
      <c r="AB95" s="4">
        <f>IFERROR((Y95*2)/(Z95+AA95), 0)</f>
      </c>
      <c r="AC95" s="4">
        <f>IFERROR(X95/SUM(E95:I95), 0)</f>
      </c>
      <c r="AD95" s="4">
        <f>IFERROR(X95/SUM(E95:I95), 0)</f>
      </c>
      <c r="AE95" s="4">
        <f>IFERROR(U95/I95, 0)</f>
      </c>
    </row>
    <row r="96" ht="20" customHeight="1" spans="1:31" x14ac:dyDescent="0.25">
      <c r="A96">
        <v>93</v>
      </c>
      <c r="B96" t="s">
        <v>97</v>
      </c>
      <c r="C96" t="s">
        <v>141</v>
      </c>
      <c r="D96" s="2" t="s">
        <v>97</v>
      </c>
      <c r="E96" s="3">
        <f>SUMIFS('Data nguồn'!J:J, 'Data nguồn'!D:D, $D96, 'Data nguồn'!F:F, $B$1, 'Data nguồn'!C:C, E$3)</f>
      </c>
      <c r="F96" s="3">
        <f>SUMIFS('Data nguồn'!J:J, 'Data nguồn'!D:D, $D96, 'Data nguồn'!F:F, $B$1, 'Data nguồn'!C:C, F$3)</f>
      </c>
      <c r="G96" s="3">
        <f>SUMIFS('Data nguồn'!J:J, 'Data nguồn'!D:D, $D96, 'Data nguồn'!F:F, $B$1, 'Data nguồn'!C:C, G$3)</f>
      </c>
      <c r="H96" s="3">
        <f>SUMIFS('Data nguồn'!J:J, 'Data nguồn'!D:D, $D96, 'Data nguồn'!F:F, $B$1, 'Data nguồn'!C:C, H$3)</f>
      </c>
      <c r="I96" s="3">
        <f>SUMIFS('Data nguồn'!J:J, 'Data nguồn'!D:D, $D96, 'Data nguồn'!F:F, $B$1, 'Data nguồn'!C:C, I$3)</f>
      </c>
      <c r="J96" s="3">
        <f>SUMIFS('Data nguồn'!J:J, 'Data nguồn'!D:D, $D96, 'Data nguồn'!F:F, $B$1, 'Data nguồn'!C:C, J$3)</f>
      </c>
      <c r="K96" s="3">
        <f>SUMIFS('Data nguồn'!J:J, 'Data nguồn'!D:D, $D96, 'Data nguồn'!F:F, $B$1, 'Data nguồn'!C:C, K$3)</f>
      </c>
      <c r="L96" s="3">
        <f>SUMIFS('Data nguồn'!J:J, 'Data nguồn'!D:D, $D96, 'Data nguồn'!F:F, $B$1, 'Data nguồn'!C:C, L$3)</f>
      </c>
      <c r="M96" s="3">
        <f>SUMIFS('Data nguồn'!J:J, 'Data nguồn'!D:D, $D96, 'Data nguồn'!F:F, $B$1, 'Data nguồn'!C:C, M$3)</f>
      </c>
      <c r="N96" s="3">
        <f>SUMIFS('Data nguồn'!J:J, 'Data nguồn'!D:D, $D96, 'Data nguồn'!F:F, $B$1, 'Data nguồn'!C:C, N$3)</f>
      </c>
      <c r="O96" s="3">
        <f>SUMIFS('Data nguồn'!J:J, 'Data nguồn'!D:D, $D96, 'Data nguồn'!F:F, $B$1, 'Data nguồn'!C:C, O$3)</f>
      </c>
      <c r="P96" s="3">
        <f>SUMIFS('Data nguồn'!J:J, 'Data nguồn'!D:D, $D96, 'Data nguồn'!F:F, $B$1, 'Data nguồn'!C:C, P$3)</f>
      </c>
      <c r="Q96" s="3">
        <f>SUMIFS('Data nguồn'!J:J, 'Data nguồn'!D:D, $D96, 'Data nguồn'!F:F, $B$1, 'Data nguồn'!C:C, Q$3)</f>
      </c>
      <c r="R96" s="3">
        <f>SUMIFS('Data nguồn'!J:J, 'Data nguồn'!D:D, $D96, 'Data nguồn'!F:F, $B$1, 'Data nguồn'!C:C, R$3)</f>
      </c>
      <c r="S96" s="3">
        <f>SUMIFS('Data nguồn'!J:J, 'Data nguồn'!D:D, $D96, 'Data nguồn'!F:F, $B$1, 'Data nguồn'!C:C, S$3)</f>
      </c>
      <c r="T96" s="3">
        <f>SUMIFS('Data nguồn'!J:J, 'Data nguồn'!D:D, $D96, 'Data nguồn'!F:F, $B$1, 'Data nguồn'!C:C, T$3)</f>
      </c>
      <c r="U96" s="3">
        <f>SUMIFS('Data nguồn'!J:J, 'Data nguồn'!D:D, $D96, 'Data nguồn'!F:F, $B$1, 'Data nguồn'!C:C, U$3)</f>
      </c>
      <c r="W96" s="3">
        <f>SUM(E96:P96)</f>
      </c>
      <c r="X96" s="3">
        <f>SUM(Q96:U96)</f>
      </c>
      <c r="Y96" s="3">
        <f>AVERAGE(S96:U96)</f>
      </c>
      <c r="Z96" s="3">
        <f>AVERAGE(P96:U96)</f>
      </c>
      <c r="AA96" s="3">
        <f>AVERAGE(M96:U96)</f>
      </c>
      <c r="AB96" s="4">
        <f>IFERROR((Y96*2)/(Z96+AA96), 0)</f>
      </c>
      <c r="AC96" s="4">
        <f>IFERROR(X96/SUM(E96:I96), 0)</f>
      </c>
      <c r="AD96" s="4">
        <f>IFERROR(X96/SUM(E96:I96), 0)</f>
      </c>
      <c r="AE96" s="4">
        <f>IFERROR(U96/I96, 0)</f>
      </c>
    </row>
    <row r="97" ht="20" customHeight="1" spans="1:31" x14ac:dyDescent="0.25">
      <c r="A97">
        <v>94</v>
      </c>
      <c r="B97" t="s">
        <v>98</v>
      </c>
      <c r="C97" t="s">
        <v>141</v>
      </c>
      <c r="D97" s="2" t="s">
        <v>98</v>
      </c>
      <c r="E97" s="3">
        <f>SUMIFS('Data nguồn'!J:J, 'Data nguồn'!D:D, $D97, 'Data nguồn'!F:F, $B$1, 'Data nguồn'!C:C, E$3)</f>
      </c>
      <c r="F97" s="3">
        <f>SUMIFS('Data nguồn'!J:J, 'Data nguồn'!D:D, $D97, 'Data nguồn'!F:F, $B$1, 'Data nguồn'!C:C, F$3)</f>
      </c>
      <c r="G97" s="3">
        <f>SUMIFS('Data nguồn'!J:J, 'Data nguồn'!D:D, $D97, 'Data nguồn'!F:F, $B$1, 'Data nguồn'!C:C, G$3)</f>
      </c>
      <c r="H97" s="3">
        <f>SUMIFS('Data nguồn'!J:J, 'Data nguồn'!D:D, $D97, 'Data nguồn'!F:F, $B$1, 'Data nguồn'!C:C, H$3)</f>
      </c>
      <c r="I97" s="3">
        <f>SUMIFS('Data nguồn'!J:J, 'Data nguồn'!D:D, $D97, 'Data nguồn'!F:F, $B$1, 'Data nguồn'!C:C, I$3)</f>
      </c>
      <c r="J97" s="3">
        <f>SUMIFS('Data nguồn'!J:J, 'Data nguồn'!D:D, $D97, 'Data nguồn'!F:F, $B$1, 'Data nguồn'!C:C, J$3)</f>
      </c>
      <c r="K97" s="3">
        <f>SUMIFS('Data nguồn'!J:J, 'Data nguồn'!D:D, $D97, 'Data nguồn'!F:F, $B$1, 'Data nguồn'!C:C, K$3)</f>
      </c>
      <c r="L97" s="3">
        <f>SUMIFS('Data nguồn'!J:J, 'Data nguồn'!D:D, $D97, 'Data nguồn'!F:F, $B$1, 'Data nguồn'!C:C, L$3)</f>
      </c>
      <c r="M97" s="3">
        <f>SUMIFS('Data nguồn'!J:J, 'Data nguồn'!D:D, $D97, 'Data nguồn'!F:F, $B$1, 'Data nguồn'!C:C, M$3)</f>
      </c>
      <c r="N97" s="3">
        <f>SUMIFS('Data nguồn'!J:J, 'Data nguồn'!D:D, $D97, 'Data nguồn'!F:F, $B$1, 'Data nguồn'!C:C, N$3)</f>
      </c>
      <c r="O97" s="3">
        <f>SUMIFS('Data nguồn'!J:J, 'Data nguồn'!D:D, $D97, 'Data nguồn'!F:F, $B$1, 'Data nguồn'!C:C, O$3)</f>
      </c>
      <c r="P97" s="3">
        <f>SUMIFS('Data nguồn'!J:J, 'Data nguồn'!D:D, $D97, 'Data nguồn'!F:F, $B$1, 'Data nguồn'!C:C, P$3)</f>
      </c>
      <c r="Q97" s="3">
        <f>SUMIFS('Data nguồn'!J:J, 'Data nguồn'!D:D, $D97, 'Data nguồn'!F:F, $B$1, 'Data nguồn'!C:C, Q$3)</f>
      </c>
      <c r="R97" s="3">
        <f>SUMIFS('Data nguồn'!J:J, 'Data nguồn'!D:D, $D97, 'Data nguồn'!F:F, $B$1, 'Data nguồn'!C:C, R$3)</f>
      </c>
      <c r="S97" s="3">
        <f>SUMIFS('Data nguồn'!J:J, 'Data nguồn'!D:D, $D97, 'Data nguồn'!F:F, $B$1, 'Data nguồn'!C:C, S$3)</f>
      </c>
      <c r="T97" s="3">
        <f>SUMIFS('Data nguồn'!J:J, 'Data nguồn'!D:D, $D97, 'Data nguồn'!F:F, $B$1, 'Data nguồn'!C:C, T$3)</f>
      </c>
      <c r="U97" s="3">
        <f>SUMIFS('Data nguồn'!J:J, 'Data nguồn'!D:D, $D97, 'Data nguồn'!F:F, $B$1, 'Data nguồn'!C:C, U$3)</f>
      </c>
      <c r="W97" s="3">
        <f>SUM(E97:P97)</f>
      </c>
      <c r="X97" s="3">
        <f>SUM(Q97:U97)</f>
      </c>
      <c r="Y97" s="3">
        <f>AVERAGE(S97:U97)</f>
      </c>
      <c r="Z97" s="3">
        <f>AVERAGE(P97:U97)</f>
      </c>
      <c r="AA97" s="3">
        <f>AVERAGE(M97:U97)</f>
      </c>
      <c r="AB97" s="4">
        <f>IFERROR((Y97*2)/(Z97+AA97), 0)</f>
      </c>
      <c r="AC97" s="4">
        <f>IFERROR(X97/SUM(E97:I97), 0)</f>
      </c>
      <c r="AD97" s="4">
        <f>IFERROR(X97/SUM(E97:I97), 0)</f>
      </c>
      <c r="AE97" s="4">
        <f>IFERROR(U97/I97, 0)</f>
      </c>
    </row>
    <row r="98" ht="20" customHeight="1" spans="1:31" x14ac:dyDescent="0.25">
      <c r="A98">
        <v>95</v>
      </c>
      <c r="B98" t="s">
        <v>99</v>
      </c>
      <c r="C98" t="s">
        <v>141</v>
      </c>
      <c r="D98" s="2" t="s">
        <v>99</v>
      </c>
      <c r="E98" s="3">
        <f>SUMIFS('Data nguồn'!J:J, 'Data nguồn'!D:D, $D98, 'Data nguồn'!F:F, $B$1, 'Data nguồn'!C:C, E$3)</f>
      </c>
      <c r="F98" s="3">
        <f>SUMIFS('Data nguồn'!J:J, 'Data nguồn'!D:D, $D98, 'Data nguồn'!F:F, $B$1, 'Data nguồn'!C:C, F$3)</f>
      </c>
      <c r="G98" s="3">
        <f>SUMIFS('Data nguồn'!J:J, 'Data nguồn'!D:D, $D98, 'Data nguồn'!F:F, $B$1, 'Data nguồn'!C:C, G$3)</f>
      </c>
      <c r="H98" s="3">
        <f>SUMIFS('Data nguồn'!J:J, 'Data nguồn'!D:D, $D98, 'Data nguồn'!F:F, $B$1, 'Data nguồn'!C:C, H$3)</f>
      </c>
      <c r="I98" s="3">
        <f>SUMIFS('Data nguồn'!J:J, 'Data nguồn'!D:D, $D98, 'Data nguồn'!F:F, $B$1, 'Data nguồn'!C:C, I$3)</f>
      </c>
      <c r="J98" s="3">
        <f>SUMIFS('Data nguồn'!J:J, 'Data nguồn'!D:D, $D98, 'Data nguồn'!F:F, $B$1, 'Data nguồn'!C:C, J$3)</f>
      </c>
      <c r="K98" s="3">
        <f>SUMIFS('Data nguồn'!J:J, 'Data nguồn'!D:D, $D98, 'Data nguồn'!F:F, $B$1, 'Data nguồn'!C:C, K$3)</f>
      </c>
      <c r="L98" s="3">
        <f>SUMIFS('Data nguồn'!J:J, 'Data nguồn'!D:D, $D98, 'Data nguồn'!F:F, $B$1, 'Data nguồn'!C:C, L$3)</f>
      </c>
      <c r="M98" s="3">
        <f>SUMIFS('Data nguồn'!J:J, 'Data nguồn'!D:D, $D98, 'Data nguồn'!F:F, $B$1, 'Data nguồn'!C:C, M$3)</f>
      </c>
      <c r="N98" s="3">
        <f>SUMIFS('Data nguồn'!J:J, 'Data nguồn'!D:D, $D98, 'Data nguồn'!F:F, $B$1, 'Data nguồn'!C:C, N$3)</f>
      </c>
      <c r="O98" s="3">
        <f>SUMIFS('Data nguồn'!J:J, 'Data nguồn'!D:D, $D98, 'Data nguồn'!F:F, $B$1, 'Data nguồn'!C:C, O$3)</f>
      </c>
      <c r="P98" s="3">
        <f>SUMIFS('Data nguồn'!J:J, 'Data nguồn'!D:D, $D98, 'Data nguồn'!F:F, $B$1, 'Data nguồn'!C:C, P$3)</f>
      </c>
      <c r="Q98" s="3">
        <f>SUMIFS('Data nguồn'!J:J, 'Data nguồn'!D:D, $D98, 'Data nguồn'!F:F, $B$1, 'Data nguồn'!C:C, Q$3)</f>
      </c>
      <c r="R98" s="3">
        <f>SUMIFS('Data nguồn'!J:J, 'Data nguồn'!D:D, $D98, 'Data nguồn'!F:F, $B$1, 'Data nguồn'!C:C, R$3)</f>
      </c>
      <c r="S98" s="3">
        <f>SUMIFS('Data nguồn'!J:J, 'Data nguồn'!D:D, $D98, 'Data nguồn'!F:F, $B$1, 'Data nguồn'!C:C, S$3)</f>
      </c>
      <c r="T98" s="3">
        <f>SUMIFS('Data nguồn'!J:J, 'Data nguồn'!D:D, $D98, 'Data nguồn'!F:F, $B$1, 'Data nguồn'!C:C, T$3)</f>
      </c>
      <c r="U98" s="3">
        <f>SUMIFS('Data nguồn'!J:J, 'Data nguồn'!D:D, $D98, 'Data nguồn'!F:F, $B$1, 'Data nguồn'!C:C, U$3)</f>
      </c>
      <c r="W98" s="3">
        <f>SUM(E98:P98)</f>
      </c>
      <c r="X98" s="3">
        <f>SUM(Q98:U98)</f>
      </c>
      <c r="Y98" s="3">
        <f>AVERAGE(S98:U98)</f>
      </c>
      <c r="Z98" s="3">
        <f>AVERAGE(P98:U98)</f>
      </c>
      <c r="AA98" s="3">
        <f>AVERAGE(M98:U98)</f>
      </c>
      <c r="AB98" s="4">
        <f>IFERROR((Y98*2)/(Z98+AA98), 0)</f>
      </c>
      <c r="AC98" s="4">
        <f>IFERROR(X98/SUM(E98:I98), 0)</f>
      </c>
      <c r="AD98" s="4">
        <f>IFERROR(X98/SUM(E98:I98), 0)</f>
      </c>
      <c r="AE98" s="4">
        <f>IFERROR(U98/I98, 0)</f>
      </c>
    </row>
    <row r="99" ht="20" customHeight="1" spans="1:31" x14ac:dyDescent="0.25">
      <c r="A99">
        <v>96</v>
      </c>
      <c r="B99" t="s">
        <v>100</v>
      </c>
      <c r="C99" t="s">
        <v>141</v>
      </c>
      <c r="D99" s="2" t="s">
        <v>100</v>
      </c>
      <c r="E99" s="3">
        <f>SUMIFS('Data nguồn'!J:J, 'Data nguồn'!D:D, $D99, 'Data nguồn'!F:F, $B$1, 'Data nguồn'!C:C, E$3)</f>
      </c>
      <c r="F99" s="3">
        <f>SUMIFS('Data nguồn'!J:J, 'Data nguồn'!D:D, $D99, 'Data nguồn'!F:F, $B$1, 'Data nguồn'!C:C, F$3)</f>
      </c>
      <c r="G99" s="3">
        <f>SUMIFS('Data nguồn'!J:J, 'Data nguồn'!D:D, $D99, 'Data nguồn'!F:F, $B$1, 'Data nguồn'!C:C, G$3)</f>
      </c>
      <c r="H99" s="3">
        <f>SUMIFS('Data nguồn'!J:J, 'Data nguồn'!D:D, $D99, 'Data nguồn'!F:F, $B$1, 'Data nguồn'!C:C, H$3)</f>
      </c>
      <c r="I99" s="3">
        <f>SUMIFS('Data nguồn'!J:J, 'Data nguồn'!D:D, $D99, 'Data nguồn'!F:F, $B$1, 'Data nguồn'!C:C, I$3)</f>
      </c>
      <c r="J99" s="3">
        <f>SUMIFS('Data nguồn'!J:J, 'Data nguồn'!D:D, $D99, 'Data nguồn'!F:F, $B$1, 'Data nguồn'!C:C, J$3)</f>
      </c>
      <c r="K99" s="3">
        <f>SUMIFS('Data nguồn'!J:J, 'Data nguồn'!D:D, $D99, 'Data nguồn'!F:F, $B$1, 'Data nguồn'!C:C, K$3)</f>
      </c>
      <c r="L99" s="3">
        <f>SUMIFS('Data nguồn'!J:J, 'Data nguồn'!D:D, $D99, 'Data nguồn'!F:F, $B$1, 'Data nguồn'!C:C, L$3)</f>
      </c>
      <c r="M99" s="3">
        <f>SUMIFS('Data nguồn'!J:J, 'Data nguồn'!D:D, $D99, 'Data nguồn'!F:F, $B$1, 'Data nguồn'!C:C, M$3)</f>
      </c>
      <c r="N99" s="3">
        <f>SUMIFS('Data nguồn'!J:J, 'Data nguồn'!D:D, $D99, 'Data nguồn'!F:F, $B$1, 'Data nguồn'!C:C, N$3)</f>
      </c>
      <c r="O99" s="3">
        <f>SUMIFS('Data nguồn'!J:J, 'Data nguồn'!D:D, $D99, 'Data nguồn'!F:F, $B$1, 'Data nguồn'!C:C, O$3)</f>
      </c>
      <c r="P99" s="3">
        <f>SUMIFS('Data nguồn'!J:J, 'Data nguồn'!D:D, $D99, 'Data nguồn'!F:F, $B$1, 'Data nguồn'!C:C, P$3)</f>
      </c>
      <c r="Q99" s="3">
        <f>SUMIFS('Data nguồn'!J:J, 'Data nguồn'!D:D, $D99, 'Data nguồn'!F:F, $B$1, 'Data nguồn'!C:C, Q$3)</f>
      </c>
      <c r="R99" s="3">
        <f>SUMIFS('Data nguồn'!J:J, 'Data nguồn'!D:D, $D99, 'Data nguồn'!F:F, $B$1, 'Data nguồn'!C:C, R$3)</f>
      </c>
      <c r="S99" s="3">
        <f>SUMIFS('Data nguồn'!J:J, 'Data nguồn'!D:D, $D99, 'Data nguồn'!F:F, $B$1, 'Data nguồn'!C:C, S$3)</f>
      </c>
      <c r="T99" s="3">
        <f>SUMIFS('Data nguồn'!J:J, 'Data nguồn'!D:D, $D99, 'Data nguồn'!F:F, $B$1, 'Data nguồn'!C:C, T$3)</f>
      </c>
      <c r="U99" s="3">
        <f>SUMIFS('Data nguồn'!J:J, 'Data nguồn'!D:D, $D99, 'Data nguồn'!F:F, $B$1, 'Data nguồn'!C:C, U$3)</f>
      </c>
      <c r="W99" s="3">
        <f>SUM(E99:P99)</f>
      </c>
      <c r="X99" s="3">
        <f>SUM(Q99:U99)</f>
      </c>
      <c r="Y99" s="3">
        <f>AVERAGE(S99:U99)</f>
      </c>
      <c r="Z99" s="3">
        <f>AVERAGE(P99:U99)</f>
      </c>
      <c r="AA99" s="3">
        <f>AVERAGE(M99:U99)</f>
      </c>
      <c r="AB99" s="4">
        <f>IFERROR((Y99*2)/(Z99+AA99), 0)</f>
      </c>
      <c r="AC99" s="4">
        <f>IFERROR(X99/SUM(E99:I99), 0)</f>
      </c>
      <c r="AD99" s="4">
        <f>IFERROR(X99/SUM(E99:I99), 0)</f>
      </c>
      <c r="AE99" s="4">
        <f>IFERROR(U99/I99, 0)</f>
      </c>
    </row>
    <row r="100" ht="20" customHeight="1" spans="1:31" x14ac:dyDescent="0.25">
      <c r="A100">
        <v>97</v>
      </c>
      <c r="B100" t="s">
        <v>101</v>
      </c>
      <c r="C100" t="s">
        <v>141</v>
      </c>
      <c r="D100" s="2" t="s">
        <v>101</v>
      </c>
      <c r="E100" s="3">
        <f>SUMIFS('Data nguồn'!J:J, 'Data nguồn'!D:D, $D100, 'Data nguồn'!F:F, $B$1, 'Data nguồn'!C:C, E$3)</f>
      </c>
      <c r="F100" s="3">
        <f>SUMIFS('Data nguồn'!J:J, 'Data nguồn'!D:D, $D100, 'Data nguồn'!F:F, $B$1, 'Data nguồn'!C:C, F$3)</f>
      </c>
      <c r="G100" s="3">
        <f>SUMIFS('Data nguồn'!J:J, 'Data nguồn'!D:D, $D100, 'Data nguồn'!F:F, $B$1, 'Data nguồn'!C:C, G$3)</f>
      </c>
      <c r="H100" s="3">
        <f>SUMIFS('Data nguồn'!J:J, 'Data nguồn'!D:D, $D100, 'Data nguồn'!F:F, $B$1, 'Data nguồn'!C:C, H$3)</f>
      </c>
      <c r="I100" s="3">
        <f>SUMIFS('Data nguồn'!J:J, 'Data nguồn'!D:D, $D100, 'Data nguồn'!F:F, $B$1, 'Data nguồn'!C:C, I$3)</f>
      </c>
      <c r="J100" s="3">
        <f>SUMIFS('Data nguồn'!J:J, 'Data nguồn'!D:D, $D100, 'Data nguồn'!F:F, $B$1, 'Data nguồn'!C:C, J$3)</f>
      </c>
      <c r="K100" s="3">
        <f>SUMIFS('Data nguồn'!J:J, 'Data nguồn'!D:D, $D100, 'Data nguồn'!F:F, $B$1, 'Data nguồn'!C:C, K$3)</f>
      </c>
      <c r="L100" s="3">
        <f>SUMIFS('Data nguồn'!J:J, 'Data nguồn'!D:D, $D100, 'Data nguồn'!F:F, $B$1, 'Data nguồn'!C:C, L$3)</f>
      </c>
      <c r="M100" s="3">
        <f>SUMIFS('Data nguồn'!J:J, 'Data nguồn'!D:D, $D100, 'Data nguồn'!F:F, $B$1, 'Data nguồn'!C:C, M$3)</f>
      </c>
      <c r="N100" s="3">
        <f>SUMIFS('Data nguồn'!J:J, 'Data nguồn'!D:D, $D100, 'Data nguồn'!F:F, $B$1, 'Data nguồn'!C:C, N$3)</f>
      </c>
      <c r="O100" s="3">
        <f>SUMIFS('Data nguồn'!J:J, 'Data nguồn'!D:D, $D100, 'Data nguồn'!F:F, $B$1, 'Data nguồn'!C:C, O$3)</f>
      </c>
      <c r="P100" s="3">
        <f>SUMIFS('Data nguồn'!J:J, 'Data nguồn'!D:D, $D100, 'Data nguồn'!F:F, $B$1, 'Data nguồn'!C:C, P$3)</f>
      </c>
      <c r="Q100" s="3">
        <f>SUMIFS('Data nguồn'!J:J, 'Data nguồn'!D:D, $D100, 'Data nguồn'!F:F, $B$1, 'Data nguồn'!C:C, Q$3)</f>
      </c>
      <c r="R100" s="3">
        <f>SUMIFS('Data nguồn'!J:J, 'Data nguồn'!D:D, $D100, 'Data nguồn'!F:F, $B$1, 'Data nguồn'!C:C, R$3)</f>
      </c>
      <c r="S100" s="3">
        <f>SUMIFS('Data nguồn'!J:J, 'Data nguồn'!D:D, $D100, 'Data nguồn'!F:F, $B$1, 'Data nguồn'!C:C, S$3)</f>
      </c>
      <c r="T100" s="3">
        <f>SUMIFS('Data nguồn'!J:J, 'Data nguồn'!D:D, $D100, 'Data nguồn'!F:F, $B$1, 'Data nguồn'!C:C, T$3)</f>
      </c>
      <c r="U100" s="3">
        <f>SUMIFS('Data nguồn'!J:J, 'Data nguồn'!D:D, $D100, 'Data nguồn'!F:F, $B$1, 'Data nguồn'!C:C, U$3)</f>
      </c>
      <c r="W100" s="3">
        <f>SUM(E100:P100)</f>
      </c>
      <c r="X100" s="3">
        <f>SUM(Q100:U100)</f>
      </c>
      <c r="Y100" s="3">
        <f>AVERAGE(S100:U100)</f>
      </c>
      <c r="Z100" s="3">
        <f>AVERAGE(P100:U100)</f>
      </c>
      <c r="AA100" s="3">
        <f>AVERAGE(M100:U100)</f>
      </c>
      <c r="AB100" s="4">
        <f>IFERROR((Y100*2)/(Z100+AA100), 0)</f>
      </c>
      <c r="AC100" s="4">
        <f>IFERROR(X100/SUM(E100:I100), 0)</f>
      </c>
      <c r="AD100" s="4">
        <f>IFERROR(X100/SUM(E100:I100), 0)</f>
      </c>
      <c r="AE100" s="4">
        <f>IFERROR(U100/I100, 0)</f>
      </c>
    </row>
    <row r="101" ht="20" customHeight="1" spans="1:31" x14ac:dyDescent="0.25">
      <c r="A101">
        <v>98</v>
      </c>
      <c r="B101" t="s">
        <v>102</v>
      </c>
      <c r="C101" t="s">
        <v>141</v>
      </c>
      <c r="D101" s="2" t="s">
        <v>102</v>
      </c>
      <c r="E101" s="3">
        <f>SUMIFS('Data nguồn'!J:J, 'Data nguồn'!D:D, $D101, 'Data nguồn'!F:F, $B$1, 'Data nguồn'!C:C, E$3)</f>
      </c>
      <c r="F101" s="3">
        <f>SUMIFS('Data nguồn'!J:J, 'Data nguồn'!D:D, $D101, 'Data nguồn'!F:F, $B$1, 'Data nguồn'!C:C, F$3)</f>
      </c>
      <c r="G101" s="3">
        <f>SUMIFS('Data nguồn'!J:J, 'Data nguồn'!D:D, $D101, 'Data nguồn'!F:F, $B$1, 'Data nguồn'!C:C, G$3)</f>
      </c>
      <c r="H101" s="3">
        <f>SUMIFS('Data nguồn'!J:J, 'Data nguồn'!D:D, $D101, 'Data nguồn'!F:F, $B$1, 'Data nguồn'!C:C, H$3)</f>
      </c>
      <c r="I101" s="3">
        <f>SUMIFS('Data nguồn'!J:J, 'Data nguồn'!D:D, $D101, 'Data nguồn'!F:F, $B$1, 'Data nguồn'!C:C, I$3)</f>
      </c>
      <c r="J101" s="3">
        <f>SUMIFS('Data nguồn'!J:J, 'Data nguồn'!D:D, $D101, 'Data nguồn'!F:F, $B$1, 'Data nguồn'!C:C, J$3)</f>
      </c>
      <c r="K101" s="3">
        <f>SUMIFS('Data nguồn'!J:J, 'Data nguồn'!D:D, $D101, 'Data nguồn'!F:F, $B$1, 'Data nguồn'!C:C, K$3)</f>
      </c>
      <c r="L101" s="3">
        <f>SUMIFS('Data nguồn'!J:J, 'Data nguồn'!D:D, $D101, 'Data nguồn'!F:F, $B$1, 'Data nguồn'!C:C, L$3)</f>
      </c>
      <c r="M101" s="3">
        <f>SUMIFS('Data nguồn'!J:J, 'Data nguồn'!D:D, $D101, 'Data nguồn'!F:F, $B$1, 'Data nguồn'!C:C, M$3)</f>
      </c>
      <c r="N101" s="3">
        <f>SUMIFS('Data nguồn'!J:J, 'Data nguồn'!D:D, $D101, 'Data nguồn'!F:F, $B$1, 'Data nguồn'!C:C, N$3)</f>
      </c>
      <c r="O101" s="3">
        <f>SUMIFS('Data nguồn'!J:J, 'Data nguồn'!D:D, $D101, 'Data nguồn'!F:F, $B$1, 'Data nguồn'!C:C, O$3)</f>
      </c>
      <c r="P101" s="3">
        <f>SUMIFS('Data nguồn'!J:J, 'Data nguồn'!D:D, $D101, 'Data nguồn'!F:F, $B$1, 'Data nguồn'!C:C, P$3)</f>
      </c>
      <c r="Q101" s="3">
        <f>SUMIFS('Data nguồn'!J:J, 'Data nguồn'!D:D, $D101, 'Data nguồn'!F:F, $B$1, 'Data nguồn'!C:C, Q$3)</f>
      </c>
      <c r="R101" s="3">
        <f>SUMIFS('Data nguồn'!J:J, 'Data nguồn'!D:D, $D101, 'Data nguồn'!F:F, $B$1, 'Data nguồn'!C:C, R$3)</f>
      </c>
      <c r="S101" s="3">
        <f>SUMIFS('Data nguồn'!J:J, 'Data nguồn'!D:D, $D101, 'Data nguồn'!F:F, $B$1, 'Data nguồn'!C:C, S$3)</f>
      </c>
      <c r="T101" s="3">
        <f>SUMIFS('Data nguồn'!J:J, 'Data nguồn'!D:D, $D101, 'Data nguồn'!F:F, $B$1, 'Data nguồn'!C:C, T$3)</f>
      </c>
      <c r="U101" s="3">
        <f>SUMIFS('Data nguồn'!J:J, 'Data nguồn'!D:D, $D101, 'Data nguồn'!F:F, $B$1, 'Data nguồn'!C:C, U$3)</f>
      </c>
      <c r="W101" s="3">
        <f>SUM(E101:P101)</f>
      </c>
      <c r="X101" s="3">
        <f>SUM(Q101:U101)</f>
      </c>
      <c r="Y101" s="3">
        <f>AVERAGE(S101:U101)</f>
      </c>
      <c r="Z101" s="3">
        <f>AVERAGE(P101:U101)</f>
      </c>
      <c r="AA101" s="3">
        <f>AVERAGE(M101:U101)</f>
      </c>
      <c r="AB101" s="4">
        <f>IFERROR((Y101*2)/(Z101+AA101), 0)</f>
      </c>
      <c r="AC101" s="4">
        <f>IFERROR(X101/SUM(E101:I101), 0)</f>
      </c>
      <c r="AD101" s="4">
        <f>IFERROR(X101/SUM(E101:I101), 0)</f>
      </c>
      <c r="AE101" s="4">
        <f>IFERROR(U101/I101, 0)</f>
      </c>
    </row>
    <row r="102" ht="20" customHeight="1" spans="1:31" x14ac:dyDescent="0.25">
      <c r="A102">
        <v>99</v>
      </c>
      <c r="B102" t="s">
        <v>103</v>
      </c>
      <c r="C102" t="s">
        <v>141</v>
      </c>
      <c r="D102" s="2" t="s">
        <v>103</v>
      </c>
      <c r="E102" s="3">
        <f>SUMIFS('Data nguồn'!J:J, 'Data nguồn'!D:D, $D102, 'Data nguồn'!F:F, $B$1, 'Data nguồn'!C:C, E$3)</f>
      </c>
      <c r="F102" s="3">
        <f>SUMIFS('Data nguồn'!J:J, 'Data nguồn'!D:D, $D102, 'Data nguồn'!F:F, $B$1, 'Data nguồn'!C:C, F$3)</f>
      </c>
      <c r="G102" s="3">
        <f>SUMIFS('Data nguồn'!J:J, 'Data nguồn'!D:D, $D102, 'Data nguồn'!F:F, $B$1, 'Data nguồn'!C:C, G$3)</f>
      </c>
      <c r="H102" s="3">
        <f>SUMIFS('Data nguồn'!J:J, 'Data nguồn'!D:D, $D102, 'Data nguồn'!F:F, $B$1, 'Data nguồn'!C:C, H$3)</f>
      </c>
      <c r="I102" s="3">
        <f>SUMIFS('Data nguồn'!J:J, 'Data nguồn'!D:D, $D102, 'Data nguồn'!F:F, $B$1, 'Data nguồn'!C:C, I$3)</f>
      </c>
      <c r="J102" s="3">
        <f>SUMIFS('Data nguồn'!J:J, 'Data nguồn'!D:D, $D102, 'Data nguồn'!F:F, $B$1, 'Data nguồn'!C:C, J$3)</f>
      </c>
      <c r="K102" s="3">
        <f>SUMIFS('Data nguồn'!J:J, 'Data nguồn'!D:D, $D102, 'Data nguồn'!F:F, $B$1, 'Data nguồn'!C:C, K$3)</f>
      </c>
      <c r="L102" s="3">
        <f>SUMIFS('Data nguồn'!J:J, 'Data nguồn'!D:D, $D102, 'Data nguồn'!F:F, $B$1, 'Data nguồn'!C:C, L$3)</f>
      </c>
      <c r="M102" s="3">
        <f>SUMIFS('Data nguồn'!J:J, 'Data nguồn'!D:D, $D102, 'Data nguồn'!F:F, $B$1, 'Data nguồn'!C:C, M$3)</f>
      </c>
      <c r="N102" s="3">
        <f>SUMIFS('Data nguồn'!J:J, 'Data nguồn'!D:D, $D102, 'Data nguồn'!F:F, $B$1, 'Data nguồn'!C:C, N$3)</f>
      </c>
      <c r="O102" s="3">
        <f>SUMIFS('Data nguồn'!J:J, 'Data nguồn'!D:D, $D102, 'Data nguồn'!F:F, $B$1, 'Data nguồn'!C:C, O$3)</f>
      </c>
      <c r="P102" s="3">
        <f>SUMIFS('Data nguồn'!J:J, 'Data nguồn'!D:D, $D102, 'Data nguồn'!F:F, $B$1, 'Data nguồn'!C:C, P$3)</f>
      </c>
      <c r="Q102" s="3">
        <f>SUMIFS('Data nguồn'!J:J, 'Data nguồn'!D:D, $D102, 'Data nguồn'!F:F, $B$1, 'Data nguồn'!C:C, Q$3)</f>
      </c>
      <c r="R102" s="3">
        <f>SUMIFS('Data nguồn'!J:J, 'Data nguồn'!D:D, $D102, 'Data nguồn'!F:F, $B$1, 'Data nguồn'!C:C, R$3)</f>
      </c>
      <c r="S102" s="3">
        <f>SUMIFS('Data nguồn'!J:J, 'Data nguồn'!D:D, $D102, 'Data nguồn'!F:F, $B$1, 'Data nguồn'!C:C, S$3)</f>
      </c>
      <c r="T102" s="3">
        <f>SUMIFS('Data nguồn'!J:J, 'Data nguồn'!D:D, $D102, 'Data nguồn'!F:F, $B$1, 'Data nguồn'!C:C, T$3)</f>
      </c>
      <c r="U102" s="3">
        <f>SUMIFS('Data nguồn'!J:J, 'Data nguồn'!D:D, $D102, 'Data nguồn'!F:F, $B$1, 'Data nguồn'!C:C, U$3)</f>
      </c>
      <c r="W102" s="3">
        <f>SUM(E102:P102)</f>
      </c>
      <c r="X102" s="3">
        <f>SUM(Q102:U102)</f>
      </c>
      <c r="Y102" s="3">
        <f>AVERAGE(S102:U102)</f>
      </c>
      <c r="Z102" s="3">
        <f>AVERAGE(P102:U102)</f>
      </c>
      <c r="AA102" s="3">
        <f>AVERAGE(M102:U102)</f>
      </c>
      <c r="AB102" s="4">
        <f>IFERROR((Y102*2)/(Z102+AA102), 0)</f>
      </c>
      <c r="AC102" s="4">
        <f>IFERROR(X102/SUM(E102:I102), 0)</f>
      </c>
      <c r="AD102" s="4">
        <f>IFERROR(X102/SUM(E102:I102), 0)</f>
      </c>
      <c r="AE102" s="4">
        <f>IFERROR(U102/I102, 0)</f>
      </c>
    </row>
    <row r="103" ht="20" customHeight="1" spans="1:31" x14ac:dyDescent="0.25">
      <c r="A103">
        <v>100</v>
      </c>
      <c r="B103" t="s">
        <v>104</v>
      </c>
      <c r="C103" t="s">
        <v>141</v>
      </c>
      <c r="D103" s="2" t="s">
        <v>104</v>
      </c>
      <c r="E103" s="3">
        <f>SUMIFS('Data nguồn'!J:J, 'Data nguồn'!D:D, $D103, 'Data nguồn'!F:F, $B$1, 'Data nguồn'!C:C, E$3)</f>
      </c>
      <c r="F103" s="3">
        <f>SUMIFS('Data nguồn'!J:J, 'Data nguồn'!D:D, $D103, 'Data nguồn'!F:F, $B$1, 'Data nguồn'!C:C, F$3)</f>
      </c>
      <c r="G103" s="3">
        <f>SUMIFS('Data nguồn'!J:J, 'Data nguồn'!D:D, $D103, 'Data nguồn'!F:F, $B$1, 'Data nguồn'!C:C, G$3)</f>
      </c>
      <c r="H103" s="3">
        <f>SUMIFS('Data nguồn'!J:J, 'Data nguồn'!D:D, $D103, 'Data nguồn'!F:F, $B$1, 'Data nguồn'!C:C, H$3)</f>
      </c>
      <c r="I103" s="3">
        <f>SUMIFS('Data nguồn'!J:J, 'Data nguồn'!D:D, $D103, 'Data nguồn'!F:F, $B$1, 'Data nguồn'!C:C, I$3)</f>
      </c>
      <c r="J103" s="3">
        <f>SUMIFS('Data nguồn'!J:J, 'Data nguồn'!D:D, $D103, 'Data nguồn'!F:F, $B$1, 'Data nguồn'!C:C, J$3)</f>
      </c>
      <c r="K103" s="3">
        <f>SUMIFS('Data nguồn'!J:J, 'Data nguồn'!D:D, $D103, 'Data nguồn'!F:F, $B$1, 'Data nguồn'!C:C, K$3)</f>
      </c>
      <c r="L103" s="3">
        <f>SUMIFS('Data nguồn'!J:J, 'Data nguồn'!D:D, $D103, 'Data nguồn'!F:F, $B$1, 'Data nguồn'!C:C, L$3)</f>
      </c>
      <c r="M103" s="3">
        <f>SUMIFS('Data nguồn'!J:J, 'Data nguồn'!D:D, $D103, 'Data nguồn'!F:F, $B$1, 'Data nguồn'!C:C, M$3)</f>
      </c>
      <c r="N103" s="3">
        <f>SUMIFS('Data nguồn'!J:J, 'Data nguồn'!D:D, $D103, 'Data nguồn'!F:F, $B$1, 'Data nguồn'!C:C, N$3)</f>
      </c>
      <c r="O103" s="3">
        <f>SUMIFS('Data nguồn'!J:J, 'Data nguồn'!D:D, $D103, 'Data nguồn'!F:F, $B$1, 'Data nguồn'!C:C, O$3)</f>
      </c>
      <c r="P103" s="3">
        <f>SUMIFS('Data nguồn'!J:J, 'Data nguồn'!D:D, $D103, 'Data nguồn'!F:F, $B$1, 'Data nguồn'!C:C, P$3)</f>
      </c>
      <c r="Q103" s="3">
        <f>SUMIFS('Data nguồn'!J:J, 'Data nguồn'!D:D, $D103, 'Data nguồn'!F:F, $B$1, 'Data nguồn'!C:C, Q$3)</f>
      </c>
      <c r="R103" s="3">
        <f>SUMIFS('Data nguồn'!J:J, 'Data nguồn'!D:D, $D103, 'Data nguồn'!F:F, $B$1, 'Data nguồn'!C:C, R$3)</f>
      </c>
      <c r="S103" s="3">
        <f>SUMIFS('Data nguồn'!J:J, 'Data nguồn'!D:D, $D103, 'Data nguồn'!F:F, $B$1, 'Data nguồn'!C:C, S$3)</f>
      </c>
      <c r="T103" s="3">
        <f>SUMIFS('Data nguồn'!J:J, 'Data nguồn'!D:D, $D103, 'Data nguồn'!F:F, $B$1, 'Data nguồn'!C:C, T$3)</f>
      </c>
      <c r="U103" s="3">
        <f>SUMIFS('Data nguồn'!J:J, 'Data nguồn'!D:D, $D103, 'Data nguồn'!F:F, $B$1, 'Data nguồn'!C:C, U$3)</f>
      </c>
      <c r="W103" s="3">
        <f>SUM(E103:P103)</f>
      </c>
      <c r="X103" s="3">
        <f>SUM(Q103:U103)</f>
      </c>
      <c r="Y103" s="3">
        <f>AVERAGE(S103:U103)</f>
      </c>
      <c r="Z103" s="3">
        <f>AVERAGE(P103:U103)</f>
      </c>
      <c r="AA103" s="3">
        <f>AVERAGE(M103:U103)</f>
      </c>
      <c r="AB103" s="4">
        <f>IFERROR((Y103*2)/(Z103+AA103), 0)</f>
      </c>
      <c r="AC103" s="4">
        <f>IFERROR(X103/SUM(E103:I103), 0)</f>
      </c>
      <c r="AD103" s="4">
        <f>IFERROR(X103/SUM(E103:I103), 0)</f>
      </c>
      <c r="AE103" s="4">
        <f>IFERROR(U103/I103, 0)</f>
      </c>
    </row>
    <row r="104" ht="20" customHeight="1" spans="1:31" x14ac:dyDescent="0.25">
      <c r="A104">
        <v>101</v>
      </c>
      <c r="B104" t="s">
        <v>105</v>
      </c>
      <c r="C104" t="s">
        <v>141</v>
      </c>
      <c r="D104" s="2" t="s">
        <v>105</v>
      </c>
      <c r="E104" s="3">
        <f>SUMIFS('Data nguồn'!J:J, 'Data nguồn'!D:D, $D104, 'Data nguồn'!F:F, $B$1, 'Data nguồn'!C:C, E$3)</f>
      </c>
      <c r="F104" s="3">
        <f>SUMIFS('Data nguồn'!J:J, 'Data nguồn'!D:D, $D104, 'Data nguồn'!F:F, $B$1, 'Data nguồn'!C:C, F$3)</f>
      </c>
      <c r="G104" s="3">
        <f>SUMIFS('Data nguồn'!J:J, 'Data nguồn'!D:D, $D104, 'Data nguồn'!F:F, $B$1, 'Data nguồn'!C:C, G$3)</f>
      </c>
      <c r="H104" s="3">
        <f>SUMIFS('Data nguồn'!J:J, 'Data nguồn'!D:D, $D104, 'Data nguồn'!F:F, $B$1, 'Data nguồn'!C:C, H$3)</f>
      </c>
      <c r="I104" s="3">
        <f>SUMIFS('Data nguồn'!J:J, 'Data nguồn'!D:D, $D104, 'Data nguồn'!F:F, $B$1, 'Data nguồn'!C:C, I$3)</f>
      </c>
      <c r="J104" s="3">
        <f>SUMIFS('Data nguồn'!J:J, 'Data nguồn'!D:D, $D104, 'Data nguồn'!F:F, $B$1, 'Data nguồn'!C:C, J$3)</f>
      </c>
      <c r="K104" s="3">
        <f>SUMIFS('Data nguồn'!J:J, 'Data nguồn'!D:D, $D104, 'Data nguồn'!F:F, $B$1, 'Data nguồn'!C:C, K$3)</f>
      </c>
      <c r="L104" s="3">
        <f>SUMIFS('Data nguồn'!J:J, 'Data nguồn'!D:D, $D104, 'Data nguồn'!F:F, $B$1, 'Data nguồn'!C:C, L$3)</f>
      </c>
      <c r="M104" s="3">
        <f>SUMIFS('Data nguồn'!J:J, 'Data nguồn'!D:D, $D104, 'Data nguồn'!F:F, $B$1, 'Data nguồn'!C:C, M$3)</f>
      </c>
      <c r="N104" s="3">
        <f>SUMIFS('Data nguồn'!J:J, 'Data nguồn'!D:D, $D104, 'Data nguồn'!F:F, $B$1, 'Data nguồn'!C:C, N$3)</f>
      </c>
      <c r="O104" s="3">
        <f>SUMIFS('Data nguồn'!J:J, 'Data nguồn'!D:D, $D104, 'Data nguồn'!F:F, $B$1, 'Data nguồn'!C:C, O$3)</f>
      </c>
      <c r="P104" s="3">
        <f>SUMIFS('Data nguồn'!J:J, 'Data nguồn'!D:D, $D104, 'Data nguồn'!F:F, $B$1, 'Data nguồn'!C:C, P$3)</f>
      </c>
      <c r="Q104" s="3">
        <f>SUMIFS('Data nguồn'!J:J, 'Data nguồn'!D:D, $D104, 'Data nguồn'!F:F, $B$1, 'Data nguồn'!C:C, Q$3)</f>
      </c>
      <c r="R104" s="3">
        <f>SUMIFS('Data nguồn'!J:J, 'Data nguồn'!D:D, $D104, 'Data nguồn'!F:F, $B$1, 'Data nguồn'!C:C, R$3)</f>
      </c>
      <c r="S104" s="3">
        <f>SUMIFS('Data nguồn'!J:J, 'Data nguồn'!D:D, $D104, 'Data nguồn'!F:F, $B$1, 'Data nguồn'!C:C, S$3)</f>
      </c>
      <c r="T104" s="3">
        <f>SUMIFS('Data nguồn'!J:J, 'Data nguồn'!D:D, $D104, 'Data nguồn'!F:F, $B$1, 'Data nguồn'!C:C, T$3)</f>
      </c>
      <c r="U104" s="3">
        <f>SUMIFS('Data nguồn'!J:J, 'Data nguồn'!D:D, $D104, 'Data nguồn'!F:F, $B$1, 'Data nguồn'!C:C, U$3)</f>
      </c>
      <c r="W104" s="3">
        <f>SUM(E104:P104)</f>
      </c>
      <c r="X104" s="3">
        <f>SUM(Q104:U104)</f>
      </c>
      <c r="Y104" s="3">
        <f>AVERAGE(S104:U104)</f>
      </c>
      <c r="Z104" s="3">
        <f>AVERAGE(P104:U104)</f>
      </c>
      <c r="AA104" s="3">
        <f>AVERAGE(M104:U104)</f>
      </c>
      <c r="AB104" s="4">
        <f>IFERROR((Y104*2)/(Z104+AA104), 0)</f>
      </c>
      <c r="AC104" s="4">
        <f>IFERROR(X104/SUM(E104:I104), 0)</f>
      </c>
      <c r="AD104" s="4">
        <f>IFERROR(X104/SUM(E104:I104), 0)</f>
      </c>
      <c r="AE104" s="4">
        <f>IFERROR(U104/I104, 0)</f>
      </c>
    </row>
    <row r="105" ht="20" customHeight="1" spans="1:31" x14ac:dyDescent="0.25">
      <c r="A105">
        <v>102</v>
      </c>
      <c r="B105" t="s">
        <v>106</v>
      </c>
      <c r="C105" t="s">
        <v>141</v>
      </c>
      <c r="D105" s="2" t="s">
        <v>106</v>
      </c>
      <c r="E105" s="3">
        <f>SUMIFS('Data nguồn'!J:J, 'Data nguồn'!D:D, $D105, 'Data nguồn'!F:F, $B$1, 'Data nguồn'!C:C, E$3)</f>
      </c>
      <c r="F105" s="3">
        <f>SUMIFS('Data nguồn'!J:J, 'Data nguồn'!D:D, $D105, 'Data nguồn'!F:F, $B$1, 'Data nguồn'!C:C, F$3)</f>
      </c>
      <c r="G105" s="3">
        <f>SUMIFS('Data nguồn'!J:J, 'Data nguồn'!D:D, $D105, 'Data nguồn'!F:F, $B$1, 'Data nguồn'!C:C, G$3)</f>
      </c>
      <c r="H105" s="3">
        <f>SUMIFS('Data nguồn'!J:J, 'Data nguồn'!D:D, $D105, 'Data nguồn'!F:F, $B$1, 'Data nguồn'!C:C, H$3)</f>
      </c>
      <c r="I105" s="3">
        <f>SUMIFS('Data nguồn'!J:J, 'Data nguồn'!D:D, $D105, 'Data nguồn'!F:F, $B$1, 'Data nguồn'!C:C, I$3)</f>
      </c>
      <c r="J105" s="3">
        <f>SUMIFS('Data nguồn'!J:J, 'Data nguồn'!D:D, $D105, 'Data nguồn'!F:F, $B$1, 'Data nguồn'!C:C, J$3)</f>
      </c>
      <c r="K105" s="3">
        <f>SUMIFS('Data nguồn'!J:J, 'Data nguồn'!D:D, $D105, 'Data nguồn'!F:F, $B$1, 'Data nguồn'!C:C, K$3)</f>
      </c>
      <c r="L105" s="3">
        <f>SUMIFS('Data nguồn'!J:J, 'Data nguồn'!D:D, $D105, 'Data nguồn'!F:F, $B$1, 'Data nguồn'!C:C, L$3)</f>
      </c>
      <c r="M105" s="3">
        <f>SUMIFS('Data nguồn'!J:J, 'Data nguồn'!D:D, $D105, 'Data nguồn'!F:F, $B$1, 'Data nguồn'!C:C, M$3)</f>
      </c>
      <c r="N105" s="3">
        <f>SUMIFS('Data nguồn'!J:J, 'Data nguồn'!D:D, $D105, 'Data nguồn'!F:F, $B$1, 'Data nguồn'!C:C, N$3)</f>
      </c>
      <c r="O105" s="3">
        <f>SUMIFS('Data nguồn'!J:J, 'Data nguồn'!D:D, $D105, 'Data nguồn'!F:F, $B$1, 'Data nguồn'!C:C, O$3)</f>
      </c>
      <c r="P105" s="3">
        <f>SUMIFS('Data nguồn'!J:J, 'Data nguồn'!D:D, $D105, 'Data nguồn'!F:F, $B$1, 'Data nguồn'!C:C, P$3)</f>
      </c>
      <c r="Q105" s="3">
        <f>SUMIFS('Data nguồn'!J:J, 'Data nguồn'!D:D, $D105, 'Data nguồn'!F:F, $B$1, 'Data nguồn'!C:C, Q$3)</f>
      </c>
      <c r="R105" s="3">
        <f>SUMIFS('Data nguồn'!J:J, 'Data nguồn'!D:D, $D105, 'Data nguồn'!F:F, $B$1, 'Data nguồn'!C:C, R$3)</f>
      </c>
      <c r="S105" s="3">
        <f>SUMIFS('Data nguồn'!J:J, 'Data nguồn'!D:D, $D105, 'Data nguồn'!F:F, $B$1, 'Data nguồn'!C:C, S$3)</f>
      </c>
      <c r="T105" s="3">
        <f>SUMIFS('Data nguồn'!J:J, 'Data nguồn'!D:D, $D105, 'Data nguồn'!F:F, $B$1, 'Data nguồn'!C:C, T$3)</f>
      </c>
      <c r="U105" s="3">
        <f>SUMIFS('Data nguồn'!J:J, 'Data nguồn'!D:D, $D105, 'Data nguồn'!F:F, $B$1, 'Data nguồn'!C:C, U$3)</f>
      </c>
      <c r="W105" s="3">
        <f>SUM(E105:P105)</f>
      </c>
      <c r="X105" s="3">
        <f>SUM(Q105:U105)</f>
      </c>
      <c r="Y105" s="3">
        <f>AVERAGE(S105:U105)</f>
      </c>
      <c r="Z105" s="3">
        <f>AVERAGE(P105:U105)</f>
      </c>
      <c r="AA105" s="3">
        <f>AVERAGE(M105:U105)</f>
      </c>
      <c r="AB105" s="4">
        <f>IFERROR((Y105*2)/(Z105+AA105), 0)</f>
      </c>
      <c r="AC105" s="4">
        <f>IFERROR(X105/SUM(E105:I105), 0)</f>
      </c>
      <c r="AD105" s="4">
        <f>IFERROR(X105/SUM(E105:I105), 0)</f>
      </c>
      <c r="AE105" s="4">
        <f>IFERROR(U105/I105, 0)</f>
      </c>
    </row>
    <row r="106" ht="22" customHeight="1" spans="4:31" x14ac:dyDescent="0.25">
      <c r="D106" s="5" t="s">
        <v>160</v>
      </c>
      <c r="E106" s="6">
        <f>SUM(E4:E105)</f>
      </c>
      <c r="F106" s="6">
        <f>SUM(F4:F105)</f>
      </c>
      <c r="G106" s="6">
        <f>SUM(G4:G105)</f>
      </c>
      <c r="H106" s="6">
        <f>SUM(H4:H105)</f>
      </c>
      <c r="I106" s="6">
        <f>SUM(I4:I105)</f>
      </c>
      <c r="J106" s="6">
        <f>SUM(J4:J105)</f>
      </c>
      <c r="K106" s="6">
        <f>SUM(K4:K105)</f>
      </c>
      <c r="L106" s="6">
        <f>SUM(L4:L105)</f>
      </c>
      <c r="M106" s="6">
        <f>SUM(M4:M105)</f>
      </c>
      <c r="N106" s="6">
        <f>SUM(N4:N105)</f>
      </c>
      <c r="O106" s="6">
        <f>SUM(O4:O105)</f>
      </c>
      <c r="P106" s="6">
        <f>SUM(P4:P105)</f>
      </c>
      <c r="Q106" s="6">
        <f>SUM(Q4:Q105)</f>
      </c>
      <c r="R106" s="6">
        <f>SUM(R4:R105)</f>
      </c>
      <c r="S106" s="6">
        <f>SUM(S4:S105)</f>
      </c>
      <c r="T106" s="6">
        <f>SUM(T4:T105)</f>
      </c>
      <c r="U106" s="6">
        <f>SUM(U4:U105)</f>
      </c>
      <c r="W106" s="6">
        <f>SUM(W4:W105)</f>
      </c>
      <c r="X106" s="6">
        <f>SUM(X4:X105)</f>
      </c>
      <c r="Y106" s="6">
        <f>SUM(Y4:Y105)</f>
      </c>
      <c r="Z106" s="6">
        <f>SUM(Z4:Z105)</f>
      </c>
      <c r="AA106" s="6">
        <f>SUM(AA4:AA105)</f>
      </c>
      <c r="AB106" s="7">
        <f>IFERROR((Y106*2)/(Z106+AA106), 0)</f>
      </c>
      <c r="AC106" s="7">
        <f>IFERROR(X106/SUM(E106:I106), 0)</f>
      </c>
      <c r="AD106" s="7">
        <f>IFERROR(X106/SUM(E106:I106), 0)</f>
      </c>
      <c r="AE106" s="7">
        <f>IFERROR(U106/I106, 0)</f>
      </c>
    </row>
  </sheetData>
  <dataValidations count="1">
    <dataValidation type="list" allowBlank="1" sqref="B1">
      <formula1>Config!$B$2:$B$2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6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1" width="14" customWidth="1"/>
    <col min="22" max="22" width="5" customWidth="1"/>
    <col min="23" max="24" width="16" customWidth="1"/>
    <col min="25" max="31" width="12" customWidth="1"/>
  </cols>
  <sheetData>
    <row r="1" ht="24" customHeight="1" spans="1:2" x14ac:dyDescent="0.25">
      <c r="A1" s="10" t="s">
        <v>170</v>
      </c>
      <c r="B1" s="11" t="s">
        <v>3</v>
      </c>
    </row>
    <row r="2" ht="15" customHeight="1" x14ac:dyDescent="0.25"/>
    <row r="3" ht="24" customHeight="1" spans="4:31" x14ac:dyDescent="0.25">
      <c r="D3" s="1" t="s">
        <v>171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Q3" s="1" t="s">
        <v>120</v>
      </c>
      <c r="R3" s="1" t="s">
        <v>121</v>
      </c>
      <c r="S3" s="1" t="s">
        <v>122</v>
      </c>
      <c r="T3" s="1" t="s">
        <v>123</v>
      </c>
      <c r="U3" s="1" t="s">
        <v>124</v>
      </c>
      <c r="W3" s="1">
        <v>2025</v>
      </c>
      <c r="X3" s="1">
        <v>2026</v>
      </c>
      <c r="Y3" s="1" t="s">
        <v>125</v>
      </c>
      <c r="Z3" s="1" t="s">
        <v>126</v>
      </c>
      <c r="AA3" s="1" t="s">
        <v>127</v>
      </c>
      <c r="AB3" s="1" t="s">
        <v>128</v>
      </c>
      <c r="AC3" s="1" t="s">
        <v>129</v>
      </c>
      <c r="AD3" s="1" t="s">
        <v>130</v>
      </c>
      <c r="AE3" s="1" t="s">
        <v>131</v>
      </c>
    </row>
    <row r="4" ht="20" customHeight="1" spans="1:31" x14ac:dyDescent="0.25">
      <c r="A4">
        <v>1</v>
      </c>
      <c r="B4" t="s">
        <v>2</v>
      </c>
      <c r="C4" t="s">
        <v>141</v>
      </c>
      <c r="D4" s="2" t="s">
        <v>2</v>
      </c>
      <c r="E4" s="8">
        <f>SUMIFS('Data nguồn'!H:H, 'Data nguồn'!D:D, $D4, 'Data nguồn'!F:F, $B$1, 'Data nguồn'!C:C, E$3)</f>
      </c>
      <c r="F4" s="8">
        <f>SUMIFS('Data nguồn'!H:H, 'Data nguồn'!D:D, $D4, 'Data nguồn'!F:F, $B$1, 'Data nguồn'!C:C, F$3)</f>
      </c>
      <c r="G4" s="8">
        <f>SUMIFS('Data nguồn'!H:H, 'Data nguồn'!D:D, $D4, 'Data nguồn'!F:F, $B$1, 'Data nguồn'!C:C, G$3)</f>
      </c>
      <c r="H4" s="8">
        <f>SUMIFS('Data nguồn'!H:H, 'Data nguồn'!D:D, $D4, 'Data nguồn'!F:F, $B$1, 'Data nguồn'!C:C, H$3)</f>
      </c>
      <c r="I4" s="8">
        <f>SUMIFS('Data nguồn'!H:H, 'Data nguồn'!D:D, $D4, 'Data nguồn'!F:F, $B$1, 'Data nguồn'!C:C, I$3)</f>
      </c>
      <c r="J4" s="8">
        <f>SUMIFS('Data nguồn'!H:H, 'Data nguồn'!D:D, $D4, 'Data nguồn'!F:F, $B$1, 'Data nguồn'!C:C, J$3)</f>
      </c>
      <c r="K4" s="8">
        <f>SUMIFS('Data nguồn'!H:H, 'Data nguồn'!D:D, $D4, 'Data nguồn'!F:F, $B$1, 'Data nguồn'!C:C, K$3)</f>
      </c>
      <c r="L4" s="8">
        <f>SUMIFS('Data nguồn'!H:H, 'Data nguồn'!D:D, $D4, 'Data nguồn'!F:F, $B$1, 'Data nguồn'!C:C, L$3)</f>
      </c>
      <c r="M4" s="8">
        <f>SUMIFS('Data nguồn'!H:H, 'Data nguồn'!D:D, $D4, 'Data nguồn'!F:F, $B$1, 'Data nguồn'!C:C, M$3)</f>
      </c>
      <c r="N4" s="8">
        <f>SUMIFS('Data nguồn'!H:H, 'Data nguồn'!D:D, $D4, 'Data nguồn'!F:F, $B$1, 'Data nguồn'!C:C, N$3)</f>
      </c>
      <c r="O4" s="8">
        <f>SUMIFS('Data nguồn'!H:H, 'Data nguồn'!D:D, $D4, 'Data nguồn'!F:F, $B$1, 'Data nguồn'!C:C, O$3)</f>
      </c>
      <c r="P4" s="8">
        <f>SUMIFS('Data nguồn'!H:H, 'Data nguồn'!D:D, $D4, 'Data nguồn'!F:F, $B$1, 'Data nguồn'!C:C, P$3)</f>
      </c>
      <c r="Q4" s="8">
        <f>SUMIFS('Data nguồn'!H:H, 'Data nguồn'!D:D, $D4, 'Data nguồn'!F:F, $B$1, 'Data nguồn'!C:C, Q$3)</f>
      </c>
      <c r="R4" s="8">
        <f>SUMIFS('Data nguồn'!H:H, 'Data nguồn'!D:D, $D4, 'Data nguồn'!F:F, $B$1, 'Data nguồn'!C:C, R$3)</f>
      </c>
      <c r="S4" s="8">
        <f>SUMIFS('Data nguồn'!H:H, 'Data nguồn'!D:D, $D4, 'Data nguồn'!F:F, $B$1, 'Data nguồn'!C:C, S$3)</f>
      </c>
      <c r="T4" s="8">
        <f>SUMIFS('Data nguồn'!H:H, 'Data nguồn'!D:D, $D4, 'Data nguồn'!F:F, $B$1, 'Data nguồn'!C:C, T$3)</f>
      </c>
      <c r="U4" s="8">
        <f>SUMIFS('Data nguồn'!H:H, 'Data nguồn'!D:D, $D4, 'Data nguồn'!F:F, $B$1, 'Data nguồn'!C:C, U$3)</f>
      </c>
      <c r="W4" s="8">
        <f>SUM(E4:P4)</f>
      </c>
      <c r="X4" s="8">
        <f>SUM(Q4:U4)</f>
      </c>
      <c r="Y4" s="8">
        <f>AVERAGE(S4:U4)</f>
      </c>
      <c r="Z4" s="8">
        <f>AVERAGE(P4:U4)</f>
      </c>
      <c r="AA4" s="8">
        <f>AVERAGE(M4:U4)</f>
      </c>
      <c r="AB4" s="4">
        <f>IFERROR((Y4*2)/(Z4+AA4), 0)</f>
      </c>
      <c r="AC4" s="4">
        <f>IFERROR(X4/SUM(E4:I4), 0)</f>
      </c>
      <c r="AD4" s="4">
        <f>IFERROR(X4/SUM(E4:I4), 0)</f>
      </c>
      <c r="AE4" s="4">
        <f>IFERROR(U4/I4, 0)</f>
      </c>
    </row>
    <row r="5" ht="20" customHeight="1" spans="1:31" x14ac:dyDescent="0.25">
      <c r="A5">
        <v>2</v>
      </c>
      <c r="B5" t="s">
        <v>4</v>
      </c>
      <c r="C5" t="s">
        <v>141</v>
      </c>
      <c r="D5" s="2" t="s">
        <v>4</v>
      </c>
      <c r="E5" s="8">
        <f>SUMIFS('Data nguồn'!H:H, 'Data nguồn'!D:D, $D5, 'Data nguồn'!F:F, $B$1, 'Data nguồn'!C:C, E$3)</f>
      </c>
      <c r="F5" s="8">
        <f>SUMIFS('Data nguồn'!H:H, 'Data nguồn'!D:D, $D5, 'Data nguồn'!F:F, $B$1, 'Data nguồn'!C:C, F$3)</f>
      </c>
      <c r="G5" s="8">
        <f>SUMIFS('Data nguồn'!H:H, 'Data nguồn'!D:D, $D5, 'Data nguồn'!F:F, $B$1, 'Data nguồn'!C:C, G$3)</f>
      </c>
      <c r="H5" s="8">
        <f>SUMIFS('Data nguồn'!H:H, 'Data nguồn'!D:D, $D5, 'Data nguồn'!F:F, $B$1, 'Data nguồn'!C:C, H$3)</f>
      </c>
      <c r="I5" s="8">
        <f>SUMIFS('Data nguồn'!H:H, 'Data nguồn'!D:D, $D5, 'Data nguồn'!F:F, $B$1, 'Data nguồn'!C:C, I$3)</f>
      </c>
      <c r="J5" s="8">
        <f>SUMIFS('Data nguồn'!H:H, 'Data nguồn'!D:D, $D5, 'Data nguồn'!F:F, $B$1, 'Data nguồn'!C:C, J$3)</f>
      </c>
      <c r="K5" s="8">
        <f>SUMIFS('Data nguồn'!H:H, 'Data nguồn'!D:D, $D5, 'Data nguồn'!F:F, $B$1, 'Data nguồn'!C:C, K$3)</f>
      </c>
      <c r="L5" s="8">
        <f>SUMIFS('Data nguồn'!H:H, 'Data nguồn'!D:D, $D5, 'Data nguồn'!F:F, $B$1, 'Data nguồn'!C:C, L$3)</f>
      </c>
      <c r="M5" s="8">
        <f>SUMIFS('Data nguồn'!H:H, 'Data nguồn'!D:D, $D5, 'Data nguồn'!F:F, $B$1, 'Data nguồn'!C:C, M$3)</f>
      </c>
      <c r="N5" s="8">
        <f>SUMIFS('Data nguồn'!H:H, 'Data nguồn'!D:D, $D5, 'Data nguồn'!F:F, $B$1, 'Data nguồn'!C:C, N$3)</f>
      </c>
      <c r="O5" s="8">
        <f>SUMIFS('Data nguồn'!H:H, 'Data nguồn'!D:D, $D5, 'Data nguồn'!F:F, $B$1, 'Data nguồn'!C:C, O$3)</f>
      </c>
      <c r="P5" s="8">
        <f>SUMIFS('Data nguồn'!H:H, 'Data nguồn'!D:D, $D5, 'Data nguồn'!F:F, $B$1, 'Data nguồn'!C:C, P$3)</f>
      </c>
      <c r="Q5" s="8">
        <f>SUMIFS('Data nguồn'!H:H, 'Data nguồn'!D:D, $D5, 'Data nguồn'!F:F, $B$1, 'Data nguồn'!C:C, Q$3)</f>
      </c>
      <c r="R5" s="8">
        <f>SUMIFS('Data nguồn'!H:H, 'Data nguồn'!D:D, $D5, 'Data nguồn'!F:F, $B$1, 'Data nguồn'!C:C, R$3)</f>
      </c>
      <c r="S5" s="8">
        <f>SUMIFS('Data nguồn'!H:H, 'Data nguồn'!D:D, $D5, 'Data nguồn'!F:F, $B$1, 'Data nguồn'!C:C, S$3)</f>
      </c>
      <c r="T5" s="8">
        <f>SUMIFS('Data nguồn'!H:H, 'Data nguồn'!D:D, $D5, 'Data nguồn'!F:F, $B$1, 'Data nguồn'!C:C, T$3)</f>
      </c>
      <c r="U5" s="8">
        <f>SUMIFS('Data nguồn'!H:H, 'Data nguồn'!D:D, $D5, 'Data nguồn'!F:F, $B$1, 'Data nguồn'!C:C, U$3)</f>
      </c>
      <c r="W5" s="8">
        <f>SUM(E5:P5)</f>
      </c>
      <c r="X5" s="8">
        <f>SUM(Q5:U5)</f>
      </c>
      <c r="Y5" s="8">
        <f>AVERAGE(S5:U5)</f>
      </c>
      <c r="Z5" s="8">
        <f>AVERAGE(P5:U5)</f>
      </c>
      <c r="AA5" s="8">
        <f>AVERAGE(M5:U5)</f>
      </c>
      <c r="AB5" s="4">
        <f>IFERROR((Y5*2)/(Z5+AA5), 0)</f>
      </c>
      <c r="AC5" s="4">
        <f>IFERROR(X5/SUM(E5:I5), 0)</f>
      </c>
      <c r="AD5" s="4">
        <f>IFERROR(X5/SUM(E5:I5), 0)</f>
      </c>
      <c r="AE5" s="4">
        <f>IFERROR(U5/I5, 0)</f>
      </c>
    </row>
    <row r="6" ht="20" customHeight="1" spans="1:31" x14ac:dyDescent="0.25">
      <c r="A6">
        <v>3</v>
      </c>
      <c r="B6" t="s">
        <v>5</v>
      </c>
      <c r="C6" t="s">
        <v>141</v>
      </c>
      <c r="D6" s="2" t="s">
        <v>5</v>
      </c>
      <c r="E6" s="8">
        <f>SUMIFS('Data nguồn'!H:H, 'Data nguồn'!D:D, $D6, 'Data nguồn'!F:F, $B$1, 'Data nguồn'!C:C, E$3)</f>
      </c>
      <c r="F6" s="8">
        <f>SUMIFS('Data nguồn'!H:H, 'Data nguồn'!D:D, $D6, 'Data nguồn'!F:F, $B$1, 'Data nguồn'!C:C, F$3)</f>
      </c>
      <c r="G6" s="8">
        <f>SUMIFS('Data nguồn'!H:H, 'Data nguồn'!D:D, $D6, 'Data nguồn'!F:F, $B$1, 'Data nguồn'!C:C, G$3)</f>
      </c>
      <c r="H6" s="8">
        <f>SUMIFS('Data nguồn'!H:H, 'Data nguồn'!D:D, $D6, 'Data nguồn'!F:F, $B$1, 'Data nguồn'!C:C, H$3)</f>
      </c>
      <c r="I6" s="8">
        <f>SUMIFS('Data nguồn'!H:H, 'Data nguồn'!D:D, $D6, 'Data nguồn'!F:F, $B$1, 'Data nguồn'!C:C, I$3)</f>
      </c>
      <c r="J6" s="8">
        <f>SUMIFS('Data nguồn'!H:H, 'Data nguồn'!D:D, $D6, 'Data nguồn'!F:F, $B$1, 'Data nguồn'!C:C, J$3)</f>
      </c>
      <c r="K6" s="8">
        <f>SUMIFS('Data nguồn'!H:H, 'Data nguồn'!D:D, $D6, 'Data nguồn'!F:F, $B$1, 'Data nguồn'!C:C, K$3)</f>
      </c>
      <c r="L6" s="8">
        <f>SUMIFS('Data nguồn'!H:H, 'Data nguồn'!D:D, $D6, 'Data nguồn'!F:F, $B$1, 'Data nguồn'!C:C, L$3)</f>
      </c>
      <c r="M6" s="8">
        <f>SUMIFS('Data nguồn'!H:H, 'Data nguồn'!D:D, $D6, 'Data nguồn'!F:F, $B$1, 'Data nguồn'!C:C, M$3)</f>
      </c>
      <c r="N6" s="8">
        <f>SUMIFS('Data nguồn'!H:H, 'Data nguồn'!D:D, $D6, 'Data nguồn'!F:F, $B$1, 'Data nguồn'!C:C, N$3)</f>
      </c>
      <c r="O6" s="8">
        <f>SUMIFS('Data nguồn'!H:H, 'Data nguồn'!D:D, $D6, 'Data nguồn'!F:F, $B$1, 'Data nguồn'!C:C, O$3)</f>
      </c>
      <c r="P6" s="8">
        <f>SUMIFS('Data nguồn'!H:H, 'Data nguồn'!D:D, $D6, 'Data nguồn'!F:F, $B$1, 'Data nguồn'!C:C, P$3)</f>
      </c>
      <c r="Q6" s="8">
        <f>SUMIFS('Data nguồn'!H:H, 'Data nguồn'!D:D, $D6, 'Data nguồn'!F:F, $B$1, 'Data nguồn'!C:C, Q$3)</f>
      </c>
      <c r="R6" s="8">
        <f>SUMIFS('Data nguồn'!H:H, 'Data nguồn'!D:D, $D6, 'Data nguồn'!F:F, $B$1, 'Data nguồn'!C:C, R$3)</f>
      </c>
      <c r="S6" s="8">
        <f>SUMIFS('Data nguồn'!H:H, 'Data nguồn'!D:D, $D6, 'Data nguồn'!F:F, $B$1, 'Data nguồn'!C:C, S$3)</f>
      </c>
      <c r="T6" s="8">
        <f>SUMIFS('Data nguồn'!H:H, 'Data nguồn'!D:D, $D6, 'Data nguồn'!F:F, $B$1, 'Data nguồn'!C:C, T$3)</f>
      </c>
      <c r="U6" s="8">
        <f>SUMIFS('Data nguồn'!H:H, 'Data nguồn'!D:D, $D6, 'Data nguồn'!F:F, $B$1, 'Data nguồn'!C:C, U$3)</f>
      </c>
      <c r="W6" s="8">
        <f>SUM(E6:P6)</f>
      </c>
      <c r="X6" s="8">
        <f>SUM(Q6:U6)</f>
      </c>
      <c r="Y6" s="8">
        <f>AVERAGE(S6:U6)</f>
      </c>
      <c r="Z6" s="8">
        <f>AVERAGE(P6:U6)</f>
      </c>
      <c r="AA6" s="8">
        <f>AVERAGE(M6:U6)</f>
      </c>
      <c r="AB6" s="4">
        <f>IFERROR((Y6*2)/(Z6+AA6), 0)</f>
      </c>
      <c r="AC6" s="4">
        <f>IFERROR(X6/SUM(E6:I6), 0)</f>
      </c>
      <c r="AD6" s="4">
        <f>IFERROR(X6/SUM(E6:I6), 0)</f>
      </c>
      <c r="AE6" s="4">
        <f>IFERROR(U6/I6, 0)</f>
      </c>
    </row>
    <row r="7" ht="20" customHeight="1" spans="1:31" x14ac:dyDescent="0.25">
      <c r="A7">
        <v>4</v>
      </c>
      <c r="B7" t="s">
        <v>6</v>
      </c>
      <c r="C7" t="s">
        <v>141</v>
      </c>
      <c r="D7" s="2" t="s">
        <v>6</v>
      </c>
      <c r="E7" s="8">
        <f>SUMIFS('Data nguồn'!H:H, 'Data nguồn'!D:D, $D7, 'Data nguồn'!F:F, $B$1, 'Data nguồn'!C:C, E$3)</f>
      </c>
      <c r="F7" s="8">
        <f>SUMIFS('Data nguồn'!H:H, 'Data nguồn'!D:D, $D7, 'Data nguồn'!F:F, $B$1, 'Data nguồn'!C:C, F$3)</f>
      </c>
      <c r="G7" s="8">
        <f>SUMIFS('Data nguồn'!H:H, 'Data nguồn'!D:D, $D7, 'Data nguồn'!F:F, $B$1, 'Data nguồn'!C:C, G$3)</f>
      </c>
      <c r="H7" s="8">
        <f>SUMIFS('Data nguồn'!H:H, 'Data nguồn'!D:D, $D7, 'Data nguồn'!F:F, $B$1, 'Data nguồn'!C:C, H$3)</f>
      </c>
      <c r="I7" s="8">
        <f>SUMIFS('Data nguồn'!H:H, 'Data nguồn'!D:D, $D7, 'Data nguồn'!F:F, $B$1, 'Data nguồn'!C:C, I$3)</f>
      </c>
      <c r="J7" s="8">
        <f>SUMIFS('Data nguồn'!H:H, 'Data nguồn'!D:D, $D7, 'Data nguồn'!F:F, $B$1, 'Data nguồn'!C:C, J$3)</f>
      </c>
      <c r="K7" s="8">
        <f>SUMIFS('Data nguồn'!H:H, 'Data nguồn'!D:D, $D7, 'Data nguồn'!F:F, $B$1, 'Data nguồn'!C:C, K$3)</f>
      </c>
      <c r="L7" s="8">
        <f>SUMIFS('Data nguồn'!H:H, 'Data nguồn'!D:D, $D7, 'Data nguồn'!F:F, $B$1, 'Data nguồn'!C:C, L$3)</f>
      </c>
      <c r="M7" s="8">
        <f>SUMIFS('Data nguồn'!H:H, 'Data nguồn'!D:D, $D7, 'Data nguồn'!F:F, $B$1, 'Data nguồn'!C:C, M$3)</f>
      </c>
      <c r="N7" s="8">
        <f>SUMIFS('Data nguồn'!H:H, 'Data nguồn'!D:D, $D7, 'Data nguồn'!F:F, $B$1, 'Data nguồn'!C:C, N$3)</f>
      </c>
      <c r="O7" s="8">
        <f>SUMIFS('Data nguồn'!H:H, 'Data nguồn'!D:D, $D7, 'Data nguồn'!F:F, $B$1, 'Data nguồn'!C:C, O$3)</f>
      </c>
      <c r="P7" s="8">
        <f>SUMIFS('Data nguồn'!H:H, 'Data nguồn'!D:D, $D7, 'Data nguồn'!F:F, $B$1, 'Data nguồn'!C:C, P$3)</f>
      </c>
      <c r="Q7" s="8">
        <f>SUMIFS('Data nguồn'!H:H, 'Data nguồn'!D:D, $D7, 'Data nguồn'!F:F, $B$1, 'Data nguồn'!C:C, Q$3)</f>
      </c>
      <c r="R7" s="8">
        <f>SUMIFS('Data nguồn'!H:H, 'Data nguồn'!D:D, $D7, 'Data nguồn'!F:F, $B$1, 'Data nguồn'!C:C, R$3)</f>
      </c>
      <c r="S7" s="8">
        <f>SUMIFS('Data nguồn'!H:H, 'Data nguồn'!D:D, $D7, 'Data nguồn'!F:F, $B$1, 'Data nguồn'!C:C, S$3)</f>
      </c>
      <c r="T7" s="8">
        <f>SUMIFS('Data nguồn'!H:H, 'Data nguồn'!D:D, $D7, 'Data nguồn'!F:F, $B$1, 'Data nguồn'!C:C, T$3)</f>
      </c>
      <c r="U7" s="8">
        <f>SUMIFS('Data nguồn'!H:H, 'Data nguồn'!D:D, $D7, 'Data nguồn'!F:F, $B$1, 'Data nguồn'!C:C, U$3)</f>
      </c>
      <c r="W7" s="8">
        <f>SUM(E7:P7)</f>
      </c>
      <c r="X7" s="8">
        <f>SUM(Q7:U7)</f>
      </c>
      <c r="Y7" s="8">
        <f>AVERAGE(S7:U7)</f>
      </c>
      <c r="Z7" s="8">
        <f>AVERAGE(P7:U7)</f>
      </c>
      <c r="AA7" s="8">
        <f>AVERAGE(M7:U7)</f>
      </c>
      <c r="AB7" s="4">
        <f>IFERROR((Y7*2)/(Z7+AA7), 0)</f>
      </c>
      <c r="AC7" s="4">
        <f>IFERROR(X7/SUM(E7:I7), 0)</f>
      </c>
      <c r="AD7" s="4">
        <f>IFERROR(X7/SUM(E7:I7), 0)</f>
      </c>
      <c r="AE7" s="4">
        <f>IFERROR(U7/I7, 0)</f>
      </c>
    </row>
    <row r="8" ht="20" customHeight="1" spans="1:31" x14ac:dyDescent="0.25">
      <c r="A8">
        <v>5</v>
      </c>
      <c r="B8" t="s">
        <v>7</v>
      </c>
      <c r="C8" t="s">
        <v>141</v>
      </c>
      <c r="D8" s="2" t="s">
        <v>7</v>
      </c>
      <c r="E8" s="8">
        <f>SUMIFS('Data nguồn'!H:H, 'Data nguồn'!D:D, $D8, 'Data nguồn'!F:F, $B$1, 'Data nguồn'!C:C, E$3)</f>
      </c>
      <c r="F8" s="8">
        <f>SUMIFS('Data nguồn'!H:H, 'Data nguồn'!D:D, $D8, 'Data nguồn'!F:F, $B$1, 'Data nguồn'!C:C, F$3)</f>
      </c>
      <c r="G8" s="8">
        <f>SUMIFS('Data nguồn'!H:H, 'Data nguồn'!D:D, $D8, 'Data nguồn'!F:F, $B$1, 'Data nguồn'!C:C, G$3)</f>
      </c>
      <c r="H8" s="8">
        <f>SUMIFS('Data nguồn'!H:H, 'Data nguồn'!D:D, $D8, 'Data nguồn'!F:F, $B$1, 'Data nguồn'!C:C, H$3)</f>
      </c>
      <c r="I8" s="8">
        <f>SUMIFS('Data nguồn'!H:H, 'Data nguồn'!D:D, $D8, 'Data nguồn'!F:F, $B$1, 'Data nguồn'!C:C, I$3)</f>
      </c>
      <c r="J8" s="8">
        <f>SUMIFS('Data nguồn'!H:H, 'Data nguồn'!D:D, $D8, 'Data nguồn'!F:F, $B$1, 'Data nguồn'!C:C, J$3)</f>
      </c>
      <c r="K8" s="8">
        <f>SUMIFS('Data nguồn'!H:H, 'Data nguồn'!D:D, $D8, 'Data nguồn'!F:F, $B$1, 'Data nguồn'!C:C, K$3)</f>
      </c>
      <c r="L8" s="8">
        <f>SUMIFS('Data nguồn'!H:H, 'Data nguồn'!D:D, $D8, 'Data nguồn'!F:F, $B$1, 'Data nguồn'!C:C, L$3)</f>
      </c>
      <c r="M8" s="8">
        <f>SUMIFS('Data nguồn'!H:H, 'Data nguồn'!D:D, $D8, 'Data nguồn'!F:F, $B$1, 'Data nguồn'!C:C, M$3)</f>
      </c>
      <c r="N8" s="8">
        <f>SUMIFS('Data nguồn'!H:H, 'Data nguồn'!D:D, $D8, 'Data nguồn'!F:F, $B$1, 'Data nguồn'!C:C, N$3)</f>
      </c>
      <c r="O8" s="8">
        <f>SUMIFS('Data nguồn'!H:H, 'Data nguồn'!D:D, $D8, 'Data nguồn'!F:F, $B$1, 'Data nguồn'!C:C, O$3)</f>
      </c>
      <c r="P8" s="8">
        <f>SUMIFS('Data nguồn'!H:H, 'Data nguồn'!D:D, $D8, 'Data nguồn'!F:F, $B$1, 'Data nguồn'!C:C, P$3)</f>
      </c>
      <c r="Q8" s="8">
        <f>SUMIFS('Data nguồn'!H:H, 'Data nguồn'!D:D, $D8, 'Data nguồn'!F:F, $B$1, 'Data nguồn'!C:C, Q$3)</f>
      </c>
      <c r="R8" s="8">
        <f>SUMIFS('Data nguồn'!H:H, 'Data nguồn'!D:D, $D8, 'Data nguồn'!F:F, $B$1, 'Data nguồn'!C:C, R$3)</f>
      </c>
      <c r="S8" s="8">
        <f>SUMIFS('Data nguồn'!H:H, 'Data nguồn'!D:D, $D8, 'Data nguồn'!F:F, $B$1, 'Data nguồn'!C:C, S$3)</f>
      </c>
      <c r="T8" s="8">
        <f>SUMIFS('Data nguồn'!H:H, 'Data nguồn'!D:D, $D8, 'Data nguồn'!F:F, $B$1, 'Data nguồn'!C:C, T$3)</f>
      </c>
      <c r="U8" s="8">
        <f>SUMIFS('Data nguồn'!H:H, 'Data nguồn'!D:D, $D8, 'Data nguồn'!F:F, $B$1, 'Data nguồn'!C:C, U$3)</f>
      </c>
      <c r="W8" s="8">
        <f>SUM(E8:P8)</f>
      </c>
      <c r="X8" s="8">
        <f>SUM(Q8:U8)</f>
      </c>
      <c r="Y8" s="8">
        <f>AVERAGE(S8:U8)</f>
      </c>
      <c r="Z8" s="8">
        <f>AVERAGE(P8:U8)</f>
      </c>
      <c r="AA8" s="8">
        <f>AVERAGE(M8:U8)</f>
      </c>
      <c r="AB8" s="4">
        <f>IFERROR((Y8*2)/(Z8+AA8), 0)</f>
      </c>
      <c r="AC8" s="4">
        <f>IFERROR(X8/SUM(E8:I8), 0)</f>
      </c>
      <c r="AD8" s="4">
        <f>IFERROR(X8/SUM(E8:I8), 0)</f>
      </c>
      <c r="AE8" s="4">
        <f>IFERROR(U8/I8, 0)</f>
      </c>
    </row>
    <row r="9" ht="20" customHeight="1" spans="1:31" x14ac:dyDescent="0.25">
      <c r="A9">
        <v>6</v>
      </c>
      <c r="B9" t="s">
        <v>8</v>
      </c>
      <c r="C9" t="s">
        <v>141</v>
      </c>
      <c r="D9" s="2" t="s">
        <v>8</v>
      </c>
      <c r="E9" s="8">
        <f>SUMIFS('Data nguồn'!H:H, 'Data nguồn'!D:D, $D9, 'Data nguồn'!F:F, $B$1, 'Data nguồn'!C:C, E$3)</f>
      </c>
      <c r="F9" s="8">
        <f>SUMIFS('Data nguồn'!H:H, 'Data nguồn'!D:D, $D9, 'Data nguồn'!F:F, $B$1, 'Data nguồn'!C:C, F$3)</f>
      </c>
      <c r="G9" s="8">
        <f>SUMIFS('Data nguồn'!H:H, 'Data nguồn'!D:D, $D9, 'Data nguồn'!F:F, $B$1, 'Data nguồn'!C:C, G$3)</f>
      </c>
      <c r="H9" s="8">
        <f>SUMIFS('Data nguồn'!H:H, 'Data nguồn'!D:D, $D9, 'Data nguồn'!F:F, $B$1, 'Data nguồn'!C:C, H$3)</f>
      </c>
      <c r="I9" s="8">
        <f>SUMIFS('Data nguồn'!H:H, 'Data nguồn'!D:D, $D9, 'Data nguồn'!F:F, $B$1, 'Data nguồn'!C:C, I$3)</f>
      </c>
      <c r="J9" s="8">
        <f>SUMIFS('Data nguồn'!H:H, 'Data nguồn'!D:D, $D9, 'Data nguồn'!F:F, $B$1, 'Data nguồn'!C:C, J$3)</f>
      </c>
      <c r="K9" s="8">
        <f>SUMIFS('Data nguồn'!H:H, 'Data nguồn'!D:D, $D9, 'Data nguồn'!F:F, $B$1, 'Data nguồn'!C:C, K$3)</f>
      </c>
      <c r="L9" s="8">
        <f>SUMIFS('Data nguồn'!H:H, 'Data nguồn'!D:D, $D9, 'Data nguồn'!F:F, $B$1, 'Data nguồn'!C:C, L$3)</f>
      </c>
      <c r="M9" s="8">
        <f>SUMIFS('Data nguồn'!H:H, 'Data nguồn'!D:D, $D9, 'Data nguồn'!F:F, $B$1, 'Data nguồn'!C:C, M$3)</f>
      </c>
      <c r="N9" s="8">
        <f>SUMIFS('Data nguồn'!H:H, 'Data nguồn'!D:D, $D9, 'Data nguồn'!F:F, $B$1, 'Data nguồn'!C:C, N$3)</f>
      </c>
      <c r="O9" s="8">
        <f>SUMIFS('Data nguồn'!H:H, 'Data nguồn'!D:D, $D9, 'Data nguồn'!F:F, $B$1, 'Data nguồn'!C:C, O$3)</f>
      </c>
      <c r="P9" s="8">
        <f>SUMIFS('Data nguồn'!H:H, 'Data nguồn'!D:D, $D9, 'Data nguồn'!F:F, $B$1, 'Data nguồn'!C:C, P$3)</f>
      </c>
      <c r="Q9" s="8">
        <f>SUMIFS('Data nguồn'!H:H, 'Data nguồn'!D:D, $D9, 'Data nguồn'!F:F, $B$1, 'Data nguồn'!C:C, Q$3)</f>
      </c>
      <c r="R9" s="8">
        <f>SUMIFS('Data nguồn'!H:H, 'Data nguồn'!D:D, $D9, 'Data nguồn'!F:F, $B$1, 'Data nguồn'!C:C, R$3)</f>
      </c>
      <c r="S9" s="8">
        <f>SUMIFS('Data nguồn'!H:H, 'Data nguồn'!D:D, $D9, 'Data nguồn'!F:F, $B$1, 'Data nguồn'!C:C, S$3)</f>
      </c>
      <c r="T9" s="8">
        <f>SUMIFS('Data nguồn'!H:H, 'Data nguồn'!D:D, $D9, 'Data nguồn'!F:F, $B$1, 'Data nguồn'!C:C, T$3)</f>
      </c>
      <c r="U9" s="8">
        <f>SUMIFS('Data nguồn'!H:H, 'Data nguồn'!D:D, $D9, 'Data nguồn'!F:F, $B$1, 'Data nguồn'!C:C, U$3)</f>
      </c>
      <c r="W9" s="8">
        <f>SUM(E9:P9)</f>
      </c>
      <c r="X9" s="8">
        <f>SUM(Q9:U9)</f>
      </c>
      <c r="Y9" s="8">
        <f>AVERAGE(S9:U9)</f>
      </c>
      <c r="Z9" s="8">
        <f>AVERAGE(P9:U9)</f>
      </c>
      <c r="AA9" s="8">
        <f>AVERAGE(M9:U9)</f>
      </c>
      <c r="AB9" s="4">
        <f>IFERROR((Y9*2)/(Z9+AA9), 0)</f>
      </c>
      <c r="AC9" s="4">
        <f>IFERROR(X9/SUM(E9:I9), 0)</f>
      </c>
      <c r="AD9" s="4">
        <f>IFERROR(X9/SUM(E9:I9), 0)</f>
      </c>
      <c r="AE9" s="4">
        <f>IFERROR(U9/I9, 0)</f>
      </c>
    </row>
    <row r="10" ht="20" customHeight="1" spans="1:31" x14ac:dyDescent="0.25">
      <c r="A10">
        <v>7</v>
      </c>
      <c r="B10" t="s">
        <v>9</v>
      </c>
      <c r="C10" t="s">
        <v>141</v>
      </c>
      <c r="D10" s="2" t="s">
        <v>9</v>
      </c>
      <c r="E10" s="8">
        <f>SUMIFS('Data nguồn'!H:H, 'Data nguồn'!D:D, $D10, 'Data nguồn'!F:F, $B$1, 'Data nguồn'!C:C, E$3)</f>
      </c>
      <c r="F10" s="8">
        <f>SUMIFS('Data nguồn'!H:H, 'Data nguồn'!D:D, $D10, 'Data nguồn'!F:F, $B$1, 'Data nguồn'!C:C, F$3)</f>
      </c>
      <c r="G10" s="8">
        <f>SUMIFS('Data nguồn'!H:H, 'Data nguồn'!D:D, $D10, 'Data nguồn'!F:F, $B$1, 'Data nguồn'!C:C, G$3)</f>
      </c>
      <c r="H10" s="8">
        <f>SUMIFS('Data nguồn'!H:H, 'Data nguồn'!D:D, $D10, 'Data nguồn'!F:F, $B$1, 'Data nguồn'!C:C, H$3)</f>
      </c>
      <c r="I10" s="8">
        <f>SUMIFS('Data nguồn'!H:H, 'Data nguồn'!D:D, $D10, 'Data nguồn'!F:F, $B$1, 'Data nguồn'!C:C, I$3)</f>
      </c>
      <c r="J10" s="8">
        <f>SUMIFS('Data nguồn'!H:H, 'Data nguồn'!D:D, $D10, 'Data nguồn'!F:F, $B$1, 'Data nguồn'!C:C, J$3)</f>
      </c>
      <c r="K10" s="8">
        <f>SUMIFS('Data nguồn'!H:H, 'Data nguồn'!D:D, $D10, 'Data nguồn'!F:F, $B$1, 'Data nguồn'!C:C, K$3)</f>
      </c>
      <c r="L10" s="8">
        <f>SUMIFS('Data nguồn'!H:H, 'Data nguồn'!D:D, $D10, 'Data nguồn'!F:F, $B$1, 'Data nguồn'!C:C, L$3)</f>
      </c>
      <c r="M10" s="8">
        <f>SUMIFS('Data nguồn'!H:H, 'Data nguồn'!D:D, $D10, 'Data nguồn'!F:F, $B$1, 'Data nguồn'!C:C, M$3)</f>
      </c>
      <c r="N10" s="8">
        <f>SUMIFS('Data nguồn'!H:H, 'Data nguồn'!D:D, $D10, 'Data nguồn'!F:F, $B$1, 'Data nguồn'!C:C, N$3)</f>
      </c>
      <c r="O10" s="8">
        <f>SUMIFS('Data nguồn'!H:H, 'Data nguồn'!D:D, $D10, 'Data nguồn'!F:F, $B$1, 'Data nguồn'!C:C, O$3)</f>
      </c>
      <c r="P10" s="8">
        <f>SUMIFS('Data nguồn'!H:H, 'Data nguồn'!D:D, $D10, 'Data nguồn'!F:F, $B$1, 'Data nguồn'!C:C, P$3)</f>
      </c>
      <c r="Q10" s="8">
        <f>SUMIFS('Data nguồn'!H:H, 'Data nguồn'!D:D, $D10, 'Data nguồn'!F:F, $B$1, 'Data nguồn'!C:C, Q$3)</f>
      </c>
      <c r="R10" s="8">
        <f>SUMIFS('Data nguồn'!H:H, 'Data nguồn'!D:D, $D10, 'Data nguồn'!F:F, $B$1, 'Data nguồn'!C:C, R$3)</f>
      </c>
      <c r="S10" s="8">
        <f>SUMIFS('Data nguồn'!H:H, 'Data nguồn'!D:D, $D10, 'Data nguồn'!F:F, $B$1, 'Data nguồn'!C:C, S$3)</f>
      </c>
      <c r="T10" s="8">
        <f>SUMIFS('Data nguồn'!H:H, 'Data nguồn'!D:D, $D10, 'Data nguồn'!F:F, $B$1, 'Data nguồn'!C:C, T$3)</f>
      </c>
      <c r="U10" s="8">
        <f>SUMIFS('Data nguồn'!H:H, 'Data nguồn'!D:D, $D10, 'Data nguồn'!F:F, $B$1, 'Data nguồn'!C:C, U$3)</f>
      </c>
      <c r="W10" s="8">
        <f>SUM(E10:P10)</f>
      </c>
      <c r="X10" s="8">
        <f>SUM(Q10:U10)</f>
      </c>
      <c r="Y10" s="8">
        <f>AVERAGE(S10:U10)</f>
      </c>
      <c r="Z10" s="8">
        <f>AVERAGE(P10:U10)</f>
      </c>
      <c r="AA10" s="8">
        <f>AVERAGE(M10:U10)</f>
      </c>
      <c r="AB10" s="4">
        <f>IFERROR((Y10*2)/(Z10+AA10), 0)</f>
      </c>
      <c r="AC10" s="4">
        <f>IFERROR(X10/SUM(E10:I10), 0)</f>
      </c>
      <c r="AD10" s="4">
        <f>IFERROR(X10/SUM(E10:I10), 0)</f>
      </c>
      <c r="AE10" s="4">
        <f>IFERROR(U10/I10, 0)</f>
      </c>
    </row>
    <row r="11" ht="20" customHeight="1" spans="1:31" x14ac:dyDescent="0.25">
      <c r="A11">
        <v>8</v>
      </c>
      <c r="B11" t="s">
        <v>10</v>
      </c>
      <c r="C11" t="s">
        <v>141</v>
      </c>
      <c r="D11" s="2" t="s">
        <v>10</v>
      </c>
      <c r="E11" s="8">
        <f>SUMIFS('Data nguồn'!H:H, 'Data nguồn'!D:D, $D11, 'Data nguồn'!F:F, $B$1, 'Data nguồn'!C:C, E$3)</f>
      </c>
      <c r="F11" s="8">
        <f>SUMIFS('Data nguồn'!H:H, 'Data nguồn'!D:D, $D11, 'Data nguồn'!F:F, $B$1, 'Data nguồn'!C:C, F$3)</f>
      </c>
      <c r="G11" s="8">
        <f>SUMIFS('Data nguồn'!H:H, 'Data nguồn'!D:D, $D11, 'Data nguồn'!F:F, $B$1, 'Data nguồn'!C:C, G$3)</f>
      </c>
      <c r="H11" s="8">
        <f>SUMIFS('Data nguồn'!H:H, 'Data nguồn'!D:D, $D11, 'Data nguồn'!F:F, $B$1, 'Data nguồn'!C:C, H$3)</f>
      </c>
      <c r="I11" s="8">
        <f>SUMIFS('Data nguồn'!H:H, 'Data nguồn'!D:D, $D11, 'Data nguồn'!F:F, $B$1, 'Data nguồn'!C:C, I$3)</f>
      </c>
      <c r="J11" s="8">
        <f>SUMIFS('Data nguồn'!H:H, 'Data nguồn'!D:D, $D11, 'Data nguồn'!F:F, $B$1, 'Data nguồn'!C:C, J$3)</f>
      </c>
      <c r="K11" s="8">
        <f>SUMIFS('Data nguồn'!H:H, 'Data nguồn'!D:D, $D11, 'Data nguồn'!F:F, $B$1, 'Data nguồn'!C:C, K$3)</f>
      </c>
      <c r="L11" s="8">
        <f>SUMIFS('Data nguồn'!H:H, 'Data nguồn'!D:D, $D11, 'Data nguồn'!F:F, $B$1, 'Data nguồn'!C:C, L$3)</f>
      </c>
      <c r="M11" s="8">
        <f>SUMIFS('Data nguồn'!H:H, 'Data nguồn'!D:D, $D11, 'Data nguồn'!F:F, $B$1, 'Data nguồn'!C:C, M$3)</f>
      </c>
      <c r="N11" s="8">
        <f>SUMIFS('Data nguồn'!H:H, 'Data nguồn'!D:D, $D11, 'Data nguồn'!F:F, $B$1, 'Data nguồn'!C:C, N$3)</f>
      </c>
      <c r="O11" s="8">
        <f>SUMIFS('Data nguồn'!H:H, 'Data nguồn'!D:D, $D11, 'Data nguồn'!F:F, $B$1, 'Data nguồn'!C:C, O$3)</f>
      </c>
      <c r="P11" s="8">
        <f>SUMIFS('Data nguồn'!H:H, 'Data nguồn'!D:D, $D11, 'Data nguồn'!F:F, $B$1, 'Data nguồn'!C:C, P$3)</f>
      </c>
      <c r="Q11" s="8">
        <f>SUMIFS('Data nguồn'!H:H, 'Data nguồn'!D:D, $D11, 'Data nguồn'!F:F, $B$1, 'Data nguồn'!C:C, Q$3)</f>
      </c>
      <c r="R11" s="8">
        <f>SUMIFS('Data nguồn'!H:H, 'Data nguồn'!D:D, $D11, 'Data nguồn'!F:F, $B$1, 'Data nguồn'!C:C, R$3)</f>
      </c>
      <c r="S11" s="8">
        <f>SUMIFS('Data nguồn'!H:H, 'Data nguồn'!D:D, $D11, 'Data nguồn'!F:F, $B$1, 'Data nguồn'!C:C, S$3)</f>
      </c>
      <c r="T11" s="8">
        <f>SUMIFS('Data nguồn'!H:H, 'Data nguồn'!D:D, $D11, 'Data nguồn'!F:F, $B$1, 'Data nguồn'!C:C, T$3)</f>
      </c>
      <c r="U11" s="8">
        <f>SUMIFS('Data nguồn'!H:H, 'Data nguồn'!D:D, $D11, 'Data nguồn'!F:F, $B$1, 'Data nguồn'!C:C, U$3)</f>
      </c>
      <c r="W11" s="8">
        <f>SUM(E11:P11)</f>
      </c>
      <c r="X11" s="8">
        <f>SUM(Q11:U11)</f>
      </c>
      <c r="Y11" s="8">
        <f>AVERAGE(S11:U11)</f>
      </c>
      <c r="Z11" s="8">
        <f>AVERAGE(P11:U11)</f>
      </c>
      <c r="AA11" s="8">
        <f>AVERAGE(M11:U11)</f>
      </c>
      <c r="AB11" s="4">
        <f>IFERROR((Y11*2)/(Z11+AA11), 0)</f>
      </c>
      <c r="AC11" s="4">
        <f>IFERROR(X11/SUM(E11:I11), 0)</f>
      </c>
      <c r="AD11" s="4">
        <f>IFERROR(X11/SUM(E11:I11), 0)</f>
      </c>
      <c r="AE11" s="4">
        <f>IFERROR(U11/I11, 0)</f>
      </c>
    </row>
    <row r="12" ht="20" customHeight="1" spans="1:31" x14ac:dyDescent="0.25">
      <c r="A12">
        <v>9</v>
      </c>
      <c r="B12" t="s">
        <v>11</v>
      </c>
      <c r="C12" t="s">
        <v>141</v>
      </c>
      <c r="D12" s="2" t="s">
        <v>11</v>
      </c>
      <c r="E12" s="8">
        <f>SUMIFS('Data nguồn'!H:H, 'Data nguồn'!D:D, $D12, 'Data nguồn'!F:F, $B$1, 'Data nguồn'!C:C, E$3)</f>
      </c>
      <c r="F12" s="8">
        <f>SUMIFS('Data nguồn'!H:H, 'Data nguồn'!D:D, $D12, 'Data nguồn'!F:F, $B$1, 'Data nguồn'!C:C, F$3)</f>
      </c>
      <c r="G12" s="8">
        <f>SUMIFS('Data nguồn'!H:H, 'Data nguồn'!D:D, $D12, 'Data nguồn'!F:F, $B$1, 'Data nguồn'!C:C, G$3)</f>
      </c>
      <c r="H12" s="8">
        <f>SUMIFS('Data nguồn'!H:H, 'Data nguồn'!D:D, $D12, 'Data nguồn'!F:F, $B$1, 'Data nguồn'!C:C, H$3)</f>
      </c>
      <c r="I12" s="8">
        <f>SUMIFS('Data nguồn'!H:H, 'Data nguồn'!D:D, $D12, 'Data nguồn'!F:F, $B$1, 'Data nguồn'!C:C, I$3)</f>
      </c>
      <c r="J12" s="8">
        <f>SUMIFS('Data nguồn'!H:H, 'Data nguồn'!D:D, $D12, 'Data nguồn'!F:F, $B$1, 'Data nguồn'!C:C, J$3)</f>
      </c>
      <c r="K12" s="8">
        <f>SUMIFS('Data nguồn'!H:H, 'Data nguồn'!D:D, $D12, 'Data nguồn'!F:F, $B$1, 'Data nguồn'!C:C, K$3)</f>
      </c>
      <c r="L12" s="8">
        <f>SUMIFS('Data nguồn'!H:H, 'Data nguồn'!D:D, $D12, 'Data nguồn'!F:F, $B$1, 'Data nguồn'!C:C, L$3)</f>
      </c>
      <c r="M12" s="8">
        <f>SUMIFS('Data nguồn'!H:H, 'Data nguồn'!D:D, $D12, 'Data nguồn'!F:F, $B$1, 'Data nguồn'!C:C, M$3)</f>
      </c>
      <c r="N12" s="8">
        <f>SUMIFS('Data nguồn'!H:H, 'Data nguồn'!D:D, $D12, 'Data nguồn'!F:F, $B$1, 'Data nguồn'!C:C, N$3)</f>
      </c>
      <c r="O12" s="8">
        <f>SUMIFS('Data nguồn'!H:H, 'Data nguồn'!D:D, $D12, 'Data nguồn'!F:F, $B$1, 'Data nguồn'!C:C, O$3)</f>
      </c>
      <c r="P12" s="8">
        <f>SUMIFS('Data nguồn'!H:H, 'Data nguồn'!D:D, $D12, 'Data nguồn'!F:F, $B$1, 'Data nguồn'!C:C, P$3)</f>
      </c>
      <c r="Q12" s="8">
        <f>SUMIFS('Data nguồn'!H:H, 'Data nguồn'!D:D, $D12, 'Data nguồn'!F:F, $B$1, 'Data nguồn'!C:C, Q$3)</f>
      </c>
      <c r="R12" s="8">
        <f>SUMIFS('Data nguồn'!H:H, 'Data nguồn'!D:D, $D12, 'Data nguồn'!F:F, $B$1, 'Data nguồn'!C:C, R$3)</f>
      </c>
      <c r="S12" s="8">
        <f>SUMIFS('Data nguồn'!H:H, 'Data nguồn'!D:D, $D12, 'Data nguồn'!F:F, $B$1, 'Data nguồn'!C:C, S$3)</f>
      </c>
      <c r="T12" s="8">
        <f>SUMIFS('Data nguồn'!H:H, 'Data nguồn'!D:D, $D12, 'Data nguồn'!F:F, $B$1, 'Data nguồn'!C:C, T$3)</f>
      </c>
      <c r="U12" s="8">
        <f>SUMIFS('Data nguồn'!H:H, 'Data nguồn'!D:D, $D12, 'Data nguồn'!F:F, $B$1, 'Data nguồn'!C:C, U$3)</f>
      </c>
      <c r="W12" s="8">
        <f>SUM(E12:P12)</f>
      </c>
      <c r="X12" s="8">
        <f>SUM(Q12:U12)</f>
      </c>
      <c r="Y12" s="8">
        <f>AVERAGE(S12:U12)</f>
      </c>
      <c r="Z12" s="8">
        <f>AVERAGE(P12:U12)</f>
      </c>
      <c r="AA12" s="8">
        <f>AVERAGE(M12:U12)</f>
      </c>
      <c r="AB12" s="4">
        <f>IFERROR((Y12*2)/(Z12+AA12), 0)</f>
      </c>
      <c r="AC12" s="4">
        <f>IFERROR(X12/SUM(E12:I12), 0)</f>
      </c>
      <c r="AD12" s="4">
        <f>IFERROR(X12/SUM(E12:I12), 0)</f>
      </c>
      <c r="AE12" s="4">
        <f>IFERROR(U12/I12, 0)</f>
      </c>
    </row>
    <row r="13" ht="20" customHeight="1" spans="1:31" x14ac:dyDescent="0.25">
      <c r="A13">
        <v>10</v>
      </c>
      <c r="B13" t="s">
        <v>12</v>
      </c>
      <c r="C13" t="s">
        <v>141</v>
      </c>
      <c r="D13" s="2" t="s">
        <v>12</v>
      </c>
      <c r="E13" s="8">
        <f>SUMIFS('Data nguồn'!H:H, 'Data nguồn'!D:D, $D13, 'Data nguồn'!F:F, $B$1, 'Data nguồn'!C:C, E$3)</f>
      </c>
      <c r="F13" s="8">
        <f>SUMIFS('Data nguồn'!H:H, 'Data nguồn'!D:D, $D13, 'Data nguồn'!F:F, $B$1, 'Data nguồn'!C:C, F$3)</f>
      </c>
      <c r="G13" s="8">
        <f>SUMIFS('Data nguồn'!H:H, 'Data nguồn'!D:D, $D13, 'Data nguồn'!F:F, $B$1, 'Data nguồn'!C:C, G$3)</f>
      </c>
      <c r="H13" s="8">
        <f>SUMIFS('Data nguồn'!H:H, 'Data nguồn'!D:D, $D13, 'Data nguồn'!F:F, $B$1, 'Data nguồn'!C:C, H$3)</f>
      </c>
      <c r="I13" s="8">
        <f>SUMIFS('Data nguồn'!H:H, 'Data nguồn'!D:D, $D13, 'Data nguồn'!F:F, $B$1, 'Data nguồn'!C:C, I$3)</f>
      </c>
      <c r="J13" s="8">
        <f>SUMIFS('Data nguồn'!H:H, 'Data nguồn'!D:D, $D13, 'Data nguồn'!F:F, $B$1, 'Data nguồn'!C:C, J$3)</f>
      </c>
      <c r="K13" s="8">
        <f>SUMIFS('Data nguồn'!H:H, 'Data nguồn'!D:D, $D13, 'Data nguồn'!F:F, $B$1, 'Data nguồn'!C:C, K$3)</f>
      </c>
      <c r="L13" s="8">
        <f>SUMIFS('Data nguồn'!H:H, 'Data nguồn'!D:D, $D13, 'Data nguồn'!F:F, $B$1, 'Data nguồn'!C:C, L$3)</f>
      </c>
      <c r="M13" s="8">
        <f>SUMIFS('Data nguồn'!H:H, 'Data nguồn'!D:D, $D13, 'Data nguồn'!F:F, $B$1, 'Data nguồn'!C:C, M$3)</f>
      </c>
      <c r="N13" s="8">
        <f>SUMIFS('Data nguồn'!H:H, 'Data nguồn'!D:D, $D13, 'Data nguồn'!F:F, $B$1, 'Data nguồn'!C:C, N$3)</f>
      </c>
      <c r="O13" s="8">
        <f>SUMIFS('Data nguồn'!H:H, 'Data nguồn'!D:D, $D13, 'Data nguồn'!F:F, $B$1, 'Data nguồn'!C:C, O$3)</f>
      </c>
      <c r="P13" s="8">
        <f>SUMIFS('Data nguồn'!H:H, 'Data nguồn'!D:D, $D13, 'Data nguồn'!F:F, $B$1, 'Data nguồn'!C:C, P$3)</f>
      </c>
      <c r="Q13" s="8">
        <f>SUMIFS('Data nguồn'!H:H, 'Data nguồn'!D:D, $D13, 'Data nguồn'!F:F, $B$1, 'Data nguồn'!C:C, Q$3)</f>
      </c>
      <c r="R13" s="8">
        <f>SUMIFS('Data nguồn'!H:H, 'Data nguồn'!D:D, $D13, 'Data nguồn'!F:F, $B$1, 'Data nguồn'!C:C, R$3)</f>
      </c>
      <c r="S13" s="8">
        <f>SUMIFS('Data nguồn'!H:H, 'Data nguồn'!D:D, $D13, 'Data nguồn'!F:F, $B$1, 'Data nguồn'!C:C, S$3)</f>
      </c>
      <c r="T13" s="8">
        <f>SUMIFS('Data nguồn'!H:H, 'Data nguồn'!D:D, $D13, 'Data nguồn'!F:F, $B$1, 'Data nguồn'!C:C, T$3)</f>
      </c>
      <c r="U13" s="8">
        <f>SUMIFS('Data nguồn'!H:H, 'Data nguồn'!D:D, $D13, 'Data nguồn'!F:F, $B$1, 'Data nguồn'!C:C, U$3)</f>
      </c>
      <c r="W13" s="8">
        <f>SUM(E13:P13)</f>
      </c>
      <c r="X13" s="8">
        <f>SUM(Q13:U13)</f>
      </c>
      <c r="Y13" s="8">
        <f>AVERAGE(S13:U13)</f>
      </c>
      <c r="Z13" s="8">
        <f>AVERAGE(P13:U13)</f>
      </c>
      <c r="AA13" s="8">
        <f>AVERAGE(M13:U13)</f>
      </c>
      <c r="AB13" s="4">
        <f>IFERROR((Y13*2)/(Z13+AA13), 0)</f>
      </c>
      <c r="AC13" s="4">
        <f>IFERROR(X13/SUM(E13:I13), 0)</f>
      </c>
      <c r="AD13" s="4">
        <f>IFERROR(X13/SUM(E13:I13), 0)</f>
      </c>
      <c r="AE13" s="4">
        <f>IFERROR(U13/I13, 0)</f>
      </c>
    </row>
    <row r="14" ht="20" customHeight="1" spans="1:31" x14ac:dyDescent="0.25">
      <c r="A14">
        <v>11</v>
      </c>
      <c r="B14" t="s">
        <v>13</v>
      </c>
      <c r="C14" t="s">
        <v>141</v>
      </c>
      <c r="D14" s="2" t="s">
        <v>13</v>
      </c>
      <c r="E14" s="8">
        <f>SUMIFS('Data nguồn'!H:H, 'Data nguồn'!D:D, $D14, 'Data nguồn'!F:F, $B$1, 'Data nguồn'!C:C, E$3)</f>
      </c>
      <c r="F14" s="8">
        <f>SUMIFS('Data nguồn'!H:H, 'Data nguồn'!D:D, $D14, 'Data nguồn'!F:F, $B$1, 'Data nguồn'!C:C, F$3)</f>
      </c>
      <c r="G14" s="8">
        <f>SUMIFS('Data nguồn'!H:H, 'Data nguồn'!D:D, $D14, 'Data nguồn'!F:F, $B$1, 'Data nguồn'!C:C, G$3)</f>
      </c>
      <c r="H14" s="8">
        <f>SUMIFS('Data nguồn'!H:H, 'Data nguồn'!D:D, $D14, 'Data nguồn'!F:F, $B$1, 'Data nguồn'!C:C, H$3)</f>
      </c>
      <c r="I14" s="8">
        <f>SUMIFS('Data nguồn'!H:H, 'Data nguồn'!D:D, $D14, 'Data nguồn'!F:F, $B$1, 'Data nguồn'!C:C, I$3)</f>
      </c>
      <c r="J14" s="8">
        <f>SUMIFS('Data nguồn'!H:H, 'Data nguồn'!D:D, $D14, 'Data nguồn'!F:F, $B$1, 'Data nguồn'!C:C, J$3)</f>
      </c>
      <c r="K14" s="8">
        <f>SUMIFS('Data nguồn'!H:H, 'Data nguồn'!D:D, $D14, 'Data nguồn'!F:F, $B$1, 'Data nguồn'!C:C, K$3)</f>
      </c>
      <c r="L14" s="8">
        <f>SUMIFS('Data nguồn'!H:H, 'Data nguồn'!D:D, $D14, 'Data nguồn'!F:F, $B$1, 'Data nguồn'!C:C, L$3)</f>
      </c>
      <c r="M14" s="8">
        <f>SUMIFS('Data nguồn'!H:H, 'Data nguồn'!D:D, $D14, 'Data nguồn'!F:F, $B$1, 'Data nguồn'!C:C, M$3)</f>
      </c>
      <c r="N14" s="8">
        <f>SUMIFS('Data nguồn'!H:H, 'Data nguồn'!D:D, $D14, 'Data nguồn'!F:F, $B$1, 'Data nguồn'!C:C, N$3)</f>
      </c>
      <c r="O14" s="8">
        <f>SUMIFS('Data nguồn'!H:H, 'Data nguồn'!D:D, $D14, 'Data nguồn'!F:F, $B$1, 'Data nguồn'!C:C, O$3)</f>
      </c>
      <c r="P14" s="8">
        <f>SUMIFS('Data nguồn'!H:H, 'Data nguồn'!D:D, $D14, 'Data nguồn'!F:F, $B$1, 'Data nguồn'!C:C, P$3)</f>
      </c>
      <c r="Q14" s="8">
        <f>SUMIFS('Data nguồn'!H:H, 'Data nguồn'!D:D, $D14, 'Data nguồn'!F:F, $B$1, 'Data nguồn'!C:C, Q$3)</f>
      </c>
      <c r="R14" s="8">
        <f>SUMIFS('Data nguồn'!H:H, 'Data nguồn'!D:D, $D14, 'Data nguồn'!F:F, $B$1, 'Data nguồn'!C:C, R$3)</f>
      </c>
      <c r="S14" s="8">
        <f>SUMIFS('Data nguồn'!H:H, 'Data nguồn'!D:D, $D14, 'Data nguồn'!F:F, $B$1, 'Data nguồn'!C:C, S$3)</f>
      </c>
      <c r="T14" s="8">
        <f>SUMIFS('Data nguồn'!H:H, 'Data nguồn'!D:D, $D14, 'Data nguồn'!F:F, $B$1, 'Data nguồn'!C:C, T$3)</f>
      </c>
      <c r="U14" s="8">
        <f>SUMIFS('Data nguồn'!H:H, 'Data nguồn'!D:D, $D14, 'Data nguồn'!F:F, $B$1, 'Data nguồn'!C:C, U$3)</f>
      </c>
      <c r="W14" s="8">
        <f>SUM(E14:P14)</f>
      </c>
      <c r="X14" s="8">
        <f>SUM(Q14:U14)</f>
      </c>
      <c r="Y14" s="8">
        <f>AVERAGE(S14:U14)</f>
      </c>
      <c r="Z14" s="8">
        <f>AVERAGE(P14:U14)</f>
      </c>
      <c r="AA14" s="8">
        <f>AVERAGE(M14:U14)</f>
      </c>
      <c r="AB14" s="4">
        <f>IFERROR((Y14*2)/(Z14+AA14), 0)</f>
      </c>
      <c r="AC14" s="4">
        <f>IFERROR(X14/SUM(E14:I14), 0)</f>
      </c>
      <c r="AD14" s="4">
        <f>IFERROR(X14/SUM(E14:I14), 0)</f>
      </c>
      <c r="AE14" s="4">
        <f>IFERROR(U14/I14, 0)</f>
      </c>
    </row>
    <row r="15" ht="20" customHeight="1" spans="1:31" x14ac:dyDescent="0.25">
      <c r="A15">
        <v>12</v>
      </c>
      <c r="B15" t="s">
        <v>14</v>
      </c>
      <c r="C15" t="s">
        <v>141</v>
      </c>
      <c r="D15" s="2" t="s">
        <v>14</v>
      </c>
      <c r="E15" s="8">
        <f>SUMIFS('Data nguồn'!H:H, 'Data nguồn'!D:D, $D15, 'Data nguồn'!F:F, $B$1, 'Data nguồn'!C:C, E$3)</f>
      </c>
      <c r="F15" s="8">
        <f>SUMIFS('Data nguồn'!H:H, 'Data nguồn'!D:D, $D15, 'Data nguồn'!F:F, $B$1, 'Data nguồn'!C:C, F$3)</f>
      </c>
      <c r="G15" s="8">
        <f>SUMIFS('Data nguồn'!H:H, 'Data nguồn'!D:D, $D15, 'Data nguồn'!F:F, $B$1, 'Data nguồn'!C:C, G$3)</f>
      </c>
      <c r="H15" s="8">
        <f>SUMIFS('Data nguồn'!H:H, 'Data nguồn'!D:D, $D15, 'Data nguồn'!F:F, $B$1, 'Data nguồn'!C:C, H$3)</f>
      </c>
      <c r="I15" s="8">
        <f>SUMIFS('Data nguồn'!H:H, 'Data nguồn'!D:D, $D15, 'Data nguồn'!F:F, $B$1, 'Data nguồn'!C:C, I$3)</f>
      </c>
      <c r="J15" s="8">
        <f>SUMIFS('Data nguồn'!H:H, 'Data nguồn'!D:D, $D15, 'Data nguồn'!F:F, $B$1, 'Data nguồn'!C:C, J$3)</f>
      </c>
      <c r="K15" s="8">
        <f>SUMIFS('Data nguồn'!H:H, 'Data nguồn'!D:D, $D15, 'Data nguồn'!F:F, $B$1, 'Data nguồn'!C:C, K$3)</f>
      </c>
      <c r="L15" s="8">
        <f>SUMIFS('Data nguồn'!H:H, 'Data nguồn'!D:D, $D15, 'Data nguồn'!F:F, $B$1, 'Data nguồn'!C:C, L$3)</f>
      </c>
      <c r="M15" s="8">
        <f>SUMIFS('Data nguồn'!H:H, 'Data nguồn'!D:D, $D15, 'Data nguồn'!F:F, $B$1, 'Data nguồn'!C:C, M$3)</f>
      </c>
      <c r="N15" s="8">
        <f>SUMIFS('Data nguồn'!H:H, 'Data nguồn'!D:D, $D15, 'Data nguồn'!F:F, $B$1, 'Data nguồn'!C:C, N$3)</f>
      </c>
      <c r="O15" s="8">
        <f>SUMIFS('Data nguồn'!H:H, 'Data nguồn'!D:D, $D15, 'Data nguồn'!F:F, $B$1, 'Data nguồn'!C:C, O$3)</f>
      </c>
      <c r="P15" s="8">
        <f>SUMIFS('Data nguồn'!H:H, 'Data nguồn'!D:D, $D15, 'Data nguồn'!F:F, $B$1, 'Data nguồn'!C:C, P$3)</f>
      </c>
      <c r="Q15" s="8">
        <f>SUMIFS('Data nguồn'!H:H, 'Data nguồn'!D:D, $D15, 'Data nguồn'!F:F, $B$1, 'Data nguồn'!C:C, Q$3)</f>
      </c>
      <c r="R15" s="8">
        <f>SUMIFS('Data nguồn'!H:H, 'Data nguồn'!D:D, $D15, 'Data nguồn'!F:F, $B$1, 'Data nguồn'!C:C, R$3)</f>
      </c>
      <c r="S15" s="8">
        <f>SUMIFS('Data nguồn'!H:H, 'Data nguồn'!D:D, $D15, 'Data nguồn'!F:F, $B$1, 'Data nguồn'!C:C, S$3)</f>
      </c>
      <c r="T15" s="8">
        <f>SUMIFS('Data nguồn'!H:H, 'Data nguồn'!D:D, $D15, 'Data nguồn'!F:F, $B$1, 'Data nguồn'!C:C, T$3)</f>
      </c>
      <c r="U15" s="8">
        <f>SUMIFS('Data nguồn'!H:H, 'Data nguồn'!D:D, $D15, 'Data nguồn'!F:F, $B$1, 'Data nguồn'!C:C, U$3)</f>
      </c>
      <c r="W15" s="8">
        <f>SUM(E15:P15)</f>
      </c>
      <c r="X15" s="8">
        <f>SUM(Q15:U15)</f>
      </c>
      <c r="Y15" s="8">
        <f>AVERAGE(S15:U15)</f>
      </c>
      <c r="Z15" s="8">
        <f>AVERAGE(P15:U15)</f>
      </c>
      <c r="AA15" s="8">
        <f>AVERAGE(M15:U15)</f>
      </c>
      <c r="AB15" s="4">
        <f>IFERROR((Y15*2)/(Z15+AA15), 0)</f>
      </c>
      <c r="AC15" s="4">
        <f>IFERROR(X15/SUM(E15:I15), 0)</f>
      </c>
      <c r="AD15" s="4">
        <f>IFERROR(X15/SUM(E15:I15), 0)</f>
      </c>
      <c r="AE15" s="4">
        <f>IFERROR(U15/I15, 0)</f>
      </c>
    </row>
    <row r="16" ht="20" customHeight="1" spans="1:31" x14ac:dyDescent="0.25">
      <c r="A16">
        <v>13</v>
      </c>
      <c r="B16" t="s">
        <v>15</v>
      </c>
      <c r="C16" t="s">
        <v>141</v>
      </c>
      <c r="D16" s="2" t="s">
        <v>15</v>
      </c>
      <c r="E16" s="8">
        <f>SUMIFS('Data nguồn'!H:H, 'Data nguồn'!D:D, $D16, 'Data nguồn'!F:F, $B$1, 'Data nguồn'!C:C, E$3)</f>
      </c>
      <c r="F16" s="8">
        <f>SUMIFS('Data nguồn'!H:H, 'Data nguồn'!D:D, $D16, 'Data nguồn'!F:F, $B$1, 'Data nguồn'!C:C, F$3)</f>
      </c>
      <c r="G16" s="8">
        <f>SUMIFS('Data nguồn'!H:H, 'Data nguồn'!D:D, $D16, 'Data nguồn'!F:F, $B$1, 'Data nguồn'!C:C, G$3)</f>
      </c>
      <c r="H16" s="8">
        <f>SUMIFS('Data nguồn'!H:H, 'Data nguồn'!D:D, $D16, 'Data nguồn'!F:F, $B$1, 'Data nguồn'!C:C, H$3)</f>
      </c>
      <c r="I16" s="8">
        <f>SUMIFS('Data nguồn'!H:H, 'Data nguồn'!D:D, $D16, 'Data nguồn'!F:F, $B$1, 'Data nguồn'!C:C, I$3)</f>
      </c>
      <c r="J16" s="8">
        <f>SUMIFS('Data nguồn'!H:H, 'Data nguồn'!D:D, $D16, 'Data nguồn'!F:F, $B$1, 'Data nguồn'!C:C, J$3)</f>
      </c>
      <c r="K16" s="8">
        <f>SUMIFS('Data nguồn'!H:H, 'Data nguồn'!D:D, $D16, 'Data nguồn'!F:F, $B$1, 'Data nguồn'!C:C, K$3)</f>
      </c>
      <c r="L16" s="8">
        <f>SUMIFS('Data nguồn'!H:H, 'Data nguồn'!D:D, $D16, 'Data nguồn'!F:F, $B$1, 'Data nguồn'!C:C, L$3)</f>
      </c>
      <c r="M16" s="8">
        <f>SUMIFS('Data nguồn'!H:H, 'Data nguồn'!D:D, $D16, 'Data nguồn'!F:F, $B$1, 'Data nguồn'!C:C, M$3)</f>
      </c>
      <c r="N16" s="8">
        <f>SUMIFS('Data nguồn'!H:H, 'Data nguồn'!D:D, $D16, 'Data nguồn'!F:F, $B$1, 'Data nguồn'!C:C, N$3)</f>
      </c>
      <c r="O16" s="8">
        <f>SUMIFS('Data nguồn'!H:H, 'Data nguồn'!D:D, $D16, 'Data nguồn'!F:F, $B$1, 'Data nguồn'!C:C, O$3)</f>
      </c>
      <c r="P16" s="8">
        <f>SUMIFS('Data nguồn'!H:H, 'Data nguồn'!D:D, $D16, 'Data nguồn'!F:F, $B$1, 'Data nguồn'!C:C, P$3)</f>
      </c>
      <c r="Q16" s="8">
        <f>SUMIFS('Data nguồn'!H:H, 'Data nguồn'!D:D, $D16, 'Data nguồn'!F:F, $B$1, 'Data nguồn'!C:C, Q$3)</f>
      </c>
      <c r="R16" s="8">
        <f>SUMIFS('Data nguồn'!H:H, 'Data nguồn'!D:D, $D16, 'Data nguồn'!F:F, $B$1, 'Data nguồn'!C:C, R$3)</f>
      </c>
      <c r="S16" s="8">
        <f>SUMIFS('Data nguồn'!H:H, 'Data nguồn'!D:D, $D16, 'Data nguồn'!F:F, $B$1, 'Data nguồn'!C:C, S$3)</f>
      </c>
      <c r="T16" s="8">
        <f>SUMIFS('Data nguồn'!H:H, 'Data nguồn'!D:D, $D16, 'Data nguồn'!F:F, $B$1, 'Data nguồn'!C:C, T$3)</f>
      </c>
      <c r="U16" s="8">
        <f>SUMIFS('Data nguồn'!H:H, 'Data nguồn'!D:D, $D16, 'Data nguồn'!F:F, $B$1, 'Data nguồn'!C:C, U$3)</f>
      </c>
      <c r="W16" s="8">
        <f>SUM(E16:P16)</f>
      </c>
      <c r="X16" s="8">
        <f>SUM(Q16:U16)</f>
      </c>
      <c r="Y16" s="8">
        <f>AVERAGE(S16:U16)</f>
      </c>
      <c r="Z16" s="8">
        <f>AVERAGE(P16:U16)</f>
      </c>
      <c r="AA16" s="8">
        <f>AVERAGE(M16:U16)</f>
      </c>
      <c r="AB16" s="4">
        <f>IFERROR((Y16*2)/(Z16+AA16), 0)</f>
      </c>
      <c r="AC16" s="4">
        <f>IFERROR(X16/SUM(E16:I16), 0)</f>
      </c>
      <c r="AD16" s="4">
        <f>IFERROR(X16/SUM(E16:I16), 0)</f>
      </c>
      <c r="AE16" s="4">
        <f>IFERROR(U16/I16, 0)</f>
      </c>
    </row>
    <row r="17" ht="20" customHeight="1" spans="1:31" x14ac:dyDescent="0.25">
      <c r="A17">
        <v>14</v>
      </c>
      <c r="B17" t="s">
        <v>16</v>
      </c>
      <c r="C17" t="s">
        <v>141</v>
      </c>
      <c r="D17" s="2" t="s">
        <v>16</v>
      </c>
      <c r="E17" s="8">
        <f>SUMIFS('Data nguồn'!H:H, 'Data nguồn'!D:D, $D17, 'Data nguồn'!F:F, $B$1, 'Data nguồn'!C:C, E$3)</f>
      </c>
      <c r="F17" s="8">
        <f>SUMIFS('Data nguồn'!H:H, 'Data nguồn'!D:D, $D17, 'Data nguồn'!F:F, $B$1, 'Data nguồn'!C:C, F$3)</f>
      </c>
      <c r="G17" s="8">
        <f>SUMIFS('Data nguồn'!H:H, 'Data nguồn'!D:D, $D17, 'Data nguồn'!F:F, $B$1, 'Data nguồn'!C:C, G$3)</f>
      </c>
      <c r="H17" s="8">
        <f>SUMIFS('Data nguồn'!H:H, 'Data nguồn'!D:D, $D17, 'Data nguồn'!F:F, $B$1, 'Data nguồn'!C:C, H$3)</f>
      </c>
      <c r="I17" s="8">
        <f>SUMIFS('Data nguồn'!H:H, 'Data nguồn'!D:D, $D17, 'Data nguồn'!F:F, $B$1, 'Data nguồn'!C:C, I$3)</f>
      </c>
      <c r="J17" s="8">
        <f>SUMIFS('Data nguồn'!H:H, 'Data nguồn'!D:D, $D17, 'Data nguồn'!F:F, $B$1, 'Data nguồn'!C:C, J$3)</f>
      </c>
      <c r="K17" s="8">
        <f>SUMIFS('Data nguồn'!H:H, 'Data nguồn'!D:D, $D17, 'Data nguồn'!F:F, $B$1, 'Data nguồn'!C:C, K$3)</f>
      </c>
      <c r="L17" s="8">
        <f>SUMIFS('Data nguồn'!H:H, 'Data nguồn'!D:D, $D17, 'Data nguồn'!F:F, $B$1, 'Data nguồn'!C:C, L$3)</f>
      </c>
      <c r="M17" s="8">
        <f>SUMIFS('Data nguồn'!H:H, 'Data nguồn'!D:D, $D17, 'Data nguồn'!F:F, $B$1, 'Data nguồn'!C:C, M$3)</f>
      </c>
      <c r="N17" s="8">
        <f>SUMIFS('Data nguồn'!H:H, 'Data nguồn'!D:D, $D17, 'Data nguồn'!F:F, $B$1, 'Data nguồn'!C:C, N$3)</f>
      </c>
      <c r="O17" s="8">
        <f>SUMIFS('Data nguồn'!H:H, 'Data nguồn'!D:D, $D17, 'Data nguồn'!F:F, $B$1, 'Data nguồn'!C:C, O$3)</f>
      </c>
      <c r="P17" s="8">
        <f>SUMIFS('Data nguồn'!H:H, 'Data nguồn'!D:D, $D17, 'Data nguồn'!F:F, $B$1, 'Data nguồn'!C:C, P$3)</f>
      </c>
      <c r="Q17" s="8">
        <f>SUMIFS('Data nguồn'!H:H, 'Data nguồn'!D:D, $D17, 'Data nguồn'!F:F, $B$1, 'Data nguồn'!C:C, Q$3)</f>
      </c>
      <c r="R17" s="8">
        <f>SUMIFS('Data nguồn'!H:H, 'Data nguồn'!D:D, $D17, 'Data nguồn'!F:F, $B$1, 'Data nguồn'!C:C, R$3)</f>
      </c>
      <c r="S17" s="8">
        <f>SUMIFS('Data nguồn'!H:H, 'Data nguồn'!D:D, $D17, 'Data nguồn'!F:F, $B$1, 'Data nguồn'!C:C, S$3)</f>
      </c>
      <c r="T17" s="8">
        <f>SUMIFS('Data nguồn'!H:H, 'Data nguồn'!D:D, $D17, 'Data nguồn'!F:F, $B$1, 'Data nguồn'!C:C, T$3)</f>
      </c>
      <c r="U17" s="8">
        <f>SUMIFS('Data nguồn'!H:H, 'Data nguồn'!D:D, $D17, 'Data nguồn'!F:F, $B$1, 'Data nguồn'!C:C, U$3)</f>
      </c>
      <c r="W17" s="8">
        <f>SUM(E17:P17)</f>
      </c>
      <c r="X17" s="8">
        <f>SUM(Q17:U17)</f>
      </c>
      <c r="Y17" s="8">
        <f>AVERAGE(S17:U17)</f>
      </c>
      <c r="Z17" s="8">
        <f>AVERAGE(P17:U17)</f>
      </c>
      <c r="AA17" s="8">
        <f>AVERAGE(M17:U17)</f>
      </c>
      <c r="AB17" s="4">
        <f>IFERROR((Y17*2)/(Z17+AA17), 0)</f>
      </c>
      <c r="AC17" s="4">
        <f>IFERROR(X17/SUM(E17:I17), 0)</f>
      </c>
      <c r="AD17" s="4">
        <f>IFERROR(X17/SUM(E17:I17), 0)</f>
      </c>
      <c r="AE17" s="4">
        <f>IFERROR(U17/I17, 0)</f>
      </c>
    </row>
    <row r="18" ht="20" customHeight="1" spans="1:31" x14ac:dyDescent="0.25">
      <c r="A18">
        <v>15</v>
      </c>
      <c r="B18" t="s">
        <v>17</v>
      </c>
      <c r="C18" t="s">
        <v>141</v>
      </c>
      <c r="D18" s="2" t="s">
        <v>17</v>
      </c>
      <c r="E18" s="8">
        <f>SUMIFS('Data nguồn'!H:H, 'Data nguồn'!D:D, $D18, 'Data nguồn'!F:F, $B$1, 'Data nguồn'!C:C, E$3)</f>
      </c>
      <c r="F18" s="8">
        <f>SUMIFS('Data nguồn'!H:H, 'Data nguồn'!D:D, $D18, 'Data nguồn'!F:F, $B$1, 'Data nguồn'!C:C, F$3)</f>
      </c>
      <c r="G18" s="8">
        <f>SUMIFS('Data nguồn'!H:H, 'Data nguồn'!D:D, $D18, 'Data nguồn'!F:F, $B$1, 'Data nguồn'!C:C, G$3)</f>
      </c>
      <c r="H18" s="8">
        <f>SUMIFS('Data nguồn'!H:H, 'Data nguồn'!D:D, $D18, 'Data nguồn'!F:F, $B$1, 'Data nguồn'!C:C, H$3)</f>
      </c>
      <c r="I18" s="8">
        <f>SUMIFS('Data nguồn'!H:H, 'Data nguồn'!D:D, $D18, 'Data nguồn'!F:F, $B$1, 'Data nguồn'!C:C, I$3)</f>
      </c>
      <c r="J18" s="8">
        <f>SUMIFS('Data nguồn'!H:H, 'Data nguồn'!D:D, $D18, 'Data nguồn'!F:F, $B$1, 'Data nguồn'!C:C, J$3)</f>
      </c>
      <c r="K18" s="8">
        <f>SUMIFS('Data nguồn'!H:H, 'Data nguồn'!D:D, $D18, 'Data nguồn'!F:F, $B$1, 'Data nguồn'!C:C, K$3)</f>
      </c>
      <c r="L18" s="8">
        <f>SUMIFS('Data nguồn'!H:H, 'Data nguồn'!D:D, $D18, 'Data nguồn'!F:F, $B$1, 'Data nguồn'!C:C, L$3)</f>
      </c>
      <c r="M18" s="8">
        <f>SUMIFS('Data nguồn'!H:H, 'Data nguồn'!D:D, $D18, 'Data nguồn'!F:F, $B$1, 'Data nguồn'!C:C, M$3)</f>
      </c>
      <c r="N18" s="8">
        <f>SUMIFS('Data nguồn'!H:H, 'Data nguồn'!D:D, $D18, 'Data nguồn'!F:F, $B$1, 'Data nguồn'!C:C, N$3)</f>
      </c>
      <c r="O18" s="8">
        <f>SUMIFS('Data nguồn'!H:H, 'Data nguồn'!D:D, $D18, 'Data nguồn'!F:F, $B$1, 'Data nguồn'!C:C, O$3)</f>
      </c>
      <c r="P18" s="8">
        <f>SUMIFS('Data nguồn'!H:H, 'Data nguồn'!D:D, $D18, 'Data nguồn'!F:F, $B$1, 'Data nguồn'!C:C, P$3)</f>
      </c>
      <c r="Q18" s="8">
        <f>SUMIFS('Data nguồn'!H:H, 'Data nguồn'!D:D, $D18, 'Data nguồn'!F:F, $B$1, 'Data nguồn'!C:C, Q$3)</f>
      </c>
      <c r="R18" s="8">
        <f>SUMIFS('Data nguồn'!H:H, 'Data nguồn'!D:D, $D18, 'Data nguồn'!F:F, $B$1, 'Data nguồn'!C:C, R$3)</f>
      </c>
      <c r="S18" s="8">
        <f>SUMIFS('Data nguồn'!H:H, 'Data nguồn'!D:D, $D18, 'Data nguồn'!F:F, $B$1, 'Data nguồn'!C:C, S$3)</f>
      </c>
      <c r="T18" s="8">
        <f>SUMIFS('Data nguồn'!H:H, 'Data nguồn'!D:D, $D18, 'Data nguồn'!F:F, $B$1, 'Data nguồn'!C:C, T$3)</f>
      </c>
      <c r="U18" s="8">
        <f>SUMIFS('Data nguồn'!H:H, 'Data nguồn'!D:D, $D18, 'Data nguồn'!F:F, $B$1, 'Data nguồn'!C:C, U$3)</f>
      </c>
      <c r="W18" s="8">
        <f>SUM(E18:P18)</f>
      </c>
      <c r="X18" s="8">
        <f>SUM(Q18:U18)</f>
      </c>
      <c r="Y18" s="8">
        <f>AVERAGE(S18:U18)</f>
      </c>
      <c r="Z18" s="8">
        <f>AVERAGE(P18:U18)</f>
      </c>
      <c r="AA18" s="8">
        <f>AVERAGE(M18:U18)</f>
      </c>
      <c r="AB18" s="4">
        <f>IFERROR((Y18*2)/(Z18+AA18), 0)</f>
      </c>
      <c r="AC18" s="4">
        <f>IFERROR(X18/SUM(E18:I18), 0)</f>
      </c>
      <c r="AD18" s="4">
        <f>IFERROR(X18/SUM(E18:I18), 0)</f>
      </c>
      <c r="AE18" s="4">
        <f>IFERROR(U18/I18, 0)</f>
      </c>
    </row>
    <row r="19" ht="20" customHeight="1" spans="1:31" x14ac:dyDescent="0.25">
      <c r="A19">
        <v>16</v>
      </c>
      <c r="B19" t="s">
        <v>18</v>
      </c>
      <c r="C19" t="s">
        <v>141</v>
      </c>
      <c r="D19" s="2" t="s">
        <v>18</v>
      </c>
      <c r="E19" s="8">
        <f>SUMIFS('Data nguồn'!H:H, 'Data nguồn'!D:D, $D19, 'Data nguồn'!F:F, $B$1, 'Data nguồn'!C:C, E$3)</f>
      </c>
      <c r="F19" s="8">
        <f>SUMIFS('Data nguồn'!H:H, 'Data nguồn'!D:D, $D19, 'Data nguồn'!F:F, $B$1, 'Data nguồn'!C:C, F$3)</f>
      </c>
      <c r="G19" s="8">
        <f>SUMIFS('Data nguồn'!H:H, 'Data nguồn'!D:D, $D19, 'Data nguồn'!F:F, $B$1, 'Data nguồn'!C:C, G$3)</f>
      </c>
      <c r="H19" s="8">
        <f>SUMIFS('Data nguồn'!H:H, 'Data nguồn'!D:D, $D19, 'Data nguồn'!F:F, $B$1, 'Data nguồn'!C:C, H$3)</f>
      </c>
      <c r="I19" s="8">
        <f>SUMIFS('Data nguồn'!H:H, 'Data nguồn'!D:D, $D19, 'Data nguồn'!F:F, $B$1, 'Data nguồn'!C:C, I$3)</f>
      </c>
      <c r="J19" s="8">
        <f>SUMIFS('Data nguồn'!H:H, 'Data nguồn'!D:D, $D19, 'Data nguồn'!F:F, $B$1, 'Data nguồn'!C:C, J$3)</f>
      </c>
      <c r="K19" s="8">
        <f>SUMIFS('Data nguồn'!H:H, 'Data nguồn'!D:D, $D19, 'Data nguồn'!F:F, $B$1, 'Data nguồn'!C:C, K$3)</f>
      </c>
      <c r="L19" s="8">
        <f>SUMIFS('Data nguồn'!H:H, 'Data nguồn'!D:D, $D19, 'Data nguồn'!F:F, $B$1, 'Data nguồn'!C:C, L$3)</f>
      </c>
      <c r="M19" s="8">
        <f>SUMIFS('Data nguồn'!H:H, 'Data nguồn'!D:D, $D19, 'Data nguồn'!F:F, $B$1, 'Data nguồn'!C:C, M$3)</f>
      </c>
      <c r="N19" s="8">
        <f>SUMIFS('Data nguồn'!H:H, 'Data nguồn'!D:D, $D19, 'Data nguồn'!F:F, $B$1, 'Data nguồn'!C:C, N$3)</f>
      </c>
      <c r="O19" s="8">
        <f>SUMIFS('Data nguồn'!H:H, 'Data nguồn'!D:D, $D19, 'Data nguồn'!F:F, $B$1, 'Data nguồn'!C:C, O$3)</f>
      </c>
      <c r="P19" s="8">
        <f>SUMIFS('Data nguồn'!H:H, 'Data nguồn'!D:D, $D19, 'Data nguồn'!F:F, $B$1, 'Data nguồn'!C:C, P$3)</f>
      </c>
      <c r="Q19" s="8">
        <f>SUMIFS('Data nguồn'!H:H, 'Data nguồn'!D:D, $D19, 'Data nguồn'!F:F, $B$1, 'Data nguồn'!C:C, Q$3)</f>
      </c>
      <c r="R19" s="8">
        <f>SUMIFS('Data nguồn'!H:H, 'Data nguồn'!D:D, $D19, 'Data nguồn'!F:F, $B$1, 'Data nguồn'!C:C, R$3)</f>
      </c>
      <c r="S19" s="8">
        <f>SUMIFS('Data nguồn'!H:H, 'Data nguồn'!D:D, $D19, 'Data nguồn'!F:F, $B$1, 'Data nguồn'!C:C, S$3)</f>
      </c>
      <c r="T19" s="8">
        <f>SUMIFS('Data nguồn'!H:H, 'Data nguồn'!D:D, $D19, 'Data nguồn'!F:F, $B$1, 'Data nguồn'!C:C, T$3)</f>
      </c>
      <c r="U19" s="8">
        <f>SUMIFS('Data nguồn'!H:H, 'Data nguồn'!D:D, $D19, 'Data nguồn'!F:F, $B$1, 'Data nguồn'!C:C, U$3)</f>
      </c>
      <c r="W19" s="8">
        <f>SUM(E19:P19)</f>
      </c>
      <c r="X19" s="8">
        <f>SUM(Q19:U19)</f>
      </c>
      <c r="Y19" s="8">
        <f>AVERAGE(S19:U19)</f>
      </c>
      <c r="Z19" s="8">
        <f>AVERAGE(P19:U19)</f>
      </c>
      <c r="AA19" s="8">
        <f>AVERAGE(M19:U19)</f>
      </c>
      <c r="AB19" s="4">
        <f>IFERROR((Y19*2)/(Z19+AA19), 0)</f>
      </c>
      <c r="AC19" s="4">
        <f>IFERROR(X19/SUM(E19:I19), 0)</f>
      </c>
      <c r="AD19" s="4">
        <f>IFERROR(X19/SUM(E19:I19), 0)</f>
      </c>
      <c r="AE19" s="4">
        <f>IFERROR(U19/I19, 0)</f>
      </c>
    </row>
    <row r="20" ht="20" customHeight="1" spans="1:31" x14ac:dyDescent="0.25">
      <c r="A20">
        <v>17</v>
      </c>
      <c r="B20" t="s">
        <v>19</v>
      </c>
      <c r="C20" t="s">
        <v>141</v>
      </c>
      <c r="D20" s="2" t="s">
        <v>19</v>
      </c>
      <c r="E20" s="8">
        <f>SUMIFS('Data nguồn'!H:H, 'Data nguồn'!D:D, $D20, 'Data nguồn'!F:F, $B$1, 'Data nguồn'!C:C, E$3)</f>
      </c>
      <c r="F20" s="8">
        <f>SUMIFS('Data nguồn'!H:H, 'Data nguồn'!D:D, $D20, 'Data nguồn'!F:F, $B$1, 'Data nguồn'!C:C, F$3)</f>
      </c>
      <c r="G20" s="8">
        <f>SUMIFS('Data nguồn'!H:H, 'Data nguồn'!D:D, $D20, 'Data nguồn'!F:F, $B$1, 'Data nguồn'!C:C, G$3)</f>
      </c>
      <c r="H20" s="8">
        <f>SUMIFS('Data nguồn'!H:H, 'Data nguồn'!D:D, $D20, 'Data nguồn'!F:F, $B$1, 'Data nguồn'!C:C, H$3)</f>
      </c>
      <c r="I20" s="8">
        <f>SUMIFS('Data nguồn'!H:H, 'Data nguồn'!D:D, $D20, 'Data nguồn'!F:F, $B$1, 'Data nguồn'!C:C, I$3)</f>
      </c>
      <c r="J20" s="8">
        <f>SUMIFS('Data nguồn'!H:H, 'Data nguồn'!D:D, $D20, 'Data nguồn'!F:F, $B$1, 'Data nguồn'!C:C, J$3)</f>
      </c>
      <c r="K20" s="8">
        <f>SUMIFS('Data nguồn'!H:H, 'Data nguồn'!D:D, $D20, 'Data nguồn'!F:F, $B$1, 'Data nguồn'!C:C, K$3)</f>
      </c>
      <c r="L20" s="8">
        <f>SUMIFS('Data nguồn'!H:H, 'Data nguồn'!D:D, $D20, 'Data nguồn'!F:F, $B$1, 'Data nguồn'!C:C, L$3)</f>
      </c>
      <c r="M20" s="8">
        <f>SUMIFS('Data nguồn'!H:H, 'Data nguồn'!D:D, $D20, 'Data nguồn'!F:F, $B$1, 'Data nguồn'!C:C, M$3)</f>
      </c>
      <c r="N20" s="8">
        <f>SUMIFS('Data nguồn'!H:H, 'Data nguồn'!D:D, $D20, 'Data nguồn'!F:F, $B$1, 'Data nguồn'!C:C, N$3)</f>
      </c>
      <c r="O20" s="8">
        <f>SUMIFS('Data nguồn'!H:H, 'Data nguồn'!D:D, $D20, 'Data nguồn'!F:F, $B$1, 'Data nguồn'!C:C, O$3)</f>
      </c>
      <c r="P20" s="8">
        <f>SUMIFS('Data nguồn'!H:H, 'Data nguồn'!D:D, $D20, 'Data nguồn'!F:F, $B$1, 'Data nguồn'!C:C, P$3)</f>
      </c>
      <c r="Q20" s="8">
        <f>SUMIFS('Data nguồn'!H:H, 'Data nguồn'!D:D, $D20, 'Data nguồn'!F:F, $B$1, 'Data nguồn'!C:C, Q$3)</f>
      </c>
      <c r="R20" s="8">
        <f>SUMIFS('Data nguồn'!H:H, 'Data nguồn'!D:D, $D20, 'Data nguồn'!F:F, $B$1, 'Data nguồn'!C:C, R$3)</f>
      </c>
      <c r="S20" s="8">
        <f>SUMIFS('Data nguồn'!H:H, 'Data nguồn'!D:D, $D20, 'Data nguồn'!F:F, $B$1, 'Data nguồn'!C:C, S$3)</f>
      </c>
      <c r="T20" s="8">
        <f>SUMIFS('Data nguồn'!H:H, 'Data nguồn'!D:D, $D20, 'Data nguồn'!F:F, $B$1, 'Data nguồn'!C:C, T$3)</f>
      </c>
      <c r="U20" s="8">
        <f>SUMIFS('Data nguồn'!H:H, 'Data nguồn'!D:D, $D20, 'Data nguồn'!F:F, $B$1, 'Data nguồn'!C:C, U$3)</f>
      </c>
      <c r="W20" s="8">
        <f>SUM(E20:P20)</f>
      </c>
      <c r="X20" s="8">
        <f>SUM(Q20:U20)</f>
      </c>
      <c r="Y20" s="8">
        <f>AVERAGE(S20:U20)</f>
      </c>
      <c r="Z20" s="8">
        <f>AVERAGE(P20:U20)</f>
      </c>
      <c r="AA20" s="8">
        <f>AVERAGE(M20:U20)</f>
      </c>
      <c r="AB20" s="4">
        <f>IFERROR((Y20*2)/(Z20+AA20), 0)</f>
      </c>
      <c r="AC20" s="4">
        <f>IFERROR(X20/SUM(E20:I20), 0)</f>
      </c>
      <c r="AD20" s="4">
        <f>IFERROR(X20/SUM(E20:I20), 0)</f>
      </c>
      <c r="AE20" s="4">
        <f>IFERROR(U20/I20, 0)</f>
      </c>
    </row>
    <row r="21" ht="20" customHeight="1" spans="1:31" x14ac:dyDescent="0.25">
      <c r="A21">
        <v>18</v>
      </c>
      <c r="B21" t="s">
        <v>20</v>
      </c>
      <c r="C21" t="s">
        <v>141</v>
      </c>
      <c r="D21" s="2" t="s">
        <v>20</v>
      </c>
      <c r="E21" s="8">
        <f>SUMIFS('Data nguồn'!H:H, 'Data nguồn'!D:D, $D21, 'Data nguồn'!F:F, $B$1, 'Data nguồn'!C:C, E$3)</f>
      </c>
      <c r="F21" s="8">
        <f>SUMIFS('Data nguồn'!H:H, 'Data nguồn'!D:D, $D21, 'Data nguồn'!F:F, $B$1, 'Data nguồn'!C:C, F$3)</f>
      </c>
      <c r="G21" s="8">
        <f>SUMIFS('Data nguồn'!H:H, 'Data nguồn'!D:D, $D21, 'Data nguồn'!F:F, $B$1, 'Data nguồn'!C:C, G$3)</f>
      </c>
      <c r="H21" s="8">
        <f>SUMIFS('Data nguồn'!H:H, 'Data nguồn'!D:D, $D21, 'Data nguồn'!F:F, $B$1, 'Data nguồn'!C:C, H$3)</f>
      </c>
      <c r="I21" s="8">
        <f>SUMIFS('Data nguồn'!H:H, 'Data nguồn'!D:D, $D21, 'Data nguồn'!F:F, $B$1, 'Data nguồn'!C:C, I$3)</f>
      </c>
      <c r="J21" s="8">
        <f>SUMIFS('Data nguồn'!H:H, 'Data nguồn'!D:D, $D21, 'Data nguồn'!F:F, $B$1, 'Data nguồn'!C:C, J$3)</f>
      </c>
      <c r="K21" s="8">
        <f>SUMIFS('Data nguồn'!H:H, 'Data nguồn'!D:D, $D21, 'Data nguồn'!F:F, $B$1, 'Data nguồn'!C:C, K$3)</f>
      </c>
      <c r="L21" s="8">
        <f>SUMIFS('Data nguồn'!H:H, 'Data nguồn'!D:D, $D21, 'Data nguồn'!F:F, $B$1, 'Data nguồn'!C:C, L$3)</f>
      </c>
      <c r="M21" s="8">
        <f>SUMIFS('Data nguồn'!H:H, 'Data nguồn'!D:D, $D21, 'Data nguồn'!F:F, $B$1, 'Data nguồn'!C:C, M$3)</f>
      </c>
      <c r="N21" s="8">
        <f>SUMIFS('Data nguồn'!H:H, 'Data nguồn'!D:D, $D21, 'Data nguồn'!F:F, $B$1, 'Data nguồn'!C:C, N$3)</f>
      </c>
      <c r="O21" s="8">
        <f>SUMIFS('Data nguồn'!H:H, 'Data nguồn'!D:D, $D21, 'Data nguồn'!F:F, $B$1, 'Data nguồn'!C:C, O$3)</f>
      </c>
      <c r="P21" s="8">
        <f>SUMIFS('Data nguồn'!H:H, 'Data nguồn'!D:D, $D21, 'Data nguồn'!F:F, $B$1, 'Data nguồn'!C:C, P$3)</f>
      </c>
      <c r="Q21" s="8">
        <f>SUMIFS('Data nguồn'!H:H, 'Data nguồn'!D:D, $D21, 'Data nguồn'!F:F, $B$1, 'Data nguồn'!C:C, Q$3)</f>
      </c>
      <c r="R21" s="8">
        <f>SUMIFS('Data nguồn'!H:H, 'Data nguồn'!D:D, $D21, 'Data nguồn'!F:F, $B$1, 'Data nguồn'!C:C, R$3)</f>
      </c>
      <c r="S21" s="8">
        <f>SUMIFS('Data nguồn'!H:H, 'Data nguồn'!D:D, $D21, 'Data nguồn'!F:F, $B$1, 'Data nguồn'!C:C, S$3)</f>
      </c>
      <c r="T21" s="8">
        <f>SUMIFS('Data nguồn'!H:H, 'Data nguồn'!D:D, $D21, 'Data nguồn'!F:F, $B$1, 'Data nguồn'!C:C, T$3)</f>
      </c>
      <c r="U21" s="8">
        <f>SUMIFS('Data nguồn'!H:H, 'Data nguồn'!D:D, $D21, 'Data nguồn'!F:F, $B$1, 'Data nguồn'!C:C, U$3)</f>
      </c>
      <c r="W21" s="8">
        <f>SUM(E21:P21)</f>
      </c>
      <c r="X21" s="8">
        <f>SUM(Q21:U21)</f>
      </c>
      <c r="Y21" s="8">
        <f>AVERAGE(S21:U21)</f>
      </c>
      <c r="Z21" s="8">
        <f>AVERAGE(P21:U21)</f>
      </c>
      <c r="AA21" s="8">
        <f>AVERAGE(M21:U21)</f>
      </c>
      <c r="AB21" s="4">
        <f>IFERROR((Y21*2)/(Z21+AA21), 0)</f>
      </c>
      <c r="AC21" s="4">
        <f>IFERROR(X21/SUM(E21:I21), 0)</f>
      </c>
      <c r="AD21" s="4">
        <f>IFERROR(X21/SUM(E21:I21), 0)</f>
      </c>
      <c r="AE21" s="4">
        <f>IFERROR(U21/I21, 0)</f>
      </c>
    </row>
    <row r="22" ht="20" customHeight="1" spans="1:31" x14ac:dyDescent="0.25">
      <c r="A22">
        <v>19</v>
      </c>
      <c r="B22" t="s">
        <v>21</v>
      </c>
      <c r="C22" t="s">
        <v>141</v>
      </c>
      <c r="D22" s="2" t="s">
        <v>21</v>
      </c>
      <c r="E22" s="8">
        <f>SUMIFS('Data nguồn'!H:H, 'Data nguồn'!D:D, $D22, 'Data nguồn'!F:F, $B$1, 'Data nguồn'!C:C, E$3)</f>
      </c>
      <c r="F22" s="8">
        <f>SUMIFS('Data nguồn'!H:H, 'Data nguồn'!D:D, $D22, 'Data nguồn'!F:F, $B$1, 'Data nguồn'!C:C, F$3)</f>
      </c>
      <c r="G22" s="8">
        <f>SUMIFS('Data nguồn'!H:H, 'Data nguồn'!D:D, $D22, 'Data nguồn'!F:F, $B$1, 'Data nguồn'!C:C, G$3)</f>
      </c>
      <c r="H22" s="8">
        <f>SUMIFS('Data nguồn'!H:H, 'Data nguồn'!D:D, $D22, 'Data nguồn'!F:F, $B$1, 'Data nguồn'!C:C, H$3)</f>
      </c>
      <c r="I22" s="8">
        <f>SUMIFS('Data nguồn'!H:H, 'Data nguồn'!D:D, $D22, 'Data nguồn'!F:F, $B$1, 'Data nguồn'!C:C, I$3)</f>
      </c>
      <c r="J22" s="8">
        <f>SUMIFS('Data nguồn'!H:H, 'Data nguồn'!D:D, $D22, 'Data nguồn'!F:F, $B$1, 'Data nguồn'!C:C, J$3)</f>
      </c>
      <c r="K22" s="8">
        <f>SUMIFS('Data nguồn'!H:H, 'Data nguồn'!D:D, $D22, 'Data nguồn'!F:F, $B$1, 'Data nguồn'!C:C, K$3)</f>
      </c>
      <c r="L22" s="8">
        <f>SUMIFS('Data nguồn'!H:H, 'Data nguồn'!D:D, $D22, 'Data nguồn'!F:F, $B$1, 'Data nguồn'!C:C, L$3)</f>
      </c>
      <c r="M22" s="8">
        <f>SUMIFS('Data nguồn'!H:H, 'Data nguồn'!D:D, $D22, 'Data nguồn'!F:F, $B$1, 'Data nguồn'!C:C, M$3)</f>
      </c>
      <c r="N22" s="8">
        <f>SUMIFS('Data nguồn'!H:H, 'Data nguồn'!D:D, $D22, 'Data nguồn'!F:F, $B$1, 'Data nguồn'!C:C, N$3)</f>
      </c>
      <c r="O22" s="8">
        <f>SUMIFS('Data nguồn'!H:H, 'Data nguồn'!D:D, $D22, 'Data nguồn'!F:F, $B$1, 'Data nguồn'!C:C, O$3)</f>
      </c>
      <c r="P22" s="8">
        <f>SUMIFS('Data nguồn'!H:H, 'Data nguồn'!D:D, $D22, 'Data nguồn'!F:F, $B$1, 'Data nguồn'!C:C, P$3)</f>
      </c>
      <c r="Q22" s="8">
        <f>SUMIFS('Data nguồn'!H:H, 'Data nguồn'!D:D, $D22, 'Data nguồn'!F:F, $B$1, 'Data nguồn'!C:C, Q$3)</f>
      </c>
      <c r="R22" s="8">
        <f>SUMIFS('Data nguồn'!H:H, 'Data nguồn'!D:D, $D22, 'Data nguồn'!F:F, $B$1, 'Data nguồn'!C:C, R$3)</f>
      </c>
      <c r="S22" s="8">
        <f>SUMIFS('Data nguồn'!H:H, 'Data nguồn'!D:D, $D22, 'Data nguồn'!F:F, $B$1, 'Data nguồn'!C:C, S$3)</f>
      </c>
      <c r="T22" s="8">
        <f>SUMIFS('Data nguồn'!H:H, 'Data nguồn'!D:D, $D22, 'Data nguồn'!F:F, $B$1, 'Data nguồn'!C:C, T$3)</f>
      </c>
      <c r="U22" s="8">
        <f>SUMIFS('Data nguồn'!H:H, 'Data nguồn'!D:D, $D22, 'Data nguồn'!F:F, $B$1, 'Data nguồn'!C:C, U$3)</f>
      </c>
      <c r="W22" s="8">
        <f>SUM(E22:P22)</f>
      </c>
      <c r="X22" s="8">
        <f>SUM(Q22:U22)</f>
      </c>
      <c r="Y22" s="8">
        <f>AVERAGE(S22:U22)</f>
      </c>
      <c r="Z22" s="8">
        <f>AVERAGE(P22:U22)</f>
      </c>
      <c r="AA22" s="8">
        <f>AVERAGE(M22:U22)</f>
      </c>
      <c r="AB22" s="4">
        <f>IFERROR((Y22*2)/(Z22+AA22), 0)</f>
      </c>
      <c r="AC22" s="4">
        <f>IFERROR(X22/SUM(E22:I22), 0)</f>
      </c>
      <c r="AD22" s="4">
        <f>IFERROR(X22/SUM(E22:I22), 0)</f>
      </c>
      <c r="AE22" s="4">
        <f>IFERROR(U22/I22, 0)</f>
      </c>
    </row>
    <row r="23" ht="20" customHeight="1" spans="1:31" x14ac:dyDescent="0.25">
      <c r="A23">
        <v>20</v>
      </c>
      <c r="B23" t="s">
        <v>22</v>
      </c>
      <c r="C23" t="s">
        <v>141</v>
      </c>
      <c r="D23" s="2" t="s">
        <v>22</v>
      </c>
      <c r="E23" s="8">
        <f>SUMIFS('Data nguồn'!H:H, 'Data nguồn'!D:D, $D23, 'Data nguồn'!F:F, $B$1, 'Data nguồn'!C:C, E$3)</f>
      </c>
      <c r="F23" s="8">
        <f>SUMIFS('Data nguồn'!H:H, 'Data nguồn'!D:D, $D23, 'Data nguồn'!F:F, $B$1, 'Data nguồn'!C:C, F$3)</f>
      </c>
      <c r="G23" s="8">
        <f>SUMIFS('Data nguồn'!H:H, 'Data nguồn'!D:D, $D23, 'Data nguồn'!F:F, $B$1, 'Data nguồn'!C:C, G$3)</f>
      </c>
      <c r="H23" s="8">
        <f>SUMIFS('Data nguồn'!H:H, 'Data nguồn'!D:D, $D23, 'Data nguồn'!F:F, $B$1, 'Data nguồn'!C:C, H$3)</f>
      </c>
      <c r="I23" s="8">
        <f>SUMIFS('Data nguồn'!H:H, 'Data nguồn'!D:D, $D23, 'Data nguồn'!F:F, $B$1, 'Data nguồn'!C:C, I$3)</f>
      </c>
      <c r="J23" s="8">
        <f>SUMIFS('Data nguồn'!H:H, 'Data nguồn'!D:D, $D23, 'Data nguồn'!F:F, $B$1, 'Data nguồn'!C:C, J$3)</f>
      </c>
      <c r="K23" s="8">
        <f>SUMIFS('Data nguồn'!H:H, 'Data nguồn'!D:D, $D23, 'Data nguồn'!F:F, $B$1, 'Data nguồn'!C:C, K$3)</f>
      </c>
      <c r="L23" s="8">
        <f>SUMIFS('Data nguồn'!H:H, 'Data nguồn'!D:D, $D23, 'Data nguồn'!F:F, $B$1, 'Data nguồn'!C:C, L$3)</f>
      </c>
      <c r="M23" s="8">
        <f>SUMIFS('Data nguồn'!H:H, 'Data nguồn'!D:D, $D23, 'Data nguồn'!F:F, $B$1, 'Data nguồn'!C:C, M$3)</f>
      </c>
      <c r="N23" s="8">
        <f>SUMIFS('Data nguồn'!H:H, 'Data nguồn'!D:D, $D23, 'Data nguồn'!F:F, $B$1, 'Data nguồn'!C:C, N$3)</f>
      </c>
      <c r="O23" s="8">
        <f>SUMIFS('Data nguồn'!H:H, 'Data nguồn'!D:D, $D23, 'Data nguồn'!F:F, $B$1, 'Data nguồn'!C:C, O$3)</f>
      </c>
      <c r="P23" s="8">
        <f>SUMIFS('Data nguồn'!H:H, 'Data nguồn'!D:D, $D23, 'Data nguồn'!F:F, $B$1, 'Data nguồn'!C:C, P$3)</f>
      </c>
      <c r="Q23" s="8">
        <f>SUMIFS('Data nguồn'!H:H, 'Data nguồn'!D:D, $D23, 'Data nguồn'!F:F, $B$1, 'Data nguồn'!C:C, Q$3)</f>
      </c>
      <c r="R23" s="8">
        <f>SUMIFS('Data nguồn'!H:H, 'Data nguồn'!D:D, $D23, 'Data nguồn'!F:F, $B$1, 'Data nguồn'!C:C, R$3)</f>
      </c>
      <c r="S23" s="8">
        <f>SUMIFS('Data nguồn'!H:H, 'Data nguồn'!D:D, $D23, 'Data nguồn'!F:F, $B$1, 'Data nguồn'!C:C, S$3)</f>
      </c>
      <c r="T23" s="8">
        <f>SUMIFS('Data nguồn'!H:H, 'Data nguồn'!D:D, $D23, 'Data nguồn'!F:F, $B$1, 'Data nguồn'!C:C, T$3)</f>
      </c>
      <c r="U23" s="8">
        <f>SUMIFS('Data nguồn'!H:H, 'Data nguồn'!D:D, $D23, 'Data nguồn'!F:F, $B$1, 'Data nguồn'!C:C, U$3)</f>
      </c>
      <c r="W23" s="8">
        <f>SUM(E23:P23)</f>
      </c>
      <c r="X23" s="8">
        <f>SUM(Q23:U23)</f>
      </c>
      <c r="Y23" s="8">
        <f>AVERAGE(S23:U23)</f>
      </c>
      <c r="Z23" s="8">
        <f>AVERAGE(P23:U23)</f>
      </c>
      <c r="AA23" s="8">
        <f>AVERAGE(M23:U23)</f>
      </c>
      <c r="AB23" s="4">
        <f>IFERROR((Y23*2)/(Z23+AA23), 0)</f>
      </c>
      <c r="AC23" s="4">
        <f>IFERROR(X23/SUM(E23:I23), 0)</f>
      </c>
      <c r="AD23" s="4">
        <f>IFERROR(X23/SUM(E23:I23), 0)</f>
      </c>
      <c r="AE23" s="4">
        <f>IFERROR(U23/I23, 0)</f>
      </c>
    </row>
    <row r="24" ht="20" customHeight="1" spans="1:31" x14ac:dyDescent="0.25">
      <c r="A24">
        <v>21</v>
      </c>
      <c r="B24" t="s">
        <v>23</v>
      </c>
      <c r="C24" t="s">
        <v>141</v>
      </c>
      <c r="D24" s="2" t="s">
        <v>23</v>
      </c>
      <c r="E24" s="8">
        <f>SUMIFS('Data nguồn'!H:H, 'Data nguồn'!D:D, $D24, 'Data nguồn'!F:F, $B$1, 'Data nguồn'!C:C, E$3)</f>
      </c>
      <c r="F24" s="8">
        <f>SUMIFS('Data nguồn'!H:H, 'Data nguồn'!D:D, $D24, 'Data nguồn'!F:F, $B$1, 'Data nguồn'!C:C, F$3)</f>
      </c>
      <c r="G24" s="8">
        <f>SUMIFS('Data nguồn'!H:H, 'Data nguồn'!D:D, $D24, 'Data nguồn'!F:F, $B$1, 'Data nguồn'!C:C, G$3)</f>
      </c>
      <c r="H24" s="8">
        <f>SUMIFS('Data nguồn'!H:H, 'Data nguồn'!D:D, $D24, 'Data nguồn'!F:F, $B$1, 'Data nguồn'!C:C, H$3)</f>
      </c>
      <c r="I24" s="8">
        <f>SUMIFS('Data nguồn'!H:H, 'Data nguồn'!D:D, $D24, 'Data nguồn'!F:F, $B$1, 'Data nguồn'!C:C, I$3)</f>
      </c>
      <c r="J24" s="8">
        <f>SUMIFS('Data nguồn'!H:H, 'Data nguồn'!D:D, $D24, 'Data nguồn'!F:F, $B$1, 'Data nguồn'!C:C, J$3)</f>
      </c>
      <c r="K24" s="8">
        <f>SUMIFS('Data nguồn'!H:H, 'Data nguồn'!D:D, $D24, 'Data nguồn'!F:F, $B$1, 'Data nguồn'!C:C, K$3)</f>
      </c>
      <c r="L24" s="8">
        <f>SUMIFS('Data nguồn'!H:H, 'Data nguồn'!D:D, $D24, 'Data nguồn'!F:F, $B$1, 'Data nguồn'!C:C, L$3)</f>
      </c>
      <c r="M24" s="8">
        <f>SUMIFS('Data nguồn'!H:H, 'Data nguồn'!D:D, $D24, 'Data nguồn'!F:F, $B$1, 'Data nguồn'!C:C, M$3)</f>
      </c>
      <c r="N24" s="8">
        <f>SUMIFS('Data nguồn'!H:H, 'Data nguồn'!D:D, $D24, 'Data nguồn'!F:F, $B$1, 'Data nguồn'!C:C, N$3)</f>
      </c>
      <c r="O24" s="8">
        <f>SUMIFS('Data nguồn'!H:H, 'Data nguồn'!D:D, $D24, 'Data nguồn'!F:F, $B$1, 'Data nguồn'!C:C, O$3)</f>
      </c>
      <c r="P24" s="8">
        <f>SUMIFS('Data nguồn'!H:H, 'Data nguồn'!D:D, $D24, 'Data nguồn'!F:F, $B$1, 'Data nguồn'!C:C, P$3)</f>
      </c>
      <c r="Q24" s="8">
        <f>SUMIFS('Data nguồn'!H:H, 'Data nguồn'!D:D, $D24, 'Data nguồn'!F:F, $B$1, 'Data nguồn'!C:C, Q$3)</f>
      </c>
      <c r="R24" s="8">
        <f>SUMIFS('Data nguồn'!H:H, 'Data nguồn'!D:D, $D24, 'Data nguồn'!F:F, $B$1, 'Data nguồn'!C:C, R$3)</f>
      </c>
      <c r="S24" s="8">
        <f>SUMIFS('Data nguồn'!H:H, 'Data nguồn'!D:D, $D24, 'Data nguồn'!F:F, $B$1, 'Data nguồn'!C:C, S$3)</f>
      </c>
      <c r="T24" s="8">
        <f>SUMIFS('Data nguồn'!H:H, 'Data nguồn'!D:D, $D24, 'Data nguồn'!F:F, $B$1, 'Data nguồn'!C:C, T$3)</f>
      </c>
      <c r="U24" s="8">
        <f>SUMIFS('Data nguồn'!H:H, 'Data nguồn'!D:D, $D24, 'Data nguồn'!F:F, $B$1, 'Data nguồn'!C:C, U$3)</f>
      </c>
      <c r="W24" s="8">
        <f>SUM(E24:P24)</f>
      </c>
      <c r="X24" s="8">
        <f>SUM(Q24:U24)</f>
      </c>
      <c r="Y24" s="8">
        <f>AVERAGE(S24:U24)</f>
      </c>
      <c r="Z24" s="8">
        <f>AVERAGE(P24:U24)</f>
      </c>
      <c r="AA24" s="8">
        <f>AVERAGE(M24:U24)</f>
      </c>
      <c r="AB24" s="4">
        <f>IFERROR((Y24*2)/(Z24+AA24), 0)</f>
      </c>
      <c r="AC24" s="4">
        <f>IFERROR(X24/SUM(E24:I24), 0)</f>
      </c>
      <c r="AD24" s="4">
        <f>IFERROR(X24/SUM(E24:I24), 0)</f>
      </c>
      <c r="AE24" s="4">
        <f>IFERROR(U24/I24, 0)</f>
      </c>
    </row>
    <row r="25" ht="20" customHeight="1" spans="1:31" x14ac:dyDescent="0.25">
      <c r="A25">
        <v>22</v>
      </c>
      <c r="B25" t="s">
        <v>24</v>
      </c>
      <c r="C25" t="s">
        <v>141</v>
      </c>
      <c r="D25" s="2" t="s">
        <v>24</v>
      </c>
      <c r="E25" s="8">
        <f>SUMIFS('Data nguồn'!H:H, 'Data nguồn'!D:D, $D25, 'Data nguồn'!F:F, $B$1, 'Data nguồn'!C:C, E$3)</f>
      </c>
      <c r="F25" s="8">
        <f>SUMIFS('Data nguồn'!H:H, 'Data nguồn'!D:D, $D25, 'Data nguồn'!F:F, $B$1, 'Data nguồn'!C:C, F$3)</f>
      </c>
      <c r="G25" s="8">
        <f>SUMIFS('Data nguồn'!H:H, 'Data nguồn'!D:D, $D25, 'Data nguồn'!F:F, $B$1, 'Data nguồn'!C:C, G$3)</f>
      </c>
      <c r="H25" s="8">
        <f>SUMIFS('Data nguồn'!H:H, 'Data nguồn'!D:D, $D25, 'Data nguồn'!F:F, $B$1, 'Data nguồn'!C:C, H$3)</f>
      </c>
      <c r="I25" s="8">
        <f>SUMIFS('Data nguồn'!H:H, 'Data nguồn'!D:D, $D25, 'Data nguồn'!F:F, $B$1, 'Data nguồn'!C:C, I$3)</f>
      </c>
      <c r="J25" s="8">
        <f>SUMIFS('Data nguồn'!H:H, 'Data nguồn'!D:D, $D25, 'Data nguồn'!F:F, $B$1, 'Data nguồn'!C:C, J$3)</f>
      </c>
      <c r="K25" s="8">
        <f>SUMIFS('Data nguồn'!H:H, 'Data nguồn'!D:D, $D25, 'Data nguồn'!F:F, $B$1, 'Data nguồn'!C:C, K$3)</f>
      </c>
      <c r="L25" s="8">
        <f>SUMIFS('Data nguồn'!H:H, 'Data nguồn'!D:D, $D25, 'Data nguồn'!F:F, $B$1, 'Data nguồn'!C:C, L$3)</f>
      </c>
      <c r="M25" s="8">
        <f>SUMIFS('Data nguồn'!H:H, 'Data nguồn'!D:D, $D25, 'Data nguồn'!F:F, $B$1, 'Data nguồn'!C:C, M$3)</f>
      </c>
      <c r="N25" s="8">
        <f>SUMIFS('Data nguồn'!H:H, 'Data nguồn'!D:D, $D25, 'Data nguồn'!F:F, $B$1, 'Data nguồn'!C:C, N$3)</f>
      </c>
      <c r="O25" s="8">
        <f>SUMIFS('Data nguồn'!H:H, 'Data nguồn'!D:D, $D25, 'Data nguồn'!F:F, $B$1, 'Data nguồn'!C:C, O$3)</f>
      </c>
      <c r="P25" s="8">
        <f>SUMIFS('Data nguồn'!H:H, 'Data nguồn'!D:D, $D25, 'Data nguồn'!F:F, $B$1, 'Data nguồn'!C:C, P$3)</f>
      </c>
      <c r="Q25" s="8">
        <f>SUMIFS('Data nguồn'!H:H, 'Data nguồn'!D:D, $D25, 'Data nguồn'!F:F, $B$1, 'Data nguồn'!C:C, Q$3)</f>
      </c>
      <c r="R25" s="8">
        <f>SUMIFS('Data nguồn'!H:H, 'Data nguồn'!D:D, $D25, 'Data nguồn'!F:F, $B$1, 'Data nguồn'!C:C, R$3)</f>
      </c>
      <c r="S25" s="8">
        <f>SUMIFS('Data nguồn'!H:H, 'Data nguồn'!D:D, $D25, 'Data nguồn'!F:F, $B$1, 'Data nguồn'!C:C, S$3)</f>
      </c>
      <c r="T25" s="8">
        <f>SUMIFS('Data nguồn'!H:H, 'Data nguồn'!D:D, $D25, 'Data nguồn'!F:F, $B$1, 'Data nguồn'!C:C, T$3)</f>
      </c>
      <c r="U25" s="8">
        <f>SUMIFS('Data nguồn'!H:H, 'Data nguồn'!D:D, $D25, 'Data nguồn'!F:F, $B$1, 'Data nguồn'!C:C, U$3)</f>
      </c>
      <c r="W25" s="8">
        <f>SUM(E25:P25)</f>
      </c>
      <c r="X25" s="8">
        <f>SUM(Q25:U25)</f>
      </c>
      <c r="Y25" s="8">
        <f>AVERAGE(S25:U25)</f>
      </c>
      <c r="Z25" s="8">
        <f>AVERAGE(P25:U25)</f>
      </c>
      <c r="AA25" s="8">
        <f>AVERAGE(M25:U25)</f>
      </c>
      <c r="AB25" s="4">
        <f>IFERROR((Y25*2)/(Z25+AA25), 0)</f>
      </c>
      <c r="AC25" s="4">
        <f>IFERROR(X25/SUM(E25:I25), 0)</f>
      </c>
      <c r="AD25" s="4">
        <f>IFERROR(X25/SUM(E25:I25), 0)</f>
      </c>
      <c r="AE25" s="4">
        <f>IFERROR(U25/I25, 0)</f>
      </c>
    </row>
    <row r="26" ht="20" customHeight="1" spans="1:31" x14ac:dyDescent="0.25">
      <c r="A26">
        <v>23</v>
      </c>
      <c r="B26" t="s">
        <v>25</v>
      </c>
      <c r="C26" t="s">
        <v>141</v>
      </c>
      <c r="D26" s="2" t="s">
        <v>25</v>
      </c>
      <c r="E26" s="8">
        <f>SUMIFS('Data nguồn'!H:H, 'Data nguồn'!D:D, $D26, 'Data nguồn'!F:F, $B$1, 'Data nguồn'!C:C, E$3)</f>
      </c>
      <c r="F26" s="8">
        <f>SUMIFS('Data nguồn'!H:H, 'Data nguồn'!D:D, $D26, 'Data nguồn'!F:F, $B$1, 'Data nguồn'!C:C, F$3)</f>
      </c>
      <c r="G26" s="8">
        <f>SUMIFS('Data nguồn'!H:H, 'Data nguồn'!D:D, $D26, 'Data nguồn'!F:F, $B$1, 'Data nguồn'!C:C, G$3)</f>
      </c>
      <c r="H26" s="8">
        <f>SUMIFS('Data nguồn'!H:H, 'Data nguồn'!D:D, $D26, 'Data nguồn'!F:F, $B$1, 'Data nguồn'!C:C, H$3)</f>
      </c>
      <c r="I26" s="8">
        <f>SUMIFS('Data nguồn'!H:H, 'Data nguồn'!D:D, $D26, 'Data nguồn'!F:F, $B$1, 'Data nguồn'!C:C, I$3)</f>
      </c>
      <c r="J26" s="8">
        <f>SUMIFS('Data nguồn'!H:H, 'Data nguồn'!D:D, $D26, 'Data nguồn'!F:F, $B$1, 'Data nguồn'!C:C, J$3)</f>
      </c>
      <c r="K26" s="8">
        <f>SUMIFS('Data nguồn'!H:H, 'Data nguồn'!D:D, $D26, 'Data nguồn'!F:F, $B$1, 'Data nguồn'!C:C, K$3)</f>
      </c>
      <c r="L26" s="8">
        <f>SUMIFS('Data nguồn'!H:H, 'Data nguồn'!D:D, $D26, 'Data nguồn'!F:F, $B$1, 'Data nguồn'!C:C, L$3)</f>
      </c>
      <c r="M26" s="8">
        <f>SUMIFS('Data nguồn'!H:H, 'Data nguồn'!D:D, $D26, 'Data nguồn'!F:F, $B$1, 'Data nguồn'!C:C, M$3)</f>
      </c>
      <c r="N26" s="8">
        <f>SUMIFS('Data nguồn'!H:H, 'Data nguồn'!D:D, $D26, 'Data nguồn'!F:F, $B$1, 'Data nguồn'!C:C, N$3)</f>
      </c>
      <c r="O26" s="8">
        <f>SUMIFS('Data nguồn'!H:H, 'Data nguồn'!D:D, $D26, 'Data nguồn'!F:F, $B$1, 'Data nguồn'!C:C, O$3)</f>
      </c>
      <c r="P26" s="8">
        <f>SUMIFS('Data nguồn'!H:H, 'Data nguồn'!D:D, $D26, 'Data nguồn'!F:F, $B$1, 'Data nguồn'!C:C, P$3)</f>
      </c>
      <c r="Q26" s="8">
        <f>SUMIFS('Data nguồn'!H:H, 'Data nguồn'!D:D, $D26, 'Data nguồn'!F:F, $B$1, 'Data nguồn'!C:C, Q$3)</f>
      </c>
      <c r="R26" s="8">
        <f>SUMIFS('Data nguồn'!H:H, 'Data nguồn'!D:D, $D26, 'Data nguồn'!F:F, $B$1, 'Data nguồn'!C:C, R$3)</f>
      </c>
      <c r="S26" s="8">
        <f>SUMIFS('Data nguồn'!H:H, 'Data nguồn'!D:D, $D26, 'Data nguồn'!F:F, $B$1, 'Data nguồn'!C:C, S$3)</f>
      </c>
      <c r="T26" s="8">
        <f>SUMIFS('Data nguồn'!H:H, 'Data nguồn'!D:D, $D26, 'Data nguồn'!F:F, $B$1, 'Data nguồn'!C:C, T$3)</f>
      </c>
      <c r="U26" s="8">
        <f>SUMIFS('Data nguồn'!H:H, 'Data nguồn'!D:D, $D26, 'Data nguồn'!F:F, $B$1, 'Data nguồn'!C:C, U$3)</f>
      </c>
      <c r="W26" s="8">
        <f>SUM(E26:P26)</f>
      </c>
      <c r="X26" s="8">
        <f>SUM(Q26:U26)</f>
      </c>
      <c r="Y26" s="8">
        <f>AVERAGE(S26:U26)</f>
      </c>
      <c r="Z26" s="8">
        <f>AVERAGE(P26:U26)</f>
      </c>
      <c r="AA26" s="8">
        <f>AVERAGE(M26:U26)</f>
      </c>
      <c r="AB26" s="4">
        <f>IFERROR((Y26*2)/(Z26+AA26), 0)</f>
      </c>
      <c r="AC26" s="4">
        <f>IFERROR(X26/SUM(E26:I26), 0)</f>
      </c>
      <c r="AD26" s="4">
        <f>IFERROR(X26/SUM(E26:I26), 0)</f>
      </c>
      <c r="AE26" s="4">
        <f>IFERROR(U26/I26, 0)</f>
      </c>
    </row>
    <row r="27" ht="20" customHeight="1" spans="1:31" x14ac:dyDescent="0.25">
      <c r="A27">
        <v>24</v>
      </c>
      <c r="B27" t="s">
        <v>26</v>
      </c>
      <c r="C27" t="s">
        <v>141</v>
      </c>
      <c r="D27" s="2" t="s">
        <v>26</v>
      </c>
      <c r="E27" s="8">
        <f>SUMIFS('Data nguồn'!H:H, 'Data nguồn'!D:D, $D27, 'Data nguồn'!F:F, $B$1, 'Data nguồn'!C:C, E$3)</f>
      </c>
      <c r="F27" s="8">
        <f>SUMIFS('Data nguồn'!H:H, 'Data nguồn'!D:D, $D27, 'Data nguồn'!F:F, $B$1, 'Data nguồn'!C:C, F$3)</f>
      </c>
      <c r="G27" s="8">
        <f>SUMIFS('Data nguồn'!H:H, 'Data nguồn'!D:D, $D27, 'Data nguồn'!F:F, $B$1, 'Data nguồn'!C:C, G$3)</f>
      </c>
      <c r="H27" s="8">
        <f>SUMIFS('Data nguồn'!H:H, 'Data nguồn'!D:D, $D27, 'Data nguồn'!F:F, $B$1, 'Data nguồn'!C:C, H$3)</f>
      </c>
      <c r="I27" s="8">
        <f>SUMIFS('Data nguồn'!H:H, 'Data nguồn'!D:D, $D27, 'Data nguồn'!F:F, $B$1, 'Data nguồn'!C:C, I$3)</f>
      </c>
      <c r="J27" s="8">
        <f>SUMIFS('Data nguồn'!H:H, 'Data nguồn'!D:D, $D27, 'Data nguồn'!F:F, $B$1, 'Data nguồn'!C:C, J$3)</f>
      </c>
      <c r="K27" s="8">
        <f>SUMIFS('Data nguồn'!H:H, 'Data nguồn'!D:D, $D27, 'Data nguồn'!F:F, $B$1, 'Data nguồn'!C:C, K$3)</f>
      </c>
      <c r="L27" s="8">
        <f>SUMIFS('Data nguồn'!H:H, 'Data nguồn'!D:D, $D27, 'Data nguồn'!F:F, $B$1, 'Data nguồn'!C:C, L$3)</f>
      </c>
      <c r="M27" s="8">
        <f>SUMIFS('Data nguồn'!H:H, 'Data nguồn'!D:D, $D27, 'Data nguồn'!F:F, $B$1, 'Data nguồn'!C:C, M$3)</f>
      </c>
      <c r="N27" s="8">
        <f>SUMIFS('Data nguồn'!H:H, 'Data nguồn'!D:D, $D27, 'Data nguồn'!F:F, $B$1, 'Data nguồn'!C:C, N$3)</f>
      </c>
      <c r="O27" s="8">
        <f>SUMIFS('Data nguồn'!H:H, 'Data nguồn'!D:D, $D27, 'Data nguồn'!F:F, $B$1, 'Data nguồn'!C:C, O$3)</f>
      </c>
      <c r="P27" s="8">
        <f>SUMIFS('Data nguồn'!H:H, 'Data nguồn'!D:D, $D27, 'Data nguồn'!F:F, $B$1, 'Data nguồn'!C:C, P$3)</f>
      </c>
      <c r="Q27" s="8">
        <f>SUMIFS('Data nguồn'!H:H, 'Data nguồn'!D:D, $D27, 'Data nguồn'!F:F, $B$1, 'Data nguồn'!C:C, Q$3)</f>
      </c>
      <c r="R27" s="8">
        <f>SUMIFS('Data nguồn'!H:H, 'Data nguồn'!D:D, $D27, 'Data nguồn'!F:F, $B$1, 'Data nguồn'!C:C, R$3)</f>
      </c>
      <c r="S27" s="8">
        <f>SUMIFS('Data nguồn'!H:H, 'Data nguồn'!D:D, $D27, 'Data nguồn'!F:F, $B$1, 'Data nguồn'!C:C, S$3)</f>
      </c>
      <c r="T27" s="8">
        <f>SUMIFS('Data nguồn'!H:H, 'Data nguồn'!D:D, $D27, 'Data nguồn'!F:F, $B$1, 'Data nguồn'!C:C, T$3)</f>
      </c>
      <c r="U27" s="8">
        <f>SUMIFS('Data nguồn'!H:H, 'Data nguồn'!D:D, $D27, 'Data nguồn'!F:F, $B$1, 'Data nguồn'!C:C, U$3)</f>
      </c>
      <c r="W27" s="8">
        <f>SUM(E27:P27)</f>
      </c>
      <c r="X27" s="8">
        <f>SUM(Q27:U27)</f>
      </c>
      <c r="Y27" s="8">
        <f>AVERAGE(S27:U27)</f>
      </c>
      <c r="Z27" s="8">
        <f>AVERAGE(P27:U27)</f>
      </c>
      <c r="AA27" s="8">
        <f>AVERAGE(M27:U27)</f>
      </c>
      <c r="AB27" s="4">
        <f>IFERROR((Y27*2)/(Z27+AA27), 0)</f>
      </c>
      <c r="AC27" s="4">
        <f>IFERROR(X27/SUM(E27:I27), 0)</f>
      </c>
      <c r="AD27" s="4">
        <f>IFERROR(X27/SUM(E27:I27), 0)</f>
      </c>
      <c r="AE27" s="4">
        <f>IFERROR(U27/I27, 0)</f>
      </c>
    </row>
    <row r="28" ht="20" customHeight="1" spans="1:31" x14ac:dyDescent="0.25">
      <c r="A28">
        <v>25</v>
      </c>
      <c r="B28" t="s">
        <v>27</v>
      </c>
      <c r="C28" t="s">
        <v>141</v>
      </c>
      <c r="D28" s="2" t="s">
        <v>27</v>
      </c>
      <c r="E28" s="8">
        <f>SUMIFS('Data nguồn'!H:H, 'Data nguồn'!D:D, $D28, 'Data nguồn'!F:F, $B$1, 'Data nguồn'!C:C, E$3)</f>
      </c>
      <c r="F28" s="8">
        <f>SUMIFS('Data nguồn'!H:H, 'Data nguồn'!D:D, $D28, 'Data nguồn'!F:F, $B$1, 'Data nguồn'!C:C, F$3)</f>
      </c>
      <c r="G28" s="8">
        <f>SUMIFS('Data nguồn'!H:H, 'Data nguồn'!D:D, $D28, 'Data nguồn'!F:F, $B$1, 'Data nguồn'!C:C, G$3)</f>
      </c>
      <c r="H28" s="8">
        <f>SUMIFS('Data nguồn'!H:H, 'Data nguồn'!D:D, $D28, 'Data nguồn'!F:F, $B$1, 'Data nguồn'!C:C, H$3)</f>
      </c>
      <c r="I28" s="8">
        <f>SUMIFS('Data nguồn'!H:H, 'Data nguồn'!D:D, $D28, 'Data nguồn'!F:F, $B$1, 'Data nguồn'!C:C, I$3)</f>
      </c>
      <c r="J28" s="8">
        <f>SUMIFS('Data nguồn'!H:H, 'Data nguồn'!D:D, $D28, 'Data nguồn'!F:F, $B$1, 'Data nguồn'!C:C, J$3)</f>
      </c>
      <c r="K28" s="8">
        <f>SUMIFS('Data nguồn'!H:H, 'Data nguồn'!D:D, $D28, 'Data nguồn'!F:F, $B$1, 'Data nguồn'!C:C, K$3)</f>
      </c>
      <c r="L28" s="8">
        <f>SUMIFS('Data nguồn'!H:H, 'Data nguồn'!D:D, $D28, 'Data nguồn'!F:F, $B$1, 'Data nguồn'!C:C, L$3)</f>
      </c>
      <c r="M28" s="8">
        <f>SUMIFS('Data nguồn'!H:H, 'Data nguồn'!D:D, $D28, 'Data nguồn'!F:F, $B$1, 'Data nguồn'!C:C, M$3)</f>
      </c>
      <c r="N28" s="8">
        <f>SUMIFS('Data nguồn'!H:H, 'Data nguồn'!D:D, $D28, 'Data nguồn'!F:F, $B$1, 'Data nguồn'!C:C, N$3)</f>
      </c>
      <c r="O28" s="8">
        <f>SUMIFS('Data nguồn'!H:H, 'Data nguồn'!D:D, $D28, 'Data nguồn'!F:F, $B$1, 'Data nguồn'!C:C, O$3)</f>
      </c>
      <c r="P28" s="8">
        <f>SUMIFS('Data nguồn'!H:H, 'Data nguồn'!D:D, $D28, 'Data nguồn'!F:F, $B$1, 'Data nguồn'!C:C, P$3)</f>
      </c>
      <c r="Q28" s="8">
        <f>SUMIFS('Data nguồn'!H:H, 'Data nguồn'!D:D, $D28, 'Data nguồn'!F:F, $B$1, 'Data nguồn'!C:C, Q$3)</f>
      </c>
      <c r="R28" s="8">
        <f>SUMIFS('Data nguồn'!H:H, 'Data nguồn'!D:D, $D28, 'Data nguồn'!F:F, $B$1, 'Data nguồn'!C:C, R$3)</f>
      </c>
      <c r="S28" s="8">
        <f>SUMIFS('Data nguồn'!H:H, 'Data nguồn'!D:D, $D28, 'Data nguồn'!F:F, $B$1, 'Data nguồn'!C:C, S$3)</f>
      </c>
      <c r="T28" s="8">
        <f>SUMIFS('Data nguồn'!H:H, 'Data nguồn'!D:D, $D28, 'Data nguồn'!F:F, $B$1, 'Data nguồn'!C:C, T$3)</f>
      </c>
      <c r="U28" s="8">
        <f>SUMIFS('Data nguồn'!H:H, 'Data nguồn'!D:D, $D28, 'Data nguồn'!F:F, $B$1, 'Data nguồn'!C:C, U$3)</f>
      </c>
      <c r="W28" s="8">
        <f>SUM(E28:P28)</f>
      </c>
      <c r="X28" s="8">
        <f>SUM(Q28:U28)</f>
      </c>
      <c r="Y28" s="8">
        <f>AVERAGE(S28:U28)</f>
      </c>
      <c r="Z28" s="8">
        <f>AVERAGE(P28:U28)</f>
      </c>
      <c r="AA28" s="8">
        <f>AVERAGE(M28:U28)</f>
      </c>
      <c r="AB28" s="4">
        <f>IFERROR((Y28*2)/(Z28+AA28), 0)</f>
      </c>
      <c r="AC28" s="4">
        <f>IFERROR(X28/SUM(E28:I28), 0)</f>
      </c>
      <c r="AD28" s="4">
        <f>IFERROR(X28/SUM(E28:I28), 0)</f>
      </c>
      <c r="AE28" s="4">
        <f>IFERROR(U28/I28, 0)</f>
      </c>
    </row>
    <row r="29" ht="20" customHeight="1" spans="1:31" x14ac:dyDescent="0.25">
      <c r="A29">
        <v>26</v>
      </c>
      <c r="B29" t="s">
        <v>28</v>
      </c>
      <c r="C29" t="s">
        <v>141</v>
      </c>
      <c r="D29" s="2" t="s">
        <v>28</v>
      </c>
      <c r="E29" s="8">
        <f>SUMIFS('Data nguồn'!H:H, 'Data nguồn'!D:D, $D29, 'Data nguồn'!F:F, $B$1, 'Data nguồn'!C:C, E$3)</f>
      </c>
      <c r="F29" s="8">
        <f>SUMIFS('Data nguồn'!H:H, 'Data nguồn'!D:D, $D29, 'Data nguồn'!F:F, $B$1, 'Data nguồn'!C:C, F$3)</f>
      </c>
      <c r="G29" s="8">
        <f>SUMIFS('Data nguồn'!H:H, 'Data nguồn'!D:D, $D29, 'Data nguồn'!F:F, $B$1, 'Data nguồn'!C:C, G$3)</f>
      </c>
      <c r="H29" s="8">
        <f>SUMIFS('Data nguồn'!H:H, 'Data nguồn'!D:D, $D29, 'Data nguồn'!F:F, $B$1, 'Data nguồn'!C:C, H$3)</f>
      </c>
      <c r="I29" s="8">
        <f>SUMIFS('Data nguồn'!H:H, 'Data nguồn'!D:D, $D29, 'Data nguồn'!F:F, $B$1, 'Data nguồn'!C:C, I$3)</f>
      </c>
      <c r="J29" s="8">
        <f>SUMIFS('Data nguồn'!H:H, 'Data nguồn'!D:D, $D29, 'Data nguồn'!F:F, $B$1, 'Data nguồn'!C:C, J$3)</f>
      </c>
      <c r="K29" s="8">
        <f>SUMIFS('Data nguồn'!H:H, 'Data nguồn'!D:D, $D29, 'Data nguồn'!F:F, $B$1, 'Data nguồn'!C:C, K$3)</f>
      </c>
      <c r="L29" s="8">
        <f>SUMIFS('Data nguồn'!H:H, 'Data nguồn'!D:D, $D29, 'Data nguồn'!F:F, $B$1, 'Data nguồn'!C:C, L$3)</f>
      </c>
      <c r="M29" s="8">
        <f>SUMIFS('Data nguồn'!H:H, 'Data nguồn'!D:D, $D29, 'Data nguồn'!F:F, $B$1, 'Data nguồn'!C:C, M$3)</f>
      </c>
      <c r="N29" s="8">
        <f>SUMIFS('Data nguồn'!H:H, 'Data nguồn'!D:D, $D29, 'Data nguồn'!F:F, $B$1, 'Data nguồn'!C:C, N$3)</f>
      </c>
      <c r="O29" s="8">
        <f>SUMIFS('Data nguồn'!H:H, 'Data nguồn'!D:D, $D29, 'Data nguồn'!F:F, $B$1, 'Data nguồn'!C:C, O$3)</f>
      </c>
      <c r="P29" s="8">
        <f>SUMIFS('Data nguồn'!H:H, 'Data nguồn'!D:D, $D29, 'Data nguồn'!F:F, $B$1, 'Data nguồn'!C:C, P$3)</f>
      </c>
      <c r="Q29" s="8">
        <f>SUMIFS('Data nguồn'!H:H, 'Data nguồn'!D:D, $D29, 'Data nguồn'!F:F, $B$1, 'Data nguồn'!C:C, Q$3)</f>
      </c>
      <c r="R29" s="8">
        <f>SUMIFS('Data nguồn'!H:H, 'Data nguồn'!D:D, $D29, 'Data nguồn'!F:F, $B$1, 'Data nguồn'!C:C, R$3)</f>
      </c>
      <c r="S29" s="8">
        <f>SUMIFS('Data nguồn'!H:H, 'Data nguồn'!D:D, $D29, 'Data nguồn'!F:F, $B$1, 'Data nguồn'!C:C, S$3)</f>
      </c>
      <c r="T29" s="8">
        <f>SUMIFS('Data nguồn'!H:H, 'Data nguồn'!D:D, $D29, 'Data nguồn'!F:F, $B$1, 'Data nguồn'!C:C, T$3)</f>
      </c>
      <c r="U29" s="8">
        <f>SUMIFS('Data nguồn'!H:H, 'Data nguồn'!D:D, $D29, 'Data nguồn'!F:F, $B$1, 'Data nguồn'!C:C, U$3)</f>
      </c>
      <c r="W29" s="8">
        <f>SUM(E29:P29)</f>
      </c>
      <c r="X29" s="8">
        <f>SUM(Q29:U29)</f>
      </c>
      <c r="Y29" s="8">
        <f>AVERAGE(S29:U29)</f>
      </c>
      <c r="Z29" s="8">
        <f>AVERAGE(P29:U29)</f>
      </c>
      <c r="AA29" s="8">
        <f>AVERAGE(M29:U29)</f>
      </c>
      <c r="AB29" s="4">
        <f>IFERROR((Y29*2)/(Z29+AA29), 0)</f>
      </c>
      <c r="AC29" s="4">
        <f>IFERROR(X29/SUM(E29:I29), 0)</f>
      </c>
      <c r="AD29" s="4">
        <f>IFERROR(X29/SUM(E29:I29), 0)</f>
      </c>
      <c r="AE29" s="4">
        <f>IFERROR(U29/I29, 0)</f>
      </c>
    </row>
    <row r="30" ht="20" customHeight="1" spans="1:31" x14ac:dyDescent="0.25">
      <c r="A30">
        <v>27</v>
      </c>
      <c r="B30" t="s">
        <v>29</v>
      </c>
      <c r="C30" t="s">
        <v>141</v>
      </c>
      <c r="D30" s="2" t="s">
        <v>29</v>
      </c>
      <c r="E30" s="8">
        <f>SUMIFS('Data nguồn'!H:H, 'Data nguồn'!D:D, $D30, 'Data nguồn'!F:F, $B$1, 'Data nguồn'!C:C, E$3)</f>
      </c>
      <c r="F30" s="8">
        <f>SUMIFS('Data nguồn'!H:H, 'Data nguồn'!D:D, $D30, 'Data nguồn'!F:F, $B$1, 'Data nguồn'!C:C, F$3)</f>
      </c>
      <c r="G30" s="8">
        <f>SUMIFS('Data nguồn'!H:H, 'Data nguồn'!D:D, $D30, 'Data nguồn'!F:F, $B$1, 'Data nguồn'!C:C, G$3)</f>
      </c>
      <c r="H30" s="8">
        <f>SUMIFS('Data nguồn'!H:H, 'Data nguồn'!D:D, $D30, 'Data nguồn'!F:F, $B$1, 'Data nguồn'!C:C, H$3)</f>
      </c>
      <c r="I30" s="8">
        <f>SUMIFS('Data nguồn'!H:H, 'Data nguồn'!D:D, $D30, 'Data nguồn'!F:F, $B$1, 'Data nguồn'!C:C, I$3)</f>
      </c>
      <c r="J30" s="8">
        <f>SUMIFS('Data nguồn'!H:H, 'Data nguồn'!D:D, $D30, 'Data nguồn'!F:F, $B$1, 'Data nguồn'!C:C, J$3)</f>
      </c>
      <c r="K30" s="8">
        <f>SUMIFS('Data nguồn'!H:H, 'Data nguồn'!D:D, $D30, 'Data nguồn'!F:F, $B$1, 'Data nguồn'!C:C, K$3)</f>
      </c>
      <c r="L30" s="8">
        <f>SUMIFS('Data nguồn'!H:H, 'Data nguồn'!D:D, $D30, 'Data nguồn'!F:F, $B$1, 'Data nguồn'!C:C, L$3)</f>
      </c>
      <c r="M30" s="8">
        <f>SUMIFS('Data nguồn'!H:H, 'Data nguồn'!D:D, $D30, 'Data nguồn'!F:F, $B$1, 'Data nguồn'!C:C, M$3)</f>
      </c>
      <c r="N30" s="8">
        <f>SUMIFS('Data nguồn'!H:H, 'Data nguồn'!D:D, $D30, 'Data nguồn'!F:F, $B$1, 'Data nguồn'!C:C, N$3)</f>
      </c>
      <c r="O30" s="8">
        <f>SUMIFS('Data nguồn'!H:H, 'Data nguồn'!D:D, $D30, 'Data nguồn'!F:F, $B$1, 'Data nguồn'!C:C, O$3)</f>
      </c>
      <c r="P30" s="8">
        <f>SUMIFS('Data nguồn'!H:H, 'Data nguồn'!D:D, $D30, 'Data nguồn'!F:F, $B$1, 'Data nguồn'!C:C, P$3)</f>
      </c>
      <c r="Q30" s="8">
        <f>SUMIFS('Data nguồn'!H:H, 'Data nguồn'!D:D, $D30, 'Data nguồn'!F:F, $B$1, 'Data nguồn'!C:C, Q$3)</f>
      </c>
      <c r="R30" s="8">
        <f>SUMIFS('Data nguồn'!H:H, 'Data nguồn'!D:D, $D30, 'Data nguồn'!F:F, $B$1, 'Data nguồn'!C:C, R$3)</f>
      </c>
      <c r="S30" s="8">
        <f>SUMIFS('Data nguồn'!H:H, 'Data nguồn'!D:D, $D30, 'Data nguồn'!F:F, $B$1, 'Data nguồn'!C:C, S$3)</f>
      </c>
      <c r="T30" s="8">
        <f>SUMIFS('Data nguồn'!H:H, 'Data nguồn'!D:D, $D30, 'Data nguồn'!F:F, $B$1, 'Data nguồn'!C:C, T$3)</f>
      </c>
      <c r="U30" s="8">
        <f>SUMIFS('Data nguồn'!H:H, 'Data nguồn'!D:D, $D30, 'Data nguồn'!F:F, $B$1, 'Data nguồn'!C:C, U$3)</f>
      </c>
      <c r="W30" s="8">
        <f>SUM(E30:P30)</f>
      </c>
      <c r="X30" s="8">
        <f>SUM(Q30:U30)</f>
      </c>
      <c r="Y30" s="8">
        <f>AVERAGE(S30:U30)</f>
      </c>
      <c r="Z30" s="8">
        <f>AVERAGE(P30:U30)</f>
      </c>
      <c r="AA30" s="8">
        <f>AVERAGE(M30:U30)</f>
      </c>
      <c r="AB30" s="4">
        <f>IFERROR((Y30*2)/(Z30+AA30), 0)</f>
      </c>
      <c r="AC30" s="4">
        <f>IFERROR(X30/SUM(E30:I30), 0)</f>
      </c>
      <c r="AD30" s="4">
        <f>IFERROR(X30/SUM(E30:I30), 0)</f>
      </c>
      <c r="AE30" s="4">
        <f>IFERROR(U30/I30, 0)</f>
      </c>
    </row>
    <row r="31" ht="20" customHeight="1" spans="1:31" x14ac:dyDescent="0.25">
      <c r="A31">
        <v>28</v>
      </c>
      <c r="B31" t="s">
        <v>30</v>
      </c>
      <c r="C31" t="s">
        <v>141</v>
      </c>
      <c r="D31" s="2" t="s">
        <v>30</v>
      </c>
      <c r="E31" s="8">
        <f>SUMIFS('Data nguồn'!H:H, 'Data nguồn'!D:D, $D31, 'Data nguồn'!F:F, $B$1, 'Data nguồn'!C:C, E$3)</f>
      </c>
      <c r="F31" s="8">
        <f>SUMIFS('Data nguồn'!H:H, 'Data nguồn'!D:D, $D31, 'Data nguồn'!F:F, $B$1, 'Data nguồn'!C:C, F$3)</f>
      </c>
      <c r="G31" s="8">
        <f>SUMIFS('Data nguồn'!H:H, 'Data nguồn'!D:D, $D31, 'Data nguồn'!F:F, $B$1, 'Data nguồn'!C:C, G$3)</f>
      </c>
      <c r="H31" s="8">
        <f>SUMIFS('Data nguồn'!H:H, 'Data nguồn'!D:D, $D31, 'Data nguồn'!F:F, $B$1, 'Data nguồn'!C:C, H$3)</f>
      </c>
      <c r="I31" s="8">
        <f>SUMIFS('Data nguồn'!H:H, 'Data nguồn'!D:D, $D31, 'Data nguồn'!F:F, $B$1, 'Data nguồn'!C:C, I$3)</f>
      </c>
      <c r="J31" s="8">
        <f>SUMIFS('Data nguồn'!H:H, 'Data nguồn'!D:D, $D31, 'Data nguồn'!F:F, $B$1, 'Data nguồn'!C:C, J$3)</f>
      </c>
      <c r="K31" s="8">
        <f>SUMIFS('Data nguồn'!H:H, 'Data nguồn'!D:D, $D31, 'Data nguồn'!F:F, $B$1, 'Data nguồn'!C:C, K$3)</f>
      </c>
      <c r="L31" s="8">
        <f>SUMIFS('Data nguồn'!H:H, 'Data nguồn'!D:D, $D31, 'Data nguồn'!F:F, $B$1, 'Data nguồn'!C:C, L$3)</f>
      </c>
      <c r="M31" s="8">
        <f>SUMIFS('Data nguồn'!H:H, 'Data nguồn'!D:D, $D31, 'Data nguồn'!F:F, $B$1, 'Data nguồn'!C:C, M$3)</f>
      </c>
      <c r="N31" s="8">
        <f>SUMIFS('Data nguồn'!H:H, 'Data nguồn'!D:D, $D31, 'Data nguồn'!F:F, $B$1, 'Data nguồn'!C:C, N$3)</f>
      </c>
      <c r="O31" s="8">
        <f>SUMIFS('Data nguồn'!H:H, 'Data nguồn'!D:D, $D31, 'Data nguồn'!F:F, $B$1, 'Data nguồn'!C:C, O$3)</f>
      </c>
      <c r="P31" s="8">
        <f>SUMIFS('Data nguồn'!H:H, 'Data nguồn'!D:D, $D31, 'Data nguồn'!F:F, $B$1, 'Data nguồn'!C:C, P$3)</f>
      </c>
      <c r="Q31" s="8">
        <f>SUMIFS('Data nguồn'!H:H, 'Data nguồn'!D:D, $D31, 'Data nguồn'!F:F, $B$1, 'Data nguồn'!C:C, Q$3)</f>
      </c>
      <c r="R31" s="8">
        <f>SUMIFS('Data nguồn'!H:H, 'Data nguồn'!D:D, $D31, 'Data nguồn'!F:F, $B$1, 'Data nguồn'!C:C, R$3)</f>
      </c>
      <c r="S31" s="8">
        <f>SUMIFS('Data nguồn'!H:H, 'Data nguồn'!D:D, $D31, 'Data nguồn'!F:F, $B$1, 'Data nguồn'!C:C, S$3)</f>
      </c>
      <c r="T31" s="8">
        <f>SUMIFS('Data nguồn'!H:H, 'Data nguồn'!D:D, $D31, 'Data nguồn'!F:F, $B$1, 'Data nguồn'!C:C, T$3)</f>
      </c>
      <c r="U31" s="8">
        <f>SUMIFS('Data nguồn'!H:H, 'Data nguồn'!D:D, $D31, 'Data nguồn'!F:F, $B$1, 'Data nguồn'!C:C, U$3)</f>
      </c>
      <c r="W31" s="8">
        <f>SUM(E31:P31)</f>
      </c>
      <c r="X31" s="8">
        <f>SUM(Q31:U31)</f>
      </c>
      <c r="Y31" s="8">
        <f>AVERAGE(S31:U31)</f>
      </c>
      <c r="Z31" s="8">
        <f>AVERAGE(P31:U31)</f>
      </c>
      <c r="AA31" s="8">
        <f>AVERAGE(M31:U31)</f>
      </c>
      <c r="AB31" s="4">
        <f>IFERROR((Y31*2)/(Z31+AA31), 0)</f>
      </c>
      <c r="AC31" s="4">
        <f>IFERROR(X31/SUM(E31:I31), 0)</f>
      </c>
      <c r="AD31" s="4">
        <f>IFERROR(X31/SUM(E31:I31), 0)</f>
      </c>
      <c r="AE31" s="4">
        <f>IFERROR(U31/I31, 0)</f>
      </c>
    </row>
    <row r="32" ht="20" customHeight="1" spans="1:31" x14ac:dyDescent="0.25">
      <c r="A32">
        <v>29</v>
      </c>
      <c r="B32" t="s">
        <v>31</v>
      </c>
      <c r="C32" t="s">
        <v>141</v>
      </c>
      <c r="D32" s="2" t="s">
        <v>31</v>
      </c>
      <c r="E32" s="8">
        <f>SUMIFS('Data nguồn'!H:H, 'Data nguồn'!D:D, $D32, 'Data nguồn'!F:F, $B$1, 'Data nguồn'!C:C, E$3)</f>
      </c>
      <c r="F32" s="8">
        <f>SUMIFS('Data nguồn'!H:H, 'Data nguồn'!D:D, $D32, 'Data nguồn'!F:F, $B$1, 'Data nguồn'!C:C, F$3)</f>
      </c>
      <c r="G32" s="8">
        <f>SUMIFS('Data nguồn'!H:H, 'Data nguồn'!D:D, $D32, 'Data nguồn'!F:F, $B$1, 'Data nguồn'!C:C, G$3)</f>
      </c>
      <c r="H32" s="8">
        <f>SUMIFS('Data nguồn'!H:H, 'Data nguồn'!D:D, $D32, 'Data nguồn'!F:F, $B$1, 'Data nguồn'!C:C, H$3)</f>
      </c>
      <c r="I32" s="8">
        <f>SUMIFS('Data nguồn'!H:H, 'Data nguồn'!D:D, $D32, 'Data nguồn'!F:F, $B$1, 'Data nguồn'!C:C, I$3)</f>
      </c>
      <c r="J32" s="8">
        <f>SUMIFS('Data nguồn'!H:H, 'Data nguồn'!D:D, $D32, 'Data nguồn'!F:F, $B$1, 'Data nguồn'!C:C, J$3)</f>
      </c>
      <c r="K32" s="8">
        <f>SUMIFS('Data nguồn'!H:H, 'Data nguồn'!D:D, $D32, 'Data nguồn'!F:F, $B$1, 'Data nguồn'!C:C, K$3)</f>
      </c>
      <c r="L32" s="8">
        <f>SUMIFS('Data nguồn'!H:H, 'Data nguồn'!D:D, $D32, 'Data nguồn'!F:F, $B$1, 'Data nguồn'!C:C, L$3)</f>
      </c>
      <c r="M32" s="8">
        <f>SUMIFS('Data nguồn'!H:H, 'Data nguồn'!D:D, $D32, 'Data nguồn'!F:F, $B$1, 'Data nguồn'!C:C, M$3)</f>
      </c>
      <c r="N32" s="8">
        <f>SUMIFS('Data nguồn'!H:H, 'Data nguồn'!D:D, $D32, 'Data nguồn'!F:F, $B$1, 'Data nguồn'!C:C, N$3)</f>
      </c>
      <c r="O32" s="8">
        <f>SUMIFS('Data nguồn'!H:H, 'Data nguồn'!D:D, $D32, 'Data nguồn'!F:F, $B$1, 'Data nguồn'!C:C, O$3)</f>
      </c>
      <c r="P32" s="8">
        <f>SUMIFS('Data nguồn'!H:H, 'Data nguồn'!D:D, $D32, 'Data nguồn'!F:F, $B$1, 'Data nguồn'!C:C, P$3)</f>
      </c>
      <c r="Q32" s="8">
        <f>SUMIFS('Data nguồn'!H:H, 'Data nguồn'!D:D, $D32, 'Data nguồn'!F:F, $B$1, 'Data nguồn'!C:C, Q$3)</f>
      </c>
      <c r="R32" s="8">
        <f>SUMIFS('Data nguồn'!H:H, 'Data nguồn'!D:D, $D32, 'Data nguồn'!F:F, $B$1, 'Data nguồn'!C:C, R$3)</f>
      </c>
      <c r="S32" s="8">
        <f>SUMIFS('Data nguồn'!H:H, 'Data nguồn'!D:D, $D32, 'Data nguồn'!F:F, $B$1, 'Data nguồn'!C:C, S$3)</f>
      </c>
      <c r="T32" s="8">
        <f>SUMIFS('Data nguồn'!H:H, 'Data nguồn'!D:D, $D32, 'Data nguồn'!F:F, $B$1, 'Data nguồn'!C:C, T$3)</f>
      </c>
      <c r="U32" s="8">
        <f>SUMIFS('Data nguồn'!H:H, 'Data nguồn'!D:D, $D32, 'Data nguồn'!F:F, $B$1, 'Data nguồn'!C:C, U$3)</f>
      </c>
      <c r="W32" s="8">
        <f>SUM(E32:P32)</f>
      </c>
      <c r="X32" s="8">
        <f>SUM(Q32:U32)</f>
      </c>
      <c r="Y32" s="8">
        <f>AVERAGE(S32:U32)</f>
      </c>
      <c r="Z32" s="8">
        <f>AVERAGE(P32:U32)</f>
      </c>
      <c r="AA32" s="8">
        <f>AVERAGE(M32:U32)</f>
      </c>
      <c r="AB32" s="4">
        <f>IFERROR((Y32*2)/(Z32+AA32), 0)</f>
      </c>
      <c r="AC32" s="4">
        <f>IFERROR(X32/SUM(E32:I32), 0)</f>
      </c>
      <c r="AD32" s="4">
        <f>IFERROR(X32/SUM(E32:I32), 0)</f>
      </c>
      <c r="AE32" s="4">
        <f>IFERROR(U32/I32, 0)</f>
      </c>
    </row>
    <row r="33" ht="20" customHeight="1" spans="1:31" x14ac:dyDescent="0.25">
      <c r="A33">
        <v>30</v>
      </c>
      <c r="B33" t="s">
        <v>32</v>
      </c>
      <c r="C33" t="s">
        <v>141</v>
      </c>
      <c r="D33" s="2" t="s">
        <v>32</v>
      </c>
      <c r="E33" s="8">
        <f>SUMIFS('Data nguồn'!H:H, 'Data nguồn'!D:D, $D33, 'Data nguồn'!F:F, $B$1, 'Data nguồn'!C:C, E$3)</f>
      </c>
      <c r="F33" s="8">
        <f>SUMIFS('Data nguồn'!H:H, 'Data nguồn'!D:D, $D33, 'Data nguồn'!F:F, $B$1, 'Data nguồn'!C:C, F$3)</f>
      </c>
      <c r="G33" s="8">
        <f>SUMIFS('Data nguồn'!H:H, 'Data nguồn'!D:D, $D33, 'Data nguồn'!F:F, $B$1, 'Data nguồn'!C:C, G$3)</f>
      </c>
      <c r="H33" s="8">
        <f>SUMIFS('Data nguồn'!H:H, 'Data nguồn'!D:D, $D33, 'Data nguồn'!F:F, $B$1, 'Data nguồn'!C:C, H$3)</f>
      </c>
      <c r="I33" s="8">
        <f>SUMIFS('Data nguồn'!H:H, 'Data nguồn'!D:D, $D33, 'Data nguồn'!F:F, $B$1, 'Data nguồn'!C:C, I$3)</f>
      </c>
      <c r="J33" s="8">
        <f>SUMIFS('Data nguồn'!H:H, 'Data nguồn'!D:D, $D33, 'Data nguồn'!F:F, $B$1, 'Data nguồn'!C:C, J$3)</f>
      </c>
      <c r="K33" s="8">
        <f>SUMIFS('Data nguồn'!H:H, 'Data nguồn'!D:D, $D33, 'Data nguồn'!F:F, $B$1, 'Data nguồn'!C:C, K$3)</f>
      </c>
      <c r="L33" s="8">
        <f>SUMIFS('Data nguồn'!H:H, 'Data nguồn'!D:D, $D33, 'Data nguồn'!F:F, $B$1, 'Data nguồn'!C:C, L$3)</f>
      </c>
      <c r="M33" s="8">
        <f>SUMIFS('Data nguồn'!H:H, 'Data nguồn'!D:D, $D33, 'Data nguồn'!F:F, $B$1, 'Data nguồn'!C:C, M$3)</f>
      </c>
      <c r="N33" s="8">
        <f>SUMIFS('Data nguồn'!H:H, 'Data nguồn'!D:D, $D33, 'Data nguồn'!F:F, $B$1, 'Data nguồn'!C:C, N$3)</f>
      </c>
      <c r="O33" s="8">
        <f>SUMIFS('Data nguồn'!H:H, 'Data nguồn'!D:D, $D33, 'Data nguồn'!F:F, $B$1, 'Data nguồn'!C:C, O$3)</f>
      </c>
      <c r="P33" s="8">
        <f>SUMIFS('Data nguồn'!H:H, 'Data nguồn'!D:D, $D33, 'Data nguồn'!F:F, $B$1, 'Data nguồn'!C:C, P$3)</f>
      </c>
      <c r="Q33" s="8">
        <f>SUMIFS('Data nguồn'!H:H, 'Data nguồn'!D:D, $D33, 'Data nguồn'!F:F, $B$1, 'Data nguồn'!C:C, Q$3)</f>
      </c>
      <c r="R33" s="8">
        <f>SUMIFS('Data nguồn'!H:H, 'Data nguồn'!D:D, $D33, 'Data nguồn'!F:F, $B$1, 'Data nguồn'!C:C, R$3)</f>
      </c>
      <c r="S33" s="8">
        <f>SUMIFS('Data nguồn'!H:H, 'Data nguồn'!D:D, $D33, 'Data nguồn'!F:F, $B$1, 'Data nguồn'!C:C, S$3)</f>
      </c>
      <c r="T33" s="8">
        <f>SUMIFS('Data nguồn'!H:H, 'Data nguồn'!D:D, $D33, 'Data nguồn'!F:F, $B$1, 'Data nguồn'!C:C, T$3)</f>
      </c>
      <c r="U33" s="8">
        <f>SUMIFS('Data nguồn'!H:H, 'Data nguồn'!D:D, $D33, 'Data nguồn'!F:F, $B$1, 'Data nguồn'!C:C, U$3)</f>
      </c>
      <c r="W33" s="8">
        <f>SUM(E33:P33)</f>
      </c>
      <c r="X33" s="8">
        <f>SUM(Q33:U33)</f>
      </c>
      <c r="Y33" s="8">
        <f>AVERAGE(S33:U33)</f>
      </c>
      <c r="Z33" s="8">
        <f>AVERAGE(P33:U33)</f>
      </c>
      <c r="AA33" s="8">
        <f>AVERAGE(M33:U33)</f>
      </c>
      <c r="AB33" s="4">
        <f>IFERROR((Y33*2)/(Z33+AA33), 0)</f>
      </c>
      <c r="AC33" s="4">
        <f>IFERROR(X33/SUM(E33:I33), 0)</f>
      </c>
      <c r="AD33" s="4">
        <f>IFERROR(X33/SUM(E33:I33), 0)</f>
      </c>
      <c r="AE33" s="4">
        <f>IFERROR(U33/I33, 0)</f>
      </c>
    </row>
    <row r="34" ht="20" customHeight="1" spans="1:31" x14ac:dyDescent="0.25">
      <c r="A34">
        <v>31</v>
      </c>
      <c r="B34" t="s">
        <v>33</v>
      </c>
      <c r="C34" t="s">
        <v>141</v>
      </c>
      <c r="D34" s="2" t="s">
        <v>33</v>
      </c>
      <c r="E34" s="8">
        <f>SUMIFS('Data nguồn'!H:H, 'Data nguồn'!D:D, $D34, 'Data nguồn'!F:F, $B$1, 'Data nguồn'!C:C, E$3)</f>
      </c>
      <c r="F34" s="8">
        <f>SUMIFS('Data nguồn'!H:H, 'Data nguồn'!D:D, $D34, 'Data nguồn'!F:F, $B$1, 'Data nguồn'!C:C, F$3)</f>
      </c>
      <c r="G34" s="8">
        <f>SUMIFS('Data nguồn'!H:H, 'Data nguồn'!D:D, $D34, 'Data nguồn'!F:F, $B$1, 'Data nguồn'!C:C, G$3)</f>
      </c>
      <c r="H34" s="8">
        <f>SUMIFS('Data nguồn'!H:H, 'Data nguồn'!D:D, $D34, 'Data nguồn'!F:F, $B$1, 'Data nguồn'!C:C, H$3)</f>
      </c>
      <c r="I34" s="8">
        <f>SUMIFS('Data nguồn'!H:H, 'Data nguồn'!D:D, $D34, 'Data nguồn'!F:F, $B$1, 'Data nguồn'!C:C, I$3)</f>
      </c>
      <c r="J34" s="8">
        <f>SUMIFS('Data nguồn'!H:H, 'Data nguồn'!D:D, $D34, 'Data nguồn'!F:F, $B$1, 'Data nguồn'!C:C, J$3)</f>
      </c>
      <c r="K34" s="8">
        <f>SUMIFS('Data nguồn'!H:H, 'Data nguồn'!D:D, $D34, 'Data nguồn'!F:F, $B$1, 'Data nguồn'!C:C, K$3)</f>
      </c>
      <c r="L34" s="8">
        <f>SUMIFS('Data nguồn'!H:H, 'Data nguồn'!D:D, $D34, 'Data nguồn'!F:F, $B$1, 'Data nguồn'!C:C, L$3)</f>
      </c>
      <c r="M34" s="8">
        <f>SUMIFS('Data nguồn'!H:H, 'Data nguồn'!D:D, $D34, 'Data nguồn'!F:F, $B$1, 'Data nguồn'!C:C, M$3)</f>
      </c>
      <c r="N34" s="8">
        <f>SUMIFS('Data nguồn'!H:H, 'Data nguồn'!D:D, $D34, 'Data nguồn'!F:F, $B$1, 'Data nguồn'!C:C, N$3)</f>
      </c>
      <c r="O34" s="8">
        <f>SUMIFS('Data nguồn'!H:H, 'Data nguồn'!D:D, $D34, 'Data nguồn'!F:F, $B$1, 'Data nguồn'!C:C, O$3)</f>
      </c>
      <c r="P34" s="8">
        <f>SUMIFS('Data nguồn'!H:H, 'Data nguồn'!D:D, $D34, 'Data nguồn'!F:F, $B$1, 'Data nguồn'!C:C, P$3)</f>
      </c>
      <c r="Q34" s="8">
        <f>SUMIFS('Data nguồn'!H:H, 'Data nguồn'!D:D, $D34, 'Data nguồn'!F:F, $B$1, 'Data nguồn'!C:C, Q$3)</f>
      </c>
      <c r="R34" s="8">
        <f>SUMIFS('Data nguồn'!H:H, 'Data nguồn'!D:D, $D34, 'Data nguồn'!F:F, $B$1, 'Data nguồn'!C:C, R$3)</f>
      </c>
      <c r="S34" s="8">
        <f>SUMIFS('Data nguồn'!H:H, 'Data nguồn'!D:D, $D34, 'Data nguồn'!F:F, $B$1, 'Data nguồn'!C:C, S$3)</f>
      </c>
      <c r="T34" s="8">
        <f>SUMIFS('Data nguồn'!H:H, 'Data nguồn'!D:D, $D34, 'Data nguồn'!F:F, $B$1, 'Data nguồn'!C:C, T$3)</f>
      </c>
      <c r="U34" s="8">
        <f>SUMIFS('Data nguồn'!H:H, 'Data nguồn'!D:D, $D34, 'Data nguồn'!F:F, $B$1, 'Data nguồn'!C:C, U$3)</f>
      </c>
      <c r="W34" s="8">
        <f>SUM(E34:P34)</f>
      </c>
      <c r="X34" s="8">
        <f>SUM(Q34:U34)</f>
      </c>
      <c r="Y34" s="8">
        <f>AVERAGE(S34:U34)</f>
      </c>
      <c r="Z34" s="8">
        <f>AVERAGE(P34:U34)</f>
      </c>
      <c r="AA34" s="8">
        <f>AVERAGE(M34:U34)</f>
      </c>
      <c r="AB34" s="4">
        <f>IFERROR((Y34*2)/(Z34+AA34), 0)</f>
      </c>
      <c r="AC34" s="4">
        <f>IFERROR(X34/SUM(E34:I34), 0)</f>
      </c>
      <c r="AD34" s="4">
        <f>IFERROR(X34/SUM(E34:I34), 0)</f>
      </c>
      <c r="AE34" s="4">
        <f>IFERROR(U34/I34, 0)</f>
      </c>
    </row>
    <row r="35" ht="20" customHeight="1" spans="1:31" x14ac:dyDescent="0.25">
      <c r="A35">
        <v>32</v>
      </c>
      <c r="B35" t="s">
        <v>34</v>
      </c>
      <c r="C35" t="s">
        <v>141</v>
      </c>
      <c r="D35" s="2" t="s">
        <v>34</v>
      </c>
      <c r="E35" s="8">
        <f>SUMIFS('Data nguồn'!H:H, 'Data nguồn'!D:D, $D35, 'Data nguồn'!F:F, $B$1, 'Data nguồn'!C:C, E$3)</f>
      </c>
      <c r="F35" s="8">
        <f>SUMIFS('Data nguồn'!H:H, 'Data nguồn'!D:D, $D35, 'Data nguồn'!F:F, $B$1, 'Data nguồn'!C:C, F$3)</f>
      </c>
      <c r="G35" s="8">
        <f>SUMIFS('Data nguồn'!H:H, 'Data nguồn'!D:D, $D35, 'Data nguồn'!F:F, $B$1, 'Data nguồn'!C:C, G$3)</f>
      </c>
      <c r="H35" s="8">
        <f>SUMIFS('Data nguồn'!H:H, 'Data nguồn'!D:D, $D35, 'Data nguồn'!F:F, $B$1, 'Data nguồn'!C:C, H$3)</f>
      </c>
      <c r="I35" s="8">
        <f>SUMIFS('Data nguồn'!H:H, 'Data nguồn'!D:D, $D35, 'Data nguồn'!F:F, $B$1, 'Data nguồn'!C:C, I$3)</f>
      </c>
      <c r="J35" s="8">
        <f>SUMIFS('Data nguồn'!H:H, 'Data nguồn'!D:D, $D35, 'Data nguồn'!F:F, $B$1, 'Data nguồn'!C:C, J$3)</f>
      </c>
      <c r="K35" s="8">
        <f>SUMIFS('Data nguồn'!H:H, 'Data nguồn'!D:D, $D35, 'Data nguồn'!F:F, $B$1, 'Data nguồn'!C:C, K$3)</f>
      </c>
      <c r="L35" s="8">
        <f>SUMIFS('Data nguồn'!H:H, 'Data nguồn'!D:D, $D35, 'Data nguồn'!F:F, $B$1, 'Data nguồn'!C:C, L$3)</f>
      </c>
      <c r="M35" s="8">
        <f>SUMIFS('Data nguồn'!H:H, 'Data nguồn'!D:D, $D35, 'Data nguồn'!F:F, $B$1, 'Data nguồn'!C:C, M$3)</f>
      </c>
      <c r="N35" s="8">
        <f>SUMIFS('Data nguồn'!H:H, 'Data nguồn'!D:D, $D35, 'Data nguồn'!F:F, $B$1, 'Data nguồn'!C:C, N$3)</f>
      </c>
      <c r="O35" s="8">
        <f>SUMIFS('Data nguồn'!H:H, 'Data nguồn'!D:D, $D35, 'Data nguồn'!F:F, $B$1, 'Data nguồn'!C:C, O$3)</f>
      </c>
      <c r="P35" s="8">
        <f>SUMIFS('Data nguồn'!H:H, 'Data nguồn'!D:D, $D35, 'Data nguồn'!F:F, $B$1, 'Data nguồn'!C:C, P$3)</f>
      </c>
      <c r="Q35" s="8">
        <f>SUMIFS('Data nguồn'!H:H, 'Data nguồn'!D:D, $D35, 'Data nguồn'!F:F, $B$1, 'Data nguồn'!C:C, Q$3)</f>
      </c>
      <c r="R35" s="8">
        <f>SUMIFS('Data nguồn'!H:H, 'Data nguồn'!D:D, $D35, 'Data nguồn'!F:F, $B$1, 'Data nguồn'!C:C, R$3)</f>
      </c>
      <c r="S35" s="8">
        <f>SUMIFS('Data nguồn'!H:H, 'Data nguồn'!D:D, $D35, 'Data nguồn'!F:F, $B$1, 'Data nguồn'!C:C, S$3)</f>
      </c>
      <c r="T35" s="8">
        <f>SUMIFS('Data nguồn'!H:H, 'Data nguồn'!D:D, $D35, 'Data nguồn'!F:F, $B$1, 'Data nguồn'!C:C, T$3)</f>
      </c>
      <c r="U35" s="8">
        <f>SUMIFS('Data nguồn'!H:H, 'Data nguồn'!D:D, $D35, 'Data nguồn'!F:F, $B$1, 'Data nguồn'!C:C, U$3)</f>
      </c>
      <c r="W35" s="8">
        <f>SUM(E35:P35)</f>
      </c>
      <c r="X35" s="8">
        <f>SUM(Q35:U35)</f>
      </c>
      <c r="Y35" s="8">
        <f>AVERAGE(S35:U35)</f>
      </c>
      <c r="Z35" s="8">
        <f>AVERAGE(P35:U35)</f>
      </c>
      <c r="AA35" s="8">
        <f>AVERAGE(M35:U35)</f>
      </c>
      <c r="AB35" s="4">
        <f>IFERROR((Y35*2)/(Z35+AA35), 0)</f>
      </c>
      <c r="AC35" s="4">
        <f>IFERROR(X35/SUM(E35:I35), 0)</f>
      </c>
      <c r="AD35" s="4">
        <f>IFERROR(X35/SUM(E35:I35), 0)</f>
      </c>
      <c r="AE35" s="4">
        <f>IFERROR(U35/I35, 0)</f>
      </c>
    </row>
    <row r="36" ht="20" customHeight="1" spans="1:31" x14ac:dyDescent="0.25">
      <c r="A36">
        <v>33</v>
      </c>
      <c r="B36" t="s">
        <v>35</v>
      </c>
      <c r="C36" t="s">
        <v>141</v>
      </c>
      <c r="D36" s="2" t="s">
        <v>35</v>
      </c>
      <c r="E36" s="8">
        <f>SUMIFS('Data nguồn'!H:H, 'Data nguồn'!D:D, $D36, 'Data nguồn'!F:F, $B$1, 'Data nguồn'!C:C, E$3)</f>
      </c>
      <c r="F36" s="8">
        <f>SUMIFS('Data nguồn'!H:H, 'Data nguồn'!D:D, $D36, 'Data nguồn'!F:F, $B$1, 'Data nguồn'!C:C, F$3)</f>
      </c>
      <c r="G36" s="8">
        <f>SUMIFS('Data nguồn'!H:H, 'Data nguồn'!D:D, $D36, 'Data nguồn'!F:F, $B$1, 'Data nguồn'!C:C, G$3)</f>
      </c>
      <c r="H36" s="8">
        <f>SUMIFS('Data nguồn'!H:H, 'Data nguồn'!D:D, $D36, 'Data nguồn'!F:F, $B$1, 'Data nguồn'!C:C, H$3)</f>
      </c>
      <c r="I36" s="8">
        <f>SUMIFS('Data nguồn'!H:H, 'Data nguồn'!D:D, $D36, 'Data nguồn'!F:F, $B$1, 'Data nguồn'!C:C, I$3)</f>
      </c>
      <c r="J36" s="8">
        <f>SUMIFS('Data nguồn'!H:H, 'Data nguồn'!D:D, $D36, 'Data nguồn'!F:F, $B$1, 'Data nguồn'!C:C, J$3)</f>
      </c>
      <c r="K36" s="8">
        <f>SUMIFS('Data nguồn'!H:H, 'Data nguồn'!D:D, $D36, 'Data nguồn'!F:F, $B$1, 'Data nguồn'!C:C, K$3)</f>
      </c>
      <c r="L36" s="8">
        <f>SUMIFS('Data nguồn'!H:H, 'Data nguồn'!D:D, $D36, 'Data nguồn'!F:F, $B$1, 'Data nguồn'!C:C, L$3)</f>
      </c>
      <c r="M36" s="8">
        <f>SUMIFS('Data nguồn'!H:H, 'Data nguồn'!D:D, $D36, 'Data nguồn'!F:F, $B$1, 'Data nguồn'!C:C, M$3)</f>
      </c>
      <c r="N36" s="8">
        <f>SUMIFS('Data nguồn'!H:H, 'Data nguồn'!D:D, $D36, 'Data nguồn'!F:F, $B$1, 'Data nguồn'!C:C, N$3)</f>
      </c>
      <c r="O36" s="8">
        <f>SUMIFS('Data nguồn'!H:H, 'Data nguồn'!D:D, $D36, 'Data nguồn'!F:F, $B$1, 'Data nguồn'!C:C, O$3)</f>
      </c>
      <c r="P36" s="8">
        <f>SUMIFS('Data nguồn'!H:H, 'Data nguồn'!D:D, $D36, 'Data nguồn'!F:F, $B$1, 'Data nguồn'!C:C, P$3)</f>
      </c>
      <c r="Q36" s="8">
        <f>SUMIFS('Data nguồn'!H:H, 'Data nguồn'!D:D, $D36, 'Data nguồn'!F:F, $B$1, 'Data nguồn'!C:C, Q$3)</f>
      </c>
      <c r="R36" s="8">
        <f>SUMIFS('Data nguồn'!H:H, 'Data nguồn'!D:D, $D36, 'Data nguồn'!F:F, $B$1, 'Data nguồn'!C:C, R$3)</f>
      </c>
      <c r="S36" s="8">
        <f>SUMIFS('Data nguồn'!H:H, 'Data nguồn'!D:D, $D36, 'Data nguồn'!F:F, $B$1, 'Data nguồn'!C:C, S$3)</f>
      </c>
      <c r="T36" s="8">
        <f>SUMIFS('Data nguồn'!H:H, 'Data nguồn'!D:D, $D36, 'Data nguồn'!F:F, $B$1, 'Data nguồn'!C:C, T$3)</f>
      </c>
      <c r="U36" s="8">
        <f>SUMIFS('Data nguồn'!H:H, 'Data nguồn'!D:D, $D36, 'Data nguồn'!F:F, $B$1, 'Data nguồn'!C:C, U$3)</f>
      </c>
      <c r="W36" s="8">
        <f>SUM(E36:P36)</f>
      </c>
      <c r="X36" s="8">
        <f>SUM(Q36:U36)</f>
      </c>
      <c r="Y36" s="8">
        <f>AVERAGE(S36:U36)</f>
      </c>
      <c r="Z36" s="8">
        <f>AVERAGE(P36:U36)</f>
      </c>
      <c r="AA36" s="8">
        <f>AVERAGE(M36:U36)</f>
      </c>
      <c r="AB36" s="4">
        <f>IFERROR((Y36*2)/(Z36+AA36), 0)</f>
      </c>
      <c r="AC36" s="4">
        <f>IFERROR(X36/SUM(E36:I36), 0)</f>
      </c>
      <c r="AD36" s="4">
        <f>IFERROR(X36/SUM(E36:I36), 0)</f>
      </c>
      <c r="AE36" s="4">
        <f>IFERROR(U36/I36, 0)</f>
      </c>
    </row>
    <row r="37" ht="20" customHeight="1" spans="1:31" x14ac:dyDescent="0.25">
      <c r="A37">
        <v>34</v>
      </c>
      <c r="B37" t="s">
        <v>36</v>
      </c>
      <c r="C37" t="s">
        <v>141</v>
      </c>
      <c r="D37" s="2" t="s">
        <v>36</v>
      </c>
      <c r="E37" s="8">
        <f>SUMIFS('Data nguồn'!H:H, 'Data nguồn'!D:D, $D37, 'Data nguồn'!F:F, $B$1, 'Data nguồn'!C:C, E$3)</f>
      </c>
      <c r="F37" s="8">
        <f>SUMIFS('Data nguồn'!H:H, 'Data nguồn'!D:D, $D37, 'Data nguồn'!F:F, $B$1, 'Data nguồn'!C:C, F$3)</f>
      </c>
      <c r="G37" s="8">
        <f>SUMIFS('Data nguồn'!H:H, 'Data nguồn'!D:D, $D37, 'Data nguồn'!F:F, $B$1, 'Data nguồn'!C:C, G$3)</f>
      </c>
      <c r="H37" s="8">
        <f>SUMIFS('Data nguồn'!H:H, 'Data nguồn'!D:D, $D37, 'Data nguồn'!F:F, $B$1, 'Data nguồn'!C:C, H$3)</f>
      </c>
      <c r="I37" s="8">
        <f>SUMIFS('Data nguồn'!H:H, 'Data nguồn'!D:D, $D37, 'Data nguồn'!F:F, $B$1, 'Data nguồn'!C:C, I$3)</f>
      </c>
      <c r="J37" s="8">
        <f>SUMIFS('Data nguồn'!H:H, 'Data nguồn'!D:D, $D37, 'Data nguồn'!F:F, $B$1, 'Data nguồn'!C:C, J$3)</f>
      </c>
      <c r="K37" s="8">
        <f>SUMIFS('Data nguồn'!H:H, 'Data nguồn'!D:D, $D37, 'Data nguồn'!F:F, $B$1, 'Data nguồn'!C:C, K$3)</f>
      </c>
      <c r="L37" s="8">
        <f>SUMIFS('Data nguồn'!H:H, 'Data nguồn'!D:D, $D37, 'Data nguồn'!F:F, $B$1, 'Data nguồn'!C:C, L$3)</f>
      </c>
      <c r="M37" s="8">
        <f>SUMIFS('Data nguồn'!H:H, 'Data nguồn'!D:D, $D37, 'Data nguồn'!F:F, $B$1, 'Data nguồn'!C:C, M$3)</f>
      </c>
      <c r="N37" s="8">
        <f>SUMIFS('Data nguồn'!H:H, 'Data nguồn'!D:D, $D37, 'Data nguồn'!F:F, $B$1, 'Data nguồn'!C:C, N$3)</f>
      </c>
      <c r="O37" s="8">
        <f>SUMIFS('Data nguồn'!H:H, 'Data nguồn'!D:D, $D37, 'Data nguồn'!F:F, $B$1, 'Data nguồn'!C:C, O$3)</f>
      </c>
      <c r="P37" s="8">
        <f>SUMIFS('Data nguồn'!H:H, 'Data nguồn'!D:D, $D37, 'Data nguồn'!F:F, $B$1, 'Data nguồn'!C:C, P$3)</f>
      </c>
      <c r="Q37" s="8">
        <f>SUMIFS('Data nguồn'!H:H, 'Data nguồn'!D:D, $D37, 'Data nguồn'!F:F, $B$1, 'Data nguồn'!C:C, Q$3)</f>
      </c>
      <c r="R37" s="8">
        <f>SUMIFS('Data nguồn'!H:H, 'Data nguồn'!D:D, $D37, 'Data nguồn'!F:F, $B$1, 'Data nguồn'!C:C, R$3)</f>
      </c>
      <c r="S37" s="8">
        <f>SUMIFS('Data nguồn'!H:H, 'Data nguồn'!D:D, $D37, 'Data nguồn'!F:F, $B$1, 'Data nguồn'!C:C, S$3)</f>
      </c>
      <c r="T37" s="8">
        <f>SUMIFS('Data nguồn'!H:H, 'Data nguồn'!D:D, $D37, 'Data nguồn'!F:F, $B$1, 'Data nguồn'!C:C, T$3)</f>
      </c>
      <c r="U37" s="8">
        <f>SUMIFS('Data nguồn'!H:H, 'Data nguồn'!D:D, $D37, 'Data nguồn'!F:F, $B$1, 'Data nguồn'!C:C, U$3)</f>
      </c>
      <c r="W37" s="8">
        <f>SUM(E37:P37)</f>
      </c>
      <c r="X37" s="8">
        <f>SUM(Q37:U37)</f>
      </c>
      <c r="Y37" s="8">
        <f>AVERAGE(S37:U37)</f>
      </c>
      <c r="Z37" s="8">
        <f>AVERAGE(P37:U37)</f>
      </c>
      <c r="AA37" s="8">
        <f>AVERAGE(M37:U37)</f>
      </c>
      <c r="AB37" s="4">
        <f>IFERROR((Y37*2)/(Z37+AA37), 0)</f>
      </c>
      <c r="AC37" s="4">
        <f>IFERROR(X37/SUM(E37:I37), 0)</f>
      </c>
      <c r="AD37" s="4">
        <f>IFERROR(X37/SUM(E37:I37), 0)</f>
      </c>
      <c r="AE37" s="4">
        <f>IFERROR(U37/I37, 0)</f>
      </c>
    </row>
    <row r="38" ht="20" customHeight="1" spans="1:31" x14ac:dyDescent="0.25">
      <c r="A38">
        <v>35</v>
      </c>
      <c r="B38" t="s">
        <v>37</v>
      </c>
      <c r="C38" t="s">
        <v>141</v>
      </c>
      <c r="D38" s="2" t="s">
        <v>37</v>
      </c>
      <c r="E38" s="8">
        <f>SUMIFS('Data nguồn'!H:H, 'Data nguồn'!D:D, $D38, 'Data nguồn'!F:F, $B$1, 'Data nguồn'!C:C, E$3)</f>
      </c>
      <c r="F38" s="8">
        <f>SUMIFS('Data nguồn'!H:H, 'Data nguồn'!D:D, $D38, 'Data nguồn'!F:F, $B$1, 'Data nguồn'!C:C, F$3)</f>
      </c>
      <c r="G38" s="8">
        <f>SUMIFS('Data nguồn'!H:H, 'Data nguồn'!D:D, $D38, 'Data nguồn'!F:F, $B$1, 'Data nguồn'!C:C, G$3)</f>
      </c>
      <c r="H38" s="8">
        <f>SUMIFS('Data nguồn'!H:H, 'Data nguồn'!D:D, $D38, 'Data nguồn'!F:F, $B$1, 'Data nguồn'!C:C, H$3)</f>
      </c>
      <c r="I38" s="8">
        <f>SUMIFS('Data nguồn'!H:H, 'Data nguồn'!D:D, $D38, 'Data nguồn'!F:F, $B$1, 'Data nguồn'!C:C, I$3)</f>
      </c>
      <c r="J38" s="8">
        <f>SUMIFS('Data nguồn'!H:H, 'Data nguồn'!D:D, $D38, 'Data nguồn'!F:F, $B$1, 'Data nguồn'!C:C, J$3)</f>
      </c>
      <c r="K38" s="8">
        <f>SUMIFS('Data nguồn'!H:H, 'Data nguồn'!D:D, $D38, 'Data nguồn'!F:F, $B$1, 'Data nguồn'!C:C, K$3)</f>
      </c>
      <c r="L38" s="8">
        <f>SUMIFS('Data nguồn'!H:H, 'Data nguồn'!D:D, $D38, 'Data nguồn'!F:F, $B$1, 'Data nguồn'!C:C, L$3)</f>
      </c>
      <c r="M38" s="8">
        <f>SUMIFS('Data nguồn'!H:H, 'Data nguồn'!D:D, $D38, 'Data nguồn'!F:F, $B$1, 'Data nguồn'!C:C, M$3)</f>
      </c>
      <c r="N38" s="8">
        <f>SUMIFS('Data nguồn'!H:H, 'Data nguồn'!D:D, $D38, 'Data nguồn'!F:F, $B$1, 'Data nguồn'!C:C, N$3)</f>
      </c>
      <c r="O38" s="8">
        <f>SUMIFS('Data nguồn'!H:H, 'Data nguồn'!D:D, $D38, 'Data nguồn'!F:F, $B$1, 'Data nguồn'!C:C, O$3)</f>
      </c>
      <c r="P38" s="8">
        <f>SUMIFS('Data nguồn'!H:H, 'Data nguồn'!D:D, $D38, 'Data nguồn'!F:F, $B$1, 'Data nguồn'!C:C, P$3)</f>
      </c>
      <c r="Q38" s="8">
        <f>SUMIFS('Data nguồn'!H:H, 'Data nguồn'!D:D, $D38, 'Data nguồn'!F:F, $B$1, 'Data nguồn'!C:C, Q$3)</f>
      </c>
      <c r="R38" s="8">
        <f>SUMIFS('Data nguồn'!H:H, 'Data nguồn'!D:D, $D38, 'Data nguồn'!F:F, $B$1, 'Data nguồn'!C:C, R$3)</f>
      </c>
      <c r="S38" s="8">
        <f>SUMIFS('Data nguồn'!H:H, 'Data nguồn'!D:D, $D38, 'Data nguồn'!F:F, $B$1, 'Data nguồn'!C:C, S$3)</f>
      </c>
      <c r="T38" s="8">
        <f>SUMIFS('Data nguồn'!H:H, 'Data nguồn'!D:D, $D38, 'Data nguồn'!F:F, $B$1, 'Data nguồn'!C:C, T$3)</f>
      </c>
      <c r="U38" s="8">
        <f>SUMIFS('Data nguồn'!H:H, 'Data nguồn'!D:D, $D38, 'Data nguồn'!F:F, $B$1, 'Data nguồn'!C:C, U$3)</f>
      </c>
      <c r="W38" s="8">
        <f>SUM(E38:P38)</f>
      </c>
      <c r="X38" s="8">
        <f>SUM(Q38:U38)</f>
      </c>
      <c r="Y38" s="8">
        <f>AVERAGE(S38:U38)</f>
      </c>
      <c r="Z38" s="8">
        <f>AVERAGE(P38:U38)</f>
      </c>
      <c r="AA38" s="8">
        <f>AVERAGE(M38:U38)</f>
      </c>
      <c r="AB38" s="4">
        <f>IFERROR((Y38*2)/(Z38+AA38), 0)</f>
      </c>
      <c r="AC38" s="4">
        <f>IFERROR(X38/SUM(E38:I38), 0)</f>
      </c>
      <c r="AD38" s="4">
        <f>IFERROR(X38/SUM(E38:I38), 0)</f>
      </c>
      <c r="AE38" s="4">
        <f>IFERROR(U38/I38, 0)</f>
      </c>
    </row>
    <row r="39" ht="20" customHeight="1" spans="1:31" x14ac:dyDescent="0.25">
      <c r="A39">
        <v>36</v>
      </c>
      <c r="B39" t="s">
        <v>38</v>
      </c>
      <c r="C39" t="s">
        <v>141</v>
      </c>
      <c r="D39" s="2" t="s">
        <v>38</v>
      </c>
      <c r="E39" s="8">
        <f>SUMIFS('Data nguồn'!H:H, 'Data nguồn'!D:D, $D39, 'Data nguồn'!F:F, $B$1, 'Data nguồn'!C:C, E$3)</f>
      </c>
      <c r="F39" s="8">
        <f>SUMIFS('Data nguồn'!H:H, 'Data nguồn'!D:D, $D39, 'Data nguồn'!F:F, $B$1, 'Data nguồn'!C:C, F$3)</f>
      </c>
      <c r="G39" s="8">
        <f>SUMIFS('Data nguồn'!H:H, 'Data nguồn'!D:D, $D39, 'Data nguồn'!F:F, $B$1, 'Data nguồn'!C:C, G$3)</f>
      </c>
      <c r="H39" s="8">
        <f>SUMIFS('Data nguồn'!H:H, 'Data nguồn'!D:D, $D39, 'Data nguồn'!F:F, $B$1, 'Data nguồn'!C:C, H$3)</f>
      </c>
      <c r="I39" s="8">
        <f>SUMIFS('Data nguồn'!H:H, 'Data nguồn'!D:D, $D39, 'Data nguồn'!F:F, $B$1, 'Data nguồn'!C:C, I$3)</f>
      </c>
      <c r="J39" s="8">
        <f>SUMIFS('Data nguồn'!H:H, 'Data nguồn'!D:D, $D39, 'Data nguồn'!F:F, $B$1, 'Data nguồn'!C:C, J$3)</f>
      </c>
      <c r="K39" s="8">
        <f>SUMIFS('Data nguồn'!H:H, 'Data nguồn'!D:D, $D39, 'Data nguồn'!F:F, $B$1, 'Data nguồn'!C:C, K$3)</f>
      </c>
      <c r="L39" s="8">
        <f>SUMIFS('Data nguồn'!H:H, 'Data nguồn'!D:D, $D39, 'Data nguồn'!F:F, $B$1, 'Data nguồn'!C:C, L$3)</f>
      </c>
      <c r="M39" s="8">
        <f>SUMIFS('Data nguồn'!H:H, 'Data nguồn'!D:D, $D39, 'Data nguồn'!F:F, $B$1, 'Data nguồn'!C:C, M$3)</f>
      </c>
      <c r="N39" s="8">
        <f>SUMIFS('Data nguồn'!H:H, 'Data nguồn'!D:D, $D39, 'Data nguồn'!F:F, $B$1, 'Data nguồn'!C:C, N$3)</f>
      </c>
      <c r="O39" s="8">
        <f>SUMIFS('Data nguồn'!H:H, 'Data nguồn'!D:D, $D39, 'Data nguồn'!F:F, $B$1, 'Data nguồn'!C:C, O$3)</f>
      </c>
      <c r="P39" s="8">
        <f>SUMIFS('Data nguồn'!H:H, 'Data nguồn'!D:D, $D39, 'Data nguồn'!F:F, $B$1, 'Data nguồn'!C:C, P$3)</f>
      </c>
      <c r="Q39" s="8">
        <f>SUMIFS('Data nguồn'!H:H, 'Data nguồn'!D:D, $D39, 'Data nguồn'!F:F, $B$1, 'Data nguồn'!C:C, Q$3)</f>
      </c>
      <c r="R39" s="8">
        <f>SUMIFS('Data nguồn'!H:H, 'Data nguồn'!D:D, $D39, 'Data nguồn'!F:F, $B$1, 'Data nguồn'!C:C, R$3)</f>
      </c>
      <c r="S39" s="8">
        <f>SUMIFS('Data nguồn'!H:H, 'Data nguồn'!D:D, $D39, 'Data nguồn'!F:F, $B$1, 'Data nguồn'!C:C, S$3)</f>
      </c>
      <c r="T39" s="8">
        <f>SUMIFS('Data nguồn'!H:H, 'Data nguồn'!D:D, $D39, 'Data nguồn'!F:F, $B$1, 'Data nguồn'!C:C, T$3)</f>
      </c>
      <c r="U39" s="8">
        <f>SUMIFS('Data nguồn'!H:H, 'Data nguồn'!D:D, $D39, 'Data nguồn'!F:F, $B$1, 'Data nguồn'!C:C, U$3)</f>
      </c>
      <c r="W39" s="8">
        <f>SUM(E39:P39)</f>
      </c>
      <c r="X39" s="8">
        <f>SUM(Q39:U39)</f>
      </c>
      <c r="Y39" s="8">
        <f>AVERAGE(S39:U39)</f>
      </c>
      <c r="Z39" s="8">
        <f>AVERAGE(P39:U39)</f>
      </c>
      <c r="AA39" s="8">
        <f>AVERAGE(M39:U39)</f>
      </c>
      <c r="AB39" s="4">
        <f>IFERROR((Y39*2)/(Z39+AA39), 0)</f>
      </c>
      <c r="AC39" s="4">
        <f>IFERROR(X39/SUM(E39:I39), 0)</f>
      </c>
      <c r="AD39" s="4">
        <f>IFERROR(X39/SUM(E39:I39), 0)</f>
      </c>
      <c r="AE39" s="4">
        <f>IFERROR(U39/I39, 0)</f>
      </c>
    </row>
    <row r="40" ht="20" customHeight="1" spans="1:31" x14ac:dyDescent="0.25">
      <c r="A40">
        <v>37</v>
      </c>
      <c r="B40" t="s">
        <v>39</v>
      </c>
      <c r="C40" t="s">
        <v>141</v>
      </c>
      <c r="D40" s="2" t="s">
        <v>39</v>
      </c>
      <c r="E40" s="8">
        <f>SUMIFS('Data nguồn'!H:H, 'Data nguồn'!D:D, $D40, 'Data nguồn'!F:F, $B$1, 'Data nguồn'!C:C, E$3)</f>
      </c>
      <c r="F40" s="8">
        <f>SUMIFS('Data nguồn'!H:H, 'Data nguồn'!D:D, $D40, 'Data nguồn'!F:F, $B$1, 'Data nguồn'!C:C, F$3)</f>
      </c>
      <c r="G40" s="8">
        <f>SUMIFS('Data nguồn'!H:H, 'Data nguồn'!D:D, $D40, 'Data nguồn'!F:F, $B$1, 'Data nguồn'!C:C, G$3)</f>
      </c>
      <c r="H40" s="8">
        <f>SUMIFS('Data nguồn'!H:H, 'Data nguồn'!D:D, $D40, 'Data nguồn'!F:F, $B$1, 'Data nguồn'!C:C, H$3)</f>
      </c>
      <c r="I40" s="8">
        <f>SUMIFS('Data nguồn'!H:H, 'Data nguồn'!D:D, $D40, 'Data nguồn'!F:F, $B$1, 'Data nguồn'!C:C, I$3)</f>
      </c>
      <c r="J40" s="8">
        <f>SUMIFS('Data nguồn'!H:H, 'Data nguồn'!D:D, $D40, 'Data nguồn'!F:F, $B$1, 'Data nguồn'!C:C, J$3)</f>
      </c>
      <c r="K40" s="8">
        <f>SUMIFS('Data nguồn'!H:H, 'Data nguồn'!D:D, $D40, 'Data nguồn'!F:F, $B$1, 'Data nguồn'!C:C, K$3)</f>
      </c>
      <c r="L40" s="8">
        <f>SUMIFS('Data nguồn'!H:H, 'Data nguồn'!D:D, $D40, 'Data nguồn'!F:F, $B$1, 'Data nguồn'!C:C, L$3)</f>
      </c>
      <c r="M40" s="8">
        <f>SUMIFS('Data nguồn'!H:H, 'Data nguồn'!D:D, $D40, 'Data nguồn'!F:F, $B$1, 'Data nguồn'!C:C, M$3)</f>
      </c>
      <c r="N40" s="8">
        <f>SUMIFS('Data nguồn'!H:H, 'Data nguồn'!D:D, $D40, 'Data nguồn'!F:F, $B$1, 'Data nguồn'!C:C, N$3)</f>
      </c>
      <c r="O40" s="8">
        <f>SUMIFS('Data nguồn'!H:H, 'Data nguồn'!D:D, $D40, 'Data nguồn'!F:F, $B$1, 'Data nguồn'!C:C, O$3)</f>
      </c>
      <c r="P40" s="8">
        <f>SUMIFS('Data nguồn'!H:H, 'Data nguồn'!D:D, $D40, 'Data nguồn'!F:F, $B$1, 'Data nguồn'!C:C, P$3)</f>
      </c>
      <c r="Q40" s="8">
        <f>SUMIFS('Data nguồn'!H:H, 'Data nguồn'!D:D, $D40, 'Data nguồn'!F:F, $B$1, 'Data nguồn'!C:C, Q$3)</f>
      </c>
      <c r="R40" s="8">
        <f>SUMIFS('Data nguồn'!H:H, 'Data nguồn'!D:D, $D40, 'Data nguồn'!F:F, $B$1, 'Data nguồn'!C:C, R$3)</f>
      </c>
      <c r="S40" s="8">
        <f>SUMIFS('Data nguồn'!H:H, 'Data nguồn'!D:D, $D40, 'Data nguồn'!F:F, $B$1, 'Data nguồn'!C:C, S$3)</f>
      </c>
      <c r="T40" s="8">
        <f>SUMIFS('Data nguồn'!H:H, 'Data nguồn'!D:D, $D40, 'Data nguồn'!F:F, $B$1, 'Data nguồn'!C:C, T$3)</f>
      </c>
      <c r="U40" s="8">
        <f>SUMIFS('Data nguồn'!H:H, 'Data nguồn'!D:D, $D40, 'Data nguồn'!F:F, $B$1, 'Data nguồn'!C:C, U$3)</f>
      </c>
      <c r="W40" s="8">
        <f>SUM(E40:P40)</f>
      </c>
      <c r="X40" s="8">
        <f>SUM(Q40:U40)</f>
      </c>
      <c r="Y40" s="8">
        <f>AVERAGE(S40:U40)</f>
      </c>
      <c r="Z40" s="8">
        <f>AVERAGE(P40:U40)</f>
      </c>
      <c r="AA40" s="8">
        <f>AVERAGE(M40:U40)</f>
      </c>
      <c r="AB40" s="4">
        <f>IFERROR((Y40*2)/(Z40+AA40), 0)</f>
      </c>
      <c r="AC40" s="4">
        <f>IFERROR(X40/SUM(E40:I40), 0)</f>
      </c>
      <c r="AD40" s="4">
        <f>IFERROR(X40/SUM(E40:I40), 0)</f>
      </c>
      <c r="AE40" s="4">
        <f>IFERROR(U40/I40, 0)</f>
      </c>
    </row>
    <row r="41" ht="20" customHeight="1" spans="1:31" x14ac:dyDescent="0.25">
      <c r="A41">
        <v>38</v>
      </c>
      <c r="B41" t="s">
        <v>40</v>
      </c>
      <c r="C41" t="s">
        <v>141</v>
      </c>
      <c r="D41" s="2" t="s">
        <v>40</v>
      </c>
      <c r="E41" s="8">
        <f>SUMIFS('Data nguồn'!H:H, 'Data nguồn'!D:D, $D41, 'Data nguồn'!F:F, $B$1, 'Data nguồn'!C:C, E$3)</f>
      </c>
      <c r="F41" s="8">
        <f>SUMIFS('Data nguồn'!H:H, 'Data nguồn'!D:D, $D41, 'Data nguồn'!F:F, $B$1, 'Data nguồn'!C:C, F$3)</f>
      </c>
      <c r="G41" s="8">
        <f>SUMIFS('Data nguồn'!H:H, 'Data nguồn'!D:D, $D41, 'Data nguồn'!F:F, $B$1, 'Data nguồn'!C:C, G$3)</f>
      </c>
      <c r="H41" s="8">
        <f>SUMIFS('Data nguồn'!H:H, 'Data nguồn'!D:D, $D41, 'Data nguồn'!F:F, $B$1, 'Data nguồn'!C:C, H$3)</f>
      </c>
      <c r="I41" s="8">
        <f>SUMIFS('Data nguồn'!H:H, 'Data nguồn'!D:D, $D41, 'Data nguồn'!F:F, $B$1, 'Data nguồn'!C:C, I$3)</f>
      </c>
      <c r="J41" s="8">
        <f>SUMIFS('Data nguồn'!H:H, 'Data nguồn'!D:D, $D41, 'Data nguồn'!F:F, $B$1, 'Data nguồn'!C:C, J$3)</f>
      </c>
      <c r="K41" s="8">
        <f>SUMIFS('Data nguồn'!H:H, 'Data nguồn'!D:D, $D41, 'Data nguồn'!F:F, $B$1, 'Data nguồn'!C:C, K$3)</f>
      </c>
      <c r="L41" s="8">
        <f>SUMIFS('Data nguồn'!H:H, 'Data nguồn'!D:D, $D41, 'Data nguồn'!F:F, $B$1, 'Data nguồn'!C:C, L$3)</f>
      </c>
      <c r="M41" s="8">
        <f>SUMIFS('Data nguồn'!H:H, 'Data nguồn'!D:D, $D41, 'Data nguồn'!F:F, $B$1, 'Data nguồn'!C:C, M$3)</f>
      </c>
      <c r="N41" s="8">
        <f>SUMIFS('Data nguồn'!H:H, 'Data nguồn'!D:D, $D41, 'Data nguồn'!F:F, $B$1, 'Data nguồn'!C:C, N$3)</f>
      </c>
      <c r="O41" s="8">
        <f>SUMIFS('Data nguồn'!H:H, 'Data nguồn'!D:D, $D41, 'Data nguồn'!F:F, $B$1, 'Data nguồn'!C:C, O$3)</f>
      </c>
      <c r="P41" s="8">
        <f>SUMIFS('Data nguồn'!H:H, 'Data nguồn'!D:D, $D41, 'Data nguồn'!F:F, $B$1, 'Data nguồn'!C:C, P$3)</f>
      </c>
      <c r="Q41" s="8">
        <f>SUMIFS('Data nguồn'!H:H, 'Data nguồn'!D:D, $D41, 'Data nguồn'!F:F, $B$1, 'Data nguồn'!C:C, Q$3)</f>
      </c>
      <c r="R41" s="8">
        <f>SUMIFS('Data nguồn'!H:H, 'Data nguồn'!D:D, $D41, 'Data nguồn'!F:F, $B$1, 'Data nguồn'!C:C, R$3)</f>
      </c>
      <c r="S41" s="8">
        <f>SUMIFS('Data nguồn'!H:H, 'Data nguồn'!D:D, $D41, 'Data nguồn'!F:F, $B$1, 'Data nguồn'!C:C, S$3)</f>
      </c>
      <c r="T41" s="8">
        <f>SUMIFS('Data nguồn'!H:H, 'Data nguồn'!D:D, $D41, 'Data nguồn'!F:F, $B$1, 'Data nguồn'!C:C, T$3)</f>
      </c>
      <c r="U41" s="8">
        <f>SUMIFS('Data nguồn'!H:H, 'Data nguồn'!D:D, $D41, 'Data nguồn'!F:F, $B$1, 'Data nguồn'!C:C, U$3)</f>
      </c>
      <c r="W41" s="8">
        <f>SUM(E41:P41)</f>
      </c>
      <c r="X41" s="8">
        <f>SUM(Q41:U41)</f>
      </c>
      <c r="Y41" s="8">
        <f>AVERAGE(S41:U41)</f>
      </c>
      <c r="Z41" s="8">
        <f>AVERAGE(P41:U41)</f>
      </c>
      <c r="AA41" s="8">
        <f>AVERAGE(M41:U41)</f>
      </c>
      <c r="AB41" s="4">
        <f>IFERROR((Y41*2)/(Z41+AA41), 0)</f>
      </c>
      <c r="AC41" s="4">
        <f>IFERROR(X41/SUM(E41:I41), 0)</f>
      </c>
      <c r="AD41" s="4">
        <f>IFERROR(X41/SUM(E41:I41), 0)</f>
      </c>
      <c r="AE41" s="4">
        <f>IFERROR(U41/I41, 0)</f>
      </c>
    </row>
    <row r="42" ht="20" customHeight="1" spans="1:31" x14ac:dyDescent="0.25">
      <c r="A42">
        <v>39</v>
      </c>
      <c r="B42" t="s">
        <v>41</v>
      </c>
      <c r="C42" t="s">
        <v>141</v>
      </c>
      <c r="D42" s="2" t="s">
        <v>41</v>
      </c>
      <c r="E42" s="8">
        <f>SUMIFS('Data nguồn'!H:H, 'Data nguồn'!D:D, $D42, 'Data nguồn'!F:F, $B$1, 'Data nguồn'!C:C, E$3)</f>
      </c>
      <c r="F42" s="8">
        <f>SUMIFS('Data nguồn'!H:H, 'Data nguồn'!D:D, $D42, 'Data nguồn'!F:F, $B$1, 'Data nguồn'!C:C, F$3)</f>
      </c>
      <c r="G42" s="8">
        <f>SUMIFS('Data nguồn'!H:H, 'Data nguồn'!D:D, $D42, 'Data nguồn'!F:F, $B$1, 'Data nguồn'!C:C, G$3)</f>
      </c>
      <c r="H42" s="8">
        <f>SUMIFS('Data nguồn'!H:H, 'Data nguồn'!D:D, $D42, 'Data nguồn'!F:F, $B$1, 'Data nguồn'!C:C, H$3)</f>
      </c>
      <c r="I42" s="8">
        <f>SUMIFS('Data nguồn'!H:H, 'Data nguồn'!D:D, $D42, 'Data nguồn'!F:F, $B$1, 'Data nguồn'!C:C, I$3)</f>
      </c>
      <c r="J42" s="8">
        <f>SUMIFS('Data nguồn'!H:H, 'Data nguồn'!D:D, $D42, 'Data nguồn'!F:F, $B$1, 'Data nguồn'!C:C, J$3)</f>
      </c>
      <c r="K42" s="8">
        <f>SUMIFS('Data nguồn'!H:H, 'Data nguồn'!D:D, $D42, 'Data nguồn'!F:F, $B$1, 'Data nguồn'!C:C, K$3)</f>
      </c>
      <c r="L42" s="8">
        <f>SUMIFS('Data nguồn'!H:H, 'Data nguồn'!D:D, $D42, 'Data nguồn'!F:F, $B$1, 'Data nguồn'!C:C, L$3)</f>
      </c>
      <c r="M42" s="8">
        <f>SUMIFS('Data nguồn'!H:H, 'Data nguồn'!D:D, $D42, 'Data nguồn'!F:F, $B$1, 'Data nguồn'!C:C, M$3)</f>
      </c>
      <c r="N42" s="8">
        <f>SUMIFS('Data nguồn'!H:H, 'Data nguồn'!D:D, $D42, 'Data nguồn'!F:F, $B$1, 'Data nguồn'!C:C, N$3)</f>
      </c>
      <c r="O42" s="8">
        <f>SUMIFS('Data nguồn'!H:H, 'Data nguồn'!D:D, $D42, 'Data nguồn'!F:F, $B$1, 'Data nguồn'!C:C, O$3)</f>
      </c>
      <c r="P42" s="8">
        <f>SUMIFS('Data nguồn'!H:H, 'Data nguồn'!D:D, $D42, 'Data nguồn'!F:F, $B$1, 'Data nguồn'!C:C, P$3)</f>
      </c>
      <c r="Q42" s="8">
        <f>SUMIFS('Data nguồn'!H:H, 'Data nguồn'!D:D, $D42, 'Data nguồn'!F:F, $B$1, 'Data nguồn'!C:C, Q$3)</f>
      </c>
      <c r="R42" s="8">
        <f>SUMIFS('Data nguồn'!H:H, 'Data nguồn'!D:D, $D42, 'Data nguồn'!F:F, $B$1, 'Data nguồn'!C:C, R$3)</f>
      </c>
      <c r="S42" s="8">
        <f>SUMIFS('Data nguồn'!H:H, 'Data nguồn'!D:D, $D42, 'Data nguồn'!F:F, $B$1, 'Data nguồn'!C:C, S$3)</f>
      </c>
      <c r="T42" s="8">
        <f>SUMIFS('Data nguồn'!H:H, 'Data nguồn'!D:D, $D42, 'Data nguồn'!F:F, $B$1, 'Data nguồn'!C:C, T$3)</f>
      </c>
      <c r="U42" s="8">
        <f>SUMIFS('Data nguồn'!H:H, 'Data nguồn'!D:D, $D42, 'Data nguồn'!F:F, $B$1, 'Data nguồn'!C:C, U$3)</f>
      </c>
      <c r="W42" s="8">
        <f>SUM(E42:P42)</f>
      </c>
      <c r="X42" s="8">
        <f>SUM(Q42:U42)</f>
      </c>
      <c r="Y42" s="8">
        <f>AVERAGE(S42:U42)</f>
      </c>
      <c r="Z42" s="8">
        <f>AVERAGE(P42:U42)</f>
      </c>
      <c r="AA42" s="8">
        <f>AVERAGE(M42:U42)</f>
      </c>
      <c r="AB42" s="4">
        <f>IFERROR((Y42*2)/(Z42+AA42), 0)</f>
      </c>
      <c r="AC42" s="4">
        <f>IFERROR(X42/SUM(E42:I42), 0)</f>
      </c>
      <c r="AD42" s="4">
        <f>IFERROR(X42/SUM(E42:I42), 0)</f>
      </c>
      <c r="AE42" s="4">
        <f>IFERROR(U42/I42, 0)</f>
      </c>
    </row>
    <row r="43" ht="20" customHeight="1" spans="1:31" x14ac:dyDescent="0.25">
      <c r="A43">
        <v>40</v>
      </c>
      <c r="B43" t="s">
        <v>42</v>
      </c>
      <c r="C43" t="s">
        <v>141</v>
      </c>
      <c r="D43" s="2" t="s">
        <v>42</v>
      </c>
      <c r="E43" s="8">
        <f>SUMIFS('Data nguồn'!H:H, 'Data nguồn'!D:D, $D43, 'Data nguồn'!F:F, $B$1, 'Data nguồn'!C:C, E$3)</f>
      </c>
      <c r="F43" s="8">
        <f>SUMIFS('Data nguồn'!H:H, 'Data nguồn'!D:D, $D43, 'Data nguồn'!F:F, $B$1, 'Data nguồn'!C:C, F$3)</f>
      </c>
      <c r="G43" s="8">
        <f>SUMIFS('Data nguồn'!H:H, 'Data nguồn'!D:D, $D43, 'Data nguồn'!F:F, $B$1, 'Data nguồn'!C:C, G$3)</f>
      </c>
      <c r="H43" s="8">
        <f>SUMIFS('Data nguồn'!H:H, 'Data nguồn'!D:D, $D43, 'Data nguồn'!F:F, $B$1, 'Data nguồn'!C:C, H$3)</f>
      </c>
      <c r="I43" s="8">
        <f>SUMIFS('Data nguồn'!H:H, 'Data nguồn'!D:D, $D43, 'Data nguồn'!F:F, $B$1, 'Data nguồn'!C:C, I$3)</f>
      </c>
      <c r="J43" s="8">
        <f>SUMIFS('Data nguồn'!H:H, 'Data nguồn'!D:D, $D43, 'Data nguồn'!F:F, $B$1, 'Data nguồn'!C:C, J$3)</f>
      </c>
      <c r="K43" s="8">
        <f>SUMIFS('Data nguồn'!H:H, 'Data nguồn'!D:D, $D43, 'Data nguồn'!F:F, $B$1, 'Data nguồn'!C:C, K$3)</f>
      </c>
      <c r="L43" s="8">
        <f>SUMIFS('Data nguồn'!H:H, 'Data nguồn'!D:D, $D43, 'Data nguồn'!F:F, $B$1, 'Data nguồn'!C:C, L$3)</f>
      </c>
      <c r="M43" s="8">
        <f>SUMIFS('Data nguồn'!H:H, 'Data nguồn'!D:D, $D43, 'Data nguồn'!F:F, $B$1, 'Data nguồn'!C:C, M$3)</f>
      </c>
      <c r="N43" s="8">
        <f>SUMIFS('Data nguồn'!H:H, 'Data nguồn'!D:D, $D43, 'Data nguồn'!F:F, $B$1, 'Data nguồn'!C:C, N$3)</f>
      </c>
      <c r="O43" s="8">
        <f>SUMIFS('Data nguồn'!H:H, 'Data nguồn'!D:D, $D43, 'Data nguồn'!F:F, $B$1, 'Data nguồn'!C:C, O$3)</f>
      </c>
      <c r="P43" s="8">
        <f>SUMIFS('Data nguồn'!H:H, 'Data nguồn'!D:D, $D43, 'Data nguồn'!F:F, $B$1, 'Data nguồn'!C:C, P$3)</f>
      </c>
      <c r="Q43" s="8">
        <f>SUMIFS('Data nguồn'!H:H, 'Data nguồn'!D:D, $D43, 'Data nguồn'!F:F, $B$1, 'Data nguồn'!C:C, Q$3)</f>
      </c>
      <c r="R43" s="8">
        <f>SUMIFS('Data nguồn'!H:H, 'Data nguồn'!D:D, $D43, 'Data nguồn'!F:F, $B$1, 'Data nguồn'!C:C, R$3)</f>
      </c>
      <c r="S43" s="8">
        <f>SUMIFS('Data nguồn'!H:H, 'Data nguồn'!D:D, $D43, 'Data nguồn'!F:F, $B$1, 'Data nguồn'!C:C, S$3)</f>
      </c>
      <c r="T43" s="8">
        <f>SUMIFS('Data nguồn'!H:H, 'Data nguồn'!D:D, $D43, 'Data nguồn'!F:F, $B$1, 'Data nguồn'!C:C, T$3)</f>
      </c>
      <c r="U43" s="8">
        <f>SUMIFS('Data nguồn'!H:H, 'Data nguồn'!D:D, $D43, 'Data nguồn'!F:F, $B$1, 'Data nguồn'!C:C, U$3)</f>
      </c>
      <c r="W43" s="8">
        <f>SUM(E43:P43)</f>
      </c>
      <c r="X43" s="8">
        <f>SUM(Q43:U43)</f>
      </c>
      <c r="Y43" s="8">
        <f>AVERAGE(S43:U43)</f>
      </c>
      <c r="Z43" s="8">
        <f>AVERAGE(P43:U43)</f>
      </c>
      <c r="AA43" s="8">
        <f>AVERAGE(M43:U43)</f>
      </c>
      <c r="AB43" s="4">
        <f>IFERROR((Y43*2)/(Z43+AA43), 0)</f>
      </c>
      <c r="AC43" s="4">
        <f>IFERROR(X43/SUM(E43:I43), 0)</f>
      </c>
      <c r="AD43" s="4">
        <f>IFERROR(X43/SUM(E43:I43), 0)</f>
      </c>
      <c r="AE43" s="4">
        <f>IFERROR(U43/I43, 0)</f>
      </c>
    </row>
    <row r="44" ht="20" customHeight="1" spans="1:31" x14ac:dyDescent="0.25">
      <c r="A44">
        <v>41</v>
      </c>
      <c r="B44" t="s">
        <v>43</v>
      </c>
      <c r="C44" t="s">
        <v>141</v>
      </c>
      <c r="D44" s="2" t="s">
        <v>43</v>
      </c>
      <c r="E44" s="8">
        <f>SUMIFS('Data nguồn'!H:H, 'Data nguồn'!D:D, $D44, 'Data nguồn'!F:F, $B$1, 'Data nguồn'!C:C, E$3)</f>
      </c>
      <c r="F44" s="8">
        <f>SUMIFS('Data nguồn'!H:H, 'Data nguồn'!D:D, $D44, 'Data nguồn'!F:F, $B$1, 'Data nguồn'!C:C, F$3)</f>
      </c>
      <c r="G44" s="8">
        <f>SUMIFS('Data nguồn'!H:H, 'Data nguồn'!D:D, $D44, 'Data nguồn'!F:F, $B$1, 'Data nguồn'!C:C, G$3)</f>
      </c>
      <c r="H44" s="8">
        <f>SUMIFS('Data nguồn'!H:H, 'Data nguồn'!D:D, $D44, 'Data nguồn'!F:F, $B$1, 'Data nguồn'!C:C, H$3)</f>
      </c>
      <c r="I44" s="8">
        <f>SUMIFS('Data nguồn'!H:H, 'Data nguồn'!D:D, $D44, 'Data nguồn'!F:F, $B$1, 'Data nguồn'!C:C, I$3)</f>
      </c>
      <c r="J44" s="8">
        <f>SUMIFS('Data nguồn'!H:H, 'Data nguồn'!D:D, $D44, 'Data nguồn'!F:F, $B$1, 'Data nguồn'!C:C, J$3)</f>
      </c>
      <c r="K44" s="8">
        <f>SUMIFS('Data nguồn'!H:H, 'Data nguồn'!D:D, $D44, 'Data nguồn'!F:F, $B$1, 'Data nguồn'!C:C, K$3)</f>
      </c>
      <c r="L44" s="8">
        <f>SUMIFS('Data nguồn'!H:H, 'Data nguồn'!D:D, $D44, 'Data nguồn'!F:F, $B$1, 'Data nguồn'!C:C, L$3)</f>
      </c>
      <c r="M44" s="8">
        <f>SUMIFS('Data nguồn'!H:H, 'Data nguồn'!D:D, $D44, 'Data nguồn'!F:F, $B$1, 'Data nguồn'!C:C, M$3)</f>
      </c>
      <c r="N44" s="8">
        <f>SUMIFS('Data nguồn'!H:H, 'Data nguồn'!D:D, $D44, 'Data nguồn'!F:F, $B$1, 'Data nguồn'!C:C, N$3)</f>
      </c>
      <c r="O44" s="8">
        <f>SUMIFS('Data nguồn'!H:H, 'Data nguồn'!D:D, $D44, 'Data nguồn'!F:F, $B$1, 'Data nguồn'!C:C, O$3)</f>
      </c>
      <c r="P44" s="8">
        <f>SUMIFS('Data nguồn'!H:H, 'Data nguồn'!D:D, $D44, 'Data nguồn'!F:F, $B$1, 'Data nguồn'!C:C, P$3)</f>
      </c>
      <c r="Q44" s="8">
        <f>SUMIFS('Data nguồn'!H:H, 'Data nguồn'!D:D, $D44, 'Data nguồn'!F:F, $B$1, 'Data nguồn'!C:C, Q$3)</f>
      </c>
      <c r="R44" s="8">
        <f>SUMIFS('Data nguồn'!H:H, 'Data nguồn'!D:D, $D44, 'Data nguồn'!F:F, $B$1, 'Data nguồn'!C:C, R$3)</f>
      </c>
      <c r="S44" s="8">
        <f>SUMIFS('Data nguồn'!H:H, 'Data nguồn'!D:D, $D44, 'Data nguồn'!F:F, $B$1, 'Data nguồn'!C:C, S$3)</f>
      </c>
      <c r="T44" s="8">
        <f>SUMIFS('Data nguồn'!H:H, 'Data nguồn'!D:D, $D44, 'Data nguồn'!F:F, $B$1, 'Data nguồn'!C:C, T$3)</f>
      </c>
      <c r="U44" s="8">
        <f>SUMIFS('Data nguồn'!H:H, 'Data nguồn'!D:D, $D44, 'Data nguồn'!F:F, $B$1, 'Data nguồn'!C:C, U$3)</f>
      </c>
      <c r="W44" s="8">
        <f>SUM(E44:P44)</f>
      </c>
      <c r="X44" s="8">
        <f>SUM(Q44:U44)</f>
      </c>
      <c r="Y44" s="8">
        <f>AVERAGE(S44:U44)</f>
      </c>
      <c r="Z44" s="8">
        <f>AVERAGE(P44:U44)</f>
      </c>
      <c r="AA44" s="8">
        <f>AVERAGE(M44:U44)</f>
      </c>
      <c r="AB44" s="4">
        <f>IFERROR((Y44*2)/(Z44+AA44), 0)</f>
      </c>
      <c r="AC44" s="4">
        <f>IFERROR(X44/SUM(E44:I44), 0)</f>
      </c>
      <c r="AD44" s="4">
        <f>IFERROR(X44/SUM(E44:I44), 0)</f>
      </c>
      <c r="AE44" s="4">
        <f>IFERROR(U44/I44, 0)</f>
      </c>
    </row>
    <row r="45" ht="20" customHeight="1" spans="1:31" x14ac:dyDescent="0.25">
      <c r="A45">
        <v>42</v>
      </c>
      <c r="B45" t="s">
        <v>44</v>
      </c>
      <c r="C45" t="s">
        <v>141</v>
      </c>
      <c r="D45" s="2" t="s">
        <v>44</v>
      </c>
      <c r="E45" s="8">
        <f>SUMIFS('Data nguồn'!H:H, 'Data nguồn'!D:D, $D45, 'Data nguồn'!F:F, $B$1, 'Data nguồn'!C:C, E$3)</f>
      </c>
      <c r="F45" s="8">
        <f>SUMIFS('Data nguồn'!H:H, 'Data nguồn'!D:D, $D45, 'Data nguồn'!F:F, $B$1, 'Data nguồn'!C:C, F$3)</f>
      </c>
      <c r="G45" s="8">
        <f>SUMIFS('Data nguồn'!H:H, 'Data nguồn'!D:D, $D45, 'Data nguồn'!F:F, $B$1, 'Data nguồn'!C:C, G$3)</f>
      </c>
      <c r="H45" s="8">
        <f>SUMIFS('Data nguồn'!H:H, 'Data nguồn'!D:D, $D45, 'Data nguồn'!F:F, $B$1, 'Data nguồn'!C:C, H$3)</f>
      </c>
      <c r="I45" s="8">
        <f>SUMIFS('Data nguồn'!H:H, 'Data nguồn'!D:D, $D45, 'Data nguồn'!F:F, $B$1, 'Data nguồn'!C:C, I$3)</f>
      </c>
      <c r="J45" s="8">
        <f>SUMIFS('Data nguồn'!H:H, 'Data nguồn'!D:D, $D45, 'Data nguồn'!F:F, $B$1, 'Data nguồn'!C:C, J$3)</f>
      </c>
      <c r="K45" s="8">
        <f>SUMIFS('Data nguồn'!H:H, 'Data nguồn'!D:D, $D45, 'Data nguồn'!F:F, $B$1, 'Data nguồn'!C:C, K$3)</f>
      </c>
      <c r="L45" s="8">
        <f>SUMIFS('Data nguồn'!H:H, 'Data nguồn'!D:D, $D45, 'Data nguồn'!F:F, $B$1, 'Data nguồn'!C:C, L$3)</f>
      </c>
      <c r="M45" s="8">
        <f>SUMIFS('Data nguồn'!H:H, 'Data nguồn'!D:D, $D45, 'Data nguồn'!F:F, $B$1, 'Data nguồn'!C:C, M$3)</f>
      </c>
      <c r="N45" s="8">
        <f>SUMIFS('Data nguồn'!H:H, 'Data nguồn'!D:D, $D45, 'Data nguồn'!F:F, $B$1, 'Data nguồn'!C:C, N$3)</f>
      </c>
      <c r="O45" s="8">
        <f>SUMIFS('Data nguồn'!H:H, 'Data nguồn'!D:D, $D45, 'Data nguồn'!F:F, $B$1, 'Data nguồn'!C:C, O$3)</f>
      </c>
      <c r="P45" s="8">
        <f>SUMIFS('Data nguồn'!H:H, 'Data nguồn'!D:D, $D45, 'Data nguồn'!F:F, $B$1, 'Data nguồn'!C:C, P$3)</f>
      </c>
      <c r="Q45" s="8">
        <f>SUMIFS('Data nguồn'!H:H, 'Data nguồn'!D:D, $D45, 'Data nguồn'!F:F, $B$1, 'Data nguồn'!C:C, Q$3)</f>
      </c>
      <c r="R45" s="8">
        <f>SUMIFS('Data nguồn'!H:H, 'Data nguồn'!D:D, $D45, 'Data nguồn'!F:F, $B$1, 'Data nguồn'!C:C, R$3)</f>
      </c>
      <c r="S45" s="8">
        <f>SUMIFS('Data nguồn'!H:H, 'Data nguồn'!D:D, $D45, 'Data nguồn'!F:F, $B$1, 'Data nguồn'!C:C, S$3)</f>
      </c>
      <c r="T45" s="8">
        <f>SUMIFS('Data nguồn'!H:H, 'Data nguồn'!D:D, $D45, 'Data nguồn'!F:F, $B$1, 'Data nguồn'!C:C, T$3)</f>
      </c>
      <c r="U45" s="8">
        <f>SUMIFS('Data nguồn'!H:H, 'Data nguồn'!D:D, $D45, 'Data nguồn'!F:F, $B$1, 'Data nguồn'!C:C, U$3)</f>
      </c>
      <c r="W45" s="8">
        <f>SUM(E45:P45)</f>
      </c>
      <c r="X45" s="8">
        <f>SUM(Q45:U45)</f>
      </c>
      <c r="Y45" s="8">
        <f>AVERAGE(S45:U45)</f>
      </c>
      <c r="Z45" s="8">
        <f>AVERAGE(P45:U45)</f>
      </c>
      <c r="AA45" s="8">
        <f>AVERAGE(M45:U45)</f>
      </c>
      <c r="AB45" s="4">
        <f>IFERROR((Y45*2)/(Z45+AA45), 0)</f>
      </c>
      <c r="AC45" s="4">
        <f>IFERROR(X45/SUM(E45:I45), 0)</f>
      </c>
      <c r="AD45" s="4">
        <f>IFERROR(X45/SUM(E45:I45), 0)</f>
      </c>
      <c r="AE45" s="4">
        <f>IFERROR(U45/I45, 0)</f>
      </c>
    </row>
    <row r="46" ht="20" customHeight="1" spans="1:31" x14ac:dyDescent="0.25">
      <c r="A46">
        <v>43</v>
      </c>
      <c r="B46" t="s">
        <v>45</v>
      </c>
      <c r="C46" t="s">
        <v>141</v>
      </c>
      <c r="D46" s="2" t="s">
        <v>45</v>
      </c>
      <c r="E46" s="8">
        <f>SUMIFS('Data nguồn'!H:H, 'Data nguồn'!D:D, $D46, 'Data nguồn'!F:F, $B$1, 'Data nguồn'!C:C, E$3)</f>
      </c>
      <c r="F46" s="8">
        <f>SUMIFS('Data nguồn'!H:H, 'Data nguồn'!D:D, $D46, 'Data nguồn'!F:F, $B$1, 'Data nguồn'!C:C, F$3)</f>
      </c>
      <c r="G46" s="8">
        <f>SUMIFS('Data nguồn'!H:H, 'Data nguồn'!D:D, $D46, 'Data nguồn'!F:F, $B$1, 'Data nguồn'!C:C, G$3)</f>
      </c>
      <c r="H46" s="8">
        <f>SUMIFS('Data nguồn'!H:H, 'Data nguồn'!D:D, $D46, 'Data nguồn'!F:F, $B$1, 'Data nguồn'!C:C, H$3)</f>
      </c>
      <c r="I46" s="8">
        <f>SUMIFS('Data nguồn'!H:H, 'Data nguồn'!D:D, $D46, 'Data nguồn'!F:F, $B$1, 'Data nguồn'!C:C, I$3)</f>
      </c>
      <c r="J46" s="8">
        <f>SUMIFS('Data nguồn'!H:H, 'Data nguồn'!D:D, $D46, 'Data nguồn'!F:F, $B$1, 'Data nguồn'!C:C, J$3)</f>
      </c>
      <c r="K46" s="8">
        <f>SUMIFS('Data nguồn'!H:H, 'Data nguồn'!D:D, $D46, 'Data nguồn'!F:F, $B$1, 'Data nguồn'!C:C, K$3)</f>
      </c>
      <c r="L46" s="8">
        <f>SUMIFS('Data nguồn'!H:H, 'Data nguồn'!D:D, $D46, 'Data nguồn'!F:F, $B$1, 'Data nguồn'!C:C, L$3)</f>
      </c>
      <c r="M46" s="8">
        <f>SUMIFS('Data nguồn'!H:H, 'Data nguồn'!D:D, $D46, 'Data nguồn'!F:F, $B$1, 'Data nguồn'!C:C, M$3)</f>
      </c>
      <c r="N46" s="8">
        <f>SUMIFS('Data nguồn'!H:H, 'Data nguồn'!D:D, $D46, 'Data nguồn'!F:F, $B$1, 'Data nguồn'!C:C, N$3)</f>
      </c>
      <c r="O46" s="8">
        <f>SUMIFS('Data nguồn'!H:H, 'Data nguồn'!D:D, $D46, 'Data nguồn'!F:F, $B$1, 'Data nguồn'!C:C, O$3)</f>
      </c>
      <c r="P46" s="8">
        <f>SUMIFS('Data nguồn'!H:H, 'Data nguồn'!D:D, $D46, 'Data nguồn'!F:F, $B$1, 'Data nguồn'!C:C, P$3)</f>
      </c>
      <c r="Q46" s="8">
        <f>SUMIFS('Data nguồn'!H:H, 'Data nguồn'!D:D, $D46, 'Data nguồn'!F:F, $B$1, 'Data nguồn'!C:C, Q$3)</f>
      </c>
      <c r="R46" s="8">
        <f>SUMIFS('Data nguồn'!H:H, 'Data nguồn'!D:D, $D46, 'Data nguồn'!F:F, $B$1, 'Data nguồn'!C:C, R$3)</f>
      </c>
      <c r="S46" s="8">
        <f>SUMIFS('Data nguồn'!H:H, 'Data nguồn'!D:D, $D46, 'Data nguồn'!F:F, $B$1, 'Data nguồn'!C:C, S$3)</f>
      </c>
      <c r="T46" s="8">
        <f>SUMIFS('Data nguồn'!H:H, 'Data nguồn'!D:D, $D46, 'Data nguồn'!F:F, $B$1, 'Data nguồn'!C:C, T$3)</f>
      </c>
      <c r="U46" s="8">
        <f>SUMIFS('Data nguồn'!H:H, 'Data nguồn'!D:D, $D46, 'Data nguồn'!F:F, $B$1, 'Data nguồn'!C:C, U$3)</f>
      </c>
      <c r="W46" s="8">
        <f>SUM(E46:P46)</f>
      </c>
      <c r="X46" s="8">
        <f>SUM(Q46:U46)</f>
      </c>
      <c r="Y46" s="8">
        <f>AVERAGE(S46:U46)</f>
      </c>
      <c r="Z46" s="8">
        <f>AVERAGE(P46:U46)</f>
      </c>
      <c r="AA46" s="8">
        <f>AVERAGE(M46:U46)</f>
      </c>
      <c r="AB46" s="4">
        <f>IFERROR((Y46*2)/(Z46+AA46), 0)</f>
      </c>
      <c r="AC46" s="4">
        <f>IFERROR(X46/SUM(E46:I46), 0)</f>
      </c>
      <c r="AD46" s="4">
        <f>IFERROR(X46/SUM(E46:I46), 0)</f>
      </c>
      <c r="AE46" s="4">
        <f>IFERROR(U46/I46, 0)</f>
      </c>
    </row>
    <row r="47" ht="20" customHeight="1" spans="1:31" x14ac:dyDescent="0.25">
      <c r="A47">
        <v>44</v>
      </c>
      <c r="B47" t="s">
        <v>46</v>
      </c>
      <c r="C47" t="s">
        <v>141</v>
      </c>
      <c r="D47" s="2" t="s">
        <v>46</v>
      </c>
      <c r="E47" s="8">
        <f>SUMIFS('Data nguồn'!H:H, 'Data nguồn'!D:D, $D47, 'Data nguồn'!F:F, $B$1, 'Data nguồn'!C:C, E$3)</f>
      </c>
      <c r="F47" s="8">
        <f>SUMIFS('Data nguồn'!H:H, 'Data nguồn'!D:D, $D47, 'Data nguồn'!F:F, $B$1, 'Data nguồn'!C:C, F$3)</f>
      </c>
      <c r="G47" s="8">
        <f>SUMIFS('Data nguồn'!H:H, 'Data nguồn'!D:D, $D47, 'Data nguồn'!F:F, $B$1, 'Data nguồn'!C:C, G$3)</f>
      </c>
      <c r="H47" s="8">
        <f>SUMIFS('Data nguồn'!H:H, 'Data nguồn'!D:D, $D47, 'Data nguồn'!F:F, $B$1, 'Data nguồn'!C:C, H$3)</f>
      </c>
      <c r="I47" s="8">
        <f>SUMIFS('Data nguồn'!H:H, 'Data nguồn'!D:D, $D47, 'Data nguồn'!F:F, $B$1, 'Data nguồn'!C:C, I$3)</f>
      </c>
      <c r="J47" s="8">
        <f>SUMIFS('Data nguồn'!H:H, 'Data nguồn'!D:D, $D47, 'Data nguồn'!F:F, $B$1, 'Data nguồn'!C:C, J$3)</f>
      </c>
      <c r="K47" s="8">
        <f>SUMIFS('Data nguồn'!H:H, 'Data nguồn'!D:D, $D47, 'Data nguồn'!F:F, $B$1, 'Data nguồn'!C:C, K$3)</f>
      </c>
      <c r="L47" s="8">
        <f>SUMIFS('Data nguồn'!H:H, 'Data nguồn'!D:D, $D47, 'Data nguồn'!F:F, $B$1, 'Data nguồn'!C:C, L$3)</f>
      </c>
      <c r="M47" s="8">
        <f>SUMIFS('Data nguồn'!H:H, 'Data nguồn'!D:D, $D47, 'Data nguồn'!F:F, $B$1, 'Data nguồn'!C:C, M$3)</f>
      </c>
      <c r="N47" s="8">
        <f>SUMIFS('Data nguồn'!H:H, 'Data nguồn'!D:D, $D47, 'Data nguồn'!F:F, $B$1, 'Data nguồn'!C:C, N$3)</f>
      </c>
      <c r="O47" s="8">
        <f>SUMIFS('Data nguồn'!H:H, 'Data nguồn'!D:D, $D47, 'Data nguồn'!F:F, $B$1, 'Data nguồn'!C:C, O$3)</f>
      </c>
      <c r="P47" s="8">
        <f>SUMIFS('Data nguồn'!H:H, 'Data nguồn'!D:D, $D47, 'Data nguồn'!F:F, $B$1, 'Data nguồn'!C:C, P$3)</f>
      </c>
      <c r="Q47" s="8">
        <f>SUMIFS('Data nguồn'!H:H, 'Data nguồn'!D:D, $D47, 'Data nguồn'!F:F, $B$1, 'Data nguồn'!C:C, Q$3)</f>
      </c>
      <c r="R47" s="8">
        <f>SUMIFS('Data nguồn'!H:H, 'Data nguồn'!D:D, $D47, 'Data nguồn'!F:F, $B$1, 'Data nguồn'!C:C, R$3)</f>
      </c>
      <c r="S47" s="8">
        <f>SUMIFS('Data nguồn'!H:H, 'Data nguồn'!D:D, $D47, 'Data nguồn'!F:F, $B$1, 'Data nguồn'!C:C, S$3)</f>
      </c>
      <c r="T47" s="8">
        <f>SUMIFS('Data nguồn'!H:H, 'Data nguồn'!D:D, $D47, 'Data nguồn'!F:F, $B$1, 'Data nguồn'!C:C, T$3)</f>
      </c>
      <c r="U47" s="8">
        <f>SUMIFS('Data nguồn'!H:H, 'Data nguồn'!D:D, $D47, 'Data nguồn'!F:F, $B$1, 'Data nguồn'!C:C, U$3)</f>
      </c>
      <c r="W47" s="8">
        <f>SUM(E47:P47)</f>
      </c>
      <c r="X47" s="8">
        <f>SUM(Q47:U47)</f>
      </c>
      <c r="Y47" s="8">
        <f>AVERAGE(S47:U47)</f>
      </c>
      <c r="Z47" s="8">
        <f>AVERAGE(P47:U47)</f>
      </c>
      <c r="AA47" s="8">
        <f>AVERAGE(M47:U47)</f>
      </c>
      <c r="AB47" s="4">
        <f>IFERROR((Y47*2)/(Z47+AA47), 0)</f>
      </c>
      <c r="AC47" s="4">
        <f>IFERROR(X47/SUM(E47:I47), 0)</f>
      </c>
      <c r="AD47" s="4">
        <f>IFERROR(X47/SUM(E47:I47), 0)</f>
      </c>
      <c r="AE47" s="4">
        <f>IFERROR(U47/I47, 0)</f>
      </c>
    </row>
    <row r="48" ht="20" customHeight="1" spans="1:31" x14ac:dyDescent="0.25">
      <c r="A48">
        <v>45</v>
      </c>
      <c r="B48" t="s">
        <v>47</v>
      </c>
      <c r="C48" t="s">
        <v>141</v>
      </c>
      <c r="D48" s="2" t="s">
        <v>47</v>
      </c>
      <c r="E48" s="8">
        <f>SUMIFS('Data nguồn'!H:H, 'Data nguồn'!D:D, $D48, 'Data nguồn'!F:F, $B$1, 'Data nguồn'!C:C, E$3)</f>
      </c>
      <c r="F48" s="8">
        <f>SUMIFS('Data nguồn'!H:H, 'Data nguồn'!D:D, $D48, 'Data nguồn'!F:F, $B$1, 'Data nguồn'!C:C, F$3)</f>
      </c>
      <c r="G48" s="8">
        <f>SUMIFS('Data nguồn'!H:H, 'Data nguồn'!D:D, $D48, 'Data nguồn'!F:F, $B$1, 'Data nguồn'!C:C, G$3)</f>
      </c>
      <c r="H48" s="8">
        <f>SUMIFS('Data nguồn'!H:H, 'Data nguồn'!D:D, $D48, 'Data nguồn'!F:F, $B$1, 'Data nguồn'!C:C, H$3)</f>
      </c>
      <c r="I48" s="8">
        <f>SUMIFS('Data nguồn'!H:H, 'Data nguồn'!D:D, $D48, 'Data nguồn'!F:F, $B$1, 'Data nguồn'!C:C, I$3)</f>
      </c>
      <c r="J48" s="8">
        <f>SUMIFS('Data nguồn'!H:H, 'Data nguồn'!D:D, $D48, 'Data nguồn'!F:F, $B$1, 'Data nguồn'!C:C, J$3)</f>
      </c>
      <c r="K48" s="8">
        <f>SUMIFS('Data nguồn'!H:H, 'Data nguồn'!D:D, $D48, 'Data nguồn'!F:F, $B$1, 'Data nguồn'!C:C, K$3)</f>
      </c>
      <c r="L48" s="8">
        <f>SUMIFS('Data nguồn'!H:H, 'Data nguồn'!D:D, $D48, 'Data nguồn'!F:F, $B$1, 'Data nguồn'!C:C, L$3)</f>
      </c>
      <c r="M48" s="8">
        <f>SUMIFS('Data nguồn'!H:H, 'Data nguồn'!D:D, $D48, 'Data nguồn'!F:F, $B$1, 'Data nguồn'!C:C, M$3)</f>
      </c>
      <c r="N48" s="8">
        <f>SUMIFS('Data nguồn'!H:H, 'Data nguồn'!D:D, $D48, 'Data nguồn'!F:F, $B$1, 'Data nguồn'!C:C, N$3)</f>
      </c>
      <c r="O48" s="8">
        <f>SUMIFS('Data nguồn'!H:H, 'Data nguồn'!D:D, $D48, 'Data nguồn'!F:F, $B$1, 'Data nguồn'!C:C, O$3)</f>
      </c>
      <c r="P48" s="8">
        <f>SUMIFS('Data nguồn'!H:H, 'Data nguồn'!D:D, $D48, 'Data nguồn'!F:F, $B$1, 'Data nguồn'!C:C, P$3)</f>
      </c>
      <c r="Q48" s="8">
        <f>SUMIFS('Data nguồn'!H:H, 'Data nguồn'!D:D, $D48, 'Data nguồn'!F:F, $B$1, 'Data nguồn'!C:C, Q$3)</f>
      </c>
      <c r="R48" s="8">
        <f>SUMIFS('Data nguồn'!H:H, 'Data nguồn'!D:D, $D48, 'Data nguồn'!F:F, $B$1, 'Data nguồn'!C:C, R$3)</f>
      </c>
      <c r="S48" s="8">
        <f>SUMIFS('Data nguồn'!H:H, 'Data nguồn'!D:D, $D48, 'Data nguồn'!F:F, $B$1, 'Data nguồn'!C:C, S$3)</f>
      </c>
      <c r="T48" s="8">
        <f>SUMIFS('Data nguồn'!H:H, 'Data nguồn'!D:D, $D48, 'Data nguồn'!F:F, $B$1, 'Data nguồn'!C:C, T$3)</f>
      </c>
      <c r="U48" s="8">
        <f>SUMIFS('Data nguồn'!H:H, 'Data nguồn'!D:D, $D48, 'Data nguồn'!F:F, $B$1, 'Data nguồn'!C:C, U$3)</f>
      </c>
      <c r="W48" s="8">
        <f>SUM(E48:P48)</f>
      </c>
      <c r="X48" s="8">
        <f>SUM(Q48:U48)</f>
      </c>
      <c r="Y48" s="8">
        <f>AVERAGE(S48:U48)</f>
      </c>
      <c r="Z48" s="8">
        <f>AVERAGE(P48:U48)</f>
      </c>
      <c r="AA48" s="8">
        <f>AVERAGE(M48:U48)</f>
      </c>
      <c r="AB48" s="4">
        <f>IFERROR((Y48*2)/(Z48+AA48), 0)</f>
      </c>
      <c r="AC48" s="4">
        <f>IFERROR(X48/SUM(E48:I48), 0)</f>
      </c>
      <c r="AD48" s="4">
        <f>IFERROR(X48/SUM(E48:I48), 0)</f>
      </c>
      <c r="AE48" s="4">
        <f>IFERROR(U48/I48, 0)</f>
      </c>
    </row>
    <row r="49" ht="20" customHeight="1" spans="1:31" x14ac:dyDescent="0.25">
      <c r="A49">
        <v>46</v>
      </c>
      <c r="B49" t="s">
        <v>48</v>
      </c>
      <c r="C49" t="s">
        <v>141</v>
      </c>
      <c r="D49" s="2" t="s">
        <v>48</v>
      </c>
      <c r="E49" s="8">
        <f>SUMIFS('Data nguồn'!H:H, 'Data nguồn'!D:D, $D49, 'Data nguồn'!F:F, $B$1, 'Data nguồn'!C:C, E$3)</f>
      </c>
      <c r="F49" s="8">
        <f>SUMIFS('Data nguồn'!H:H, 'Data nguồn'!D:D, $D49, 'Data nguồn'!F:F, $B$1, 'Data nguồn'!C:C, F$3)</f>
      </c>
      <c r="G49" s="8">
        <f>SUMIFS('Data nguồn'!H:H, 'Data nguồn'!D:D, $D49, 'Data nguồn'!F:F, $B$1, 'Data nguồn'!C:C, G$3)</f>
      </c>
      <c r="H49" s="8">
        <f>SUMIFS('Data nguồn'!H:H, 'Data nguồn'!D:D, $D49, 'Data nguồn'!F:F, $B$1, 'Data nguồn'!C:C, H$3)</f>
      </c>
      <c r="I49" s="8">
        <f>SUMIFS('Data nguồn'!H:H, 'Data nguồn'!D:D, $D49, 'Data nguồn'!F:F, $B$1, 'Data nguồn'!C:C, I$3)</f>
      </c>
      <c r="J49" s="8">
        <f>SUMIFS('Data nguồn'!H:H, 'Data nguồn'!D:D, $D49, 'Data nguồn'!F:F, $B$1, 'Data nguồn'!C:C, J$3)</f>
      </c>
      <c r="K49" s="8">
        <f>SUMIFS('Data nguồn'!H:H, 'Data nguồn'!D:D, $D49, 'Data nguồn'!F:F, $B$1, 'Data nguồn'!C:C, K$3)</f>
      </c>
      <c r="L49" s="8">
        <f>SUMIFS('Data nguồn'!H:H, 'Data nguồn'!D:D, $D49, 'Data nguồn'!F:F, $B$1, 'Data nguồn'!C:C, L$3)</f>
      </c>
      <c r="M49" s="8">
        <f>SUMIFS('Data nguồn'!H:H, 'Data nguồn'!D:D, $D49, 'Data nguồn'!F:F, $B$1, 'Data nguồn'!C:C, M$3)</f>
      </c>
      <c r="N49" s="8">
        <f>SUMIFS('Data nguồn'!H:H, 'Data nguồn'!D:D, $D49, 'Data nguồn'!F:F, $B$1, 'Data nguồn'!C:C, N$3)</f>
      </c>
      <c r="O49" s="8">
        <f>SUMIFS('Data nguồn'!H:H, 'Data nguồn'!D:D, $D49, 'Data nguồn'!F:F, $B$1, 'Data nguồn'!C:C, O$3)</f>
      </c>
      <c r="P49" s="8">
        <f>SUMIFS('Data nguồn'!H:H, 'Data nguồn'!D:D, $D49, 'Data nguồn'!F:F, $B$1, 'Data nguồn'!C:C, P$3)</f>
      </c>
      <c r="Q49" s="8">
        <f>SUMIFS('Data nguồn'!H:H, 'Data nguồn'!D:D, $D49, 'Data nguồn'!F:F, $B$1, 'Data nguồn'!C:C, Q$3)</f>
      </c>
      <c r="R49" s="8">
        <f>SUMIFS('Data nguồn'!H:H, 'Data nguồn'!D:D, $D49, 'Data nguồn'!F:F, $B$1, 'Data nguồn'!C:C, R$3)</f>
      </c>
      <c r="S49" s="8">
        <f>SUMIFS('Data nguồn'!H:H, 'Data nguồn'!D:D, $D49, 'Data nguồn'!F:F, $B$1, 'Data nguồn'!C:C, S$3)</f>
      </c>
      <c r="T49" s="8">
        <f>SUMIFS('Data nguồn'!H:H, 'Data nguồn'!D:D, $D49, 'Data nguồn'!F:F, $B$1, 'Data nguồn'!C:C, T$3)</f>
      </c>
      <c r="U49" s="8">
        <f>SUMIFS('Data nguồn'!H:H, 'Data nguồn'!D:D, $D49, 'Data nguồn'!F:F, $B$1, 'Data nguồn'!C:C, U$3)</f>
      </c>
      <c r="W49" s="8">
        <f>SUM(E49:P49)</f>
      </c>
      <c r="X49" s="8">
        <f>SUM(Q49:U49)</f>
      </c>
      <c r="Y49" s="8">
        <f>AVERAGE(S49:U49)</f>
      </c>
      <c r="Z49" s="8">
        <f>AVERAGE(P49:U49)</f>
      </c>
      <c r="AA49" s="8">
        <f>AVERAGE(M49:U49)</f>
      </c>
      <c r="AB49" s="4">
        <f>IFERROR((Y49*2)/(Z49+AA49), 0)</f>
      </c>
      <c r="AC49" s="4">
        <f>IFERROR(X49/SUM(E49:I49), 0)</f>
      </c>
      <c r="AD49" s="4">
        <f>IFERROR(X49/SUM(E49:I49), 0)</f>
      </c>
      <c r="AE49" s="4">
        <f>IFERROR(U49/I49, 0)</f>
      </c>
    </row>
    <row r="50" ht="20" customHeight="1" spans="1:31" x14ac:dyDescent="0.25">
      <c r="A50">
        <v>47</v>
      </c>
      <c r="B50" t="s">
        <v>49</v>
      </c>
      <c r="C50" t="s">
        <v>141</v>
      </c>
      <c r="D50" s="2" t="s">
        <v>49</v>
      </c>
      <c r="E50" s="8">
        <f>SUMIFS('Data nguồn'!H:H, 'Data nguồn'!D:D, $D50, 'Data nguồn'!F:F, $B$1, 'Data nguồn'!C:C, E$3)</f>
      </c>
      <c r="F50" s="8">
        <f>SUMIFS('Data nguồn'!H:H, 'Data nguồn'!D:D, $D50, 'Data nguồn'!F:F, $B$1, 'Data nguồn'!C:C, F$3)</f>
      </c>
      <c r="G50" s="8">
        <f>SUMIFS('Data nguồn'!H:H, 'Data nguồn'!D:D, $D50, 'Data nguồn'!F:F, $B$1, 'Data nguồn'!C:C, G$3)</f>
      </c>
      <c r="H50" s="8">
        <f>SUMIFS('Data nguồn'!H:H, 'Data nguồn'!D:D, $D50, 'Data nguồn'!F:F, $B$1, 'Data nguồn'!C:C, H$3)</f>
      </c>
      <c r="I50" s="8">
        <f>SUMIFS('Data nguồn'!H:H, 'Data nguồn'!D:D, $D50, 'Data nguồn'!F:F, $B$1, 'Data nguồn'!C:C, I$3)</f>
      </c>
      <c r="J50" s="8">
        <f>SUMIFS('Data nguồn'!H:H, 'Data nguồn'!D:D, $D50, 'Data nguồn'!F:F, $B$1, 'Data nguồn'!C:C, J$3)</f>
      </c>
      <c r="K50" s="8">
        <f>SUMIFS('Data nguồn'!H:H, 'Data nguồn'!D:D, $D50, 'Data nguồn'!F:F, $B$1, 'Data nguồn'!C:C, K$3)</f>
      </c>
      <c r="L50" s="8">
        <f>SUMIFS('Data nguồn'!H:H, 'Data nguồn'!D:D, $D50, 'Data nguồn'!F:F, $B$1, 'Data nguồn'!C:C, L$3)</f>
      </c>
      <c r="M50" s="8">
        <f>SUMIFS('Data nguồn'!H:H, 'Data nguồn'!D:D, $D50, 'Data nguồn'!F:F, $B$1, 'Data nguồn'!C:C, M$3)</f>
      </c>
      <c r="N50" s="8">
        <f>SUMIFS('Data nguồn'!H:H, 'Data nguồn'!D:D, $D50, 'Data nguồn'!F:F, $B$1, 'Data nguồn'!C:C, N$3)</f>
      </c>
      <c r="O50" s="8">
        <f>SUMIFS('Data nguồn'!H:H, 'Data nguồn'!D:D, $D50, 'Data nguồn'!F:F, $B$1, 'Data nguồn'!C:C, O$3)</f>
      </c>
      <c r="P50" s="8">
        <f>SUMIFS('Data nguồn'!H:H, 'Data nguồn'!D:D, $D50, 'Data nguồn'!F:F, $B$1, 'Data nguồn'!C:C, P$3)</f>
      </c>
      <c r="Q50" s="8">
        <f>SUMIFS('Data nguồn'!H:H, 'Data nguồn'!D:D, $D50, 'Data nguồn'!F:F, $B$1, 'Data nguồn'!C:C, Q$3)</f>
      </c>
      <c r="R50" s="8">
        <f>SUMIFS('Data nguồn'!H:H, 'Data nguồn'!D:D, $D50, 'Data nguồn'!F:F, $B$1, 'Data nguồn'!C:C, R$3)</f>
      </c>
      <c r="S50" s="8">
        <f>SUMIFS('Data nguồn'!H:H, 'Data nguồn'!D:D, $D50, 'Data nguồn'!F:F, $B$1, 'Data nguồn'!C:C, S$3)</f>
      </c>
      <c r="T50" s="8">
        <f>SUMIFS('Data nguồn'!H:H, 'Data nguồn'!D:D, $D50, 'Data nguồn'!F:F, $B$1, 'Data nguồn'!C:C, T$3)</f>
      </c>
      <c r="U50" s="8">
        <f>SUMIFS('Data nguồn'!H:H, 'Data nguồn'!D:D, $D50, 'Data nguồn'!F:F, $B$1, 'Data nguồn'!C:C, U$3)</f>
      </c>
      <c r="W50" s="8">
        <f>SUM(E50:P50)</f>
      </c>
      <c r="X50" s="8">
        <f>SUM(Q50:U50)</f>
      </c>
      <c r="Y50" s="8">
        <f>AVERAGE(S50:U50)</f>
      </c>
      <c r="Z50" s="8">
        <f>AVERAGE(P50:U50)</f>
      </c>
      <c r="AA50" s="8">
        <f>AVERAGE(M50:U50)</f>
      </c>
      <c r="AB50" s="4">
        <f>IFERROR((Y50*2)/(Z50+AA50), 0)</f>
      </c>
      <c r="AC50" s="4">
        <f>IFERROR(X50/SUM(E50:I50), 0)</f>
      </c>
      <c r="AD50" s="4">
        <f>IFERROR(X50/SUM(E50:I50), 0)</f>
      </c>
      <c r="AE50" s="4">
        <f>IFERROR(U50/I50, 0)</f>
      </c>
    </row>
    <row r="51" ht="20" customHeight="1" spans="1:31" x14ac:dyDescent="0.25">
      <c r="A51">
        <v>48</v>
      </c>
      <c r="B51" t="s">
        <v>50</v>
      </c>
      <c r="C51" t="s">
        <v>141</v>
      </c>
      <c r="D51" s="2" t="s">
        <v>50</v>
      </c>
      <c r="E51" s="8">
        <f>SUMIFS('Data nguồn'!H:H, 'Data nguồn'!D:D, $D51, 'Data nguồn'!F:F, $B$1, 'Data nguồn'!C:C, E$3)</f>
      </c>
      <c r="F51" s="8">
        <f>SUMIFS('Data nguồn'!H:H, 'Data nguồn'!D:D, $D51, 'Data nguồn'!F:F, $B$1, 'Data nguồn'!C:C, F$3)</f>
      </c>
      <c r="G51" s="8">
        <f>SUMIFS('Data nguồn'!H:H, 'Data nguồn'!D:D, $D51, 'Data nguồn'!F:F, $B$1, 'Data nguồn'!C:C, G$3)</f>
      </c>
      <c r="H51" s="8">
        <f>SUMIFS('Data nguồn'!H:H, 'Data nguồn'!D:D, $D51, 'Data nguồn'!F:F, $B$1, 'Data nguồn'!C:C, H$3)</f>
      </c>
      <c r="I51" s="8">
        <f>SUMIFS('Data nguồn'!H:H, 'Data nguồn'!D:D, $D51, 'Data nguồn'!F:F, $B$1, 'Data nguồn'!C:C, I$3)</f>
      </c>
      <c r="J51" s="8">
        <f>SUMIFS('Data nguồn'!H:H, 'Data nguồn'!D:D, $D51, 'Data nguồn'!F:F, $B$1, 'Data nguồn'!C:C, J$3)</f>
      </c>
      <c r="K51" s="8">
        <f>SUMIFS('Data nguồn'!H:H, 'Data nguồn'!D:D, $D51, 'Data nguồn'!F:F, $B$1, 'Data nguồn'!C:C, K$3)</f>
      </c>
      <c r="L51" s="8">
        <f>SUMIFS('Data nguồn'!H:H, 'Data nguồn'!D:D, $D51, 'Data nguồn'!F:F, $B$1, 'Data nguồn'!C:C, L$3)</f>
      </c>
      <c r="M51" s="8">
        <f>SUMIFS('Data nguồn'!H:H, 'Data nguồn'!D:D, $D51, 'Data nguồn'!F:F, $B$1, 'Data nguồn'!C:C, M$3)</f>
      </c>
      <c r="N51" s="8">
        <f>SUMIFS('Data nguồn'!H:H, 'Data nguồn'!D:D, $D51, 'Data nguồn'!F:F, $B$1, 'Data nguồn'!C:C, N$3)</f>
      </c>
      <c r="O51" s="8">
        <f>SUMIFS('Data nguồn'!H:H, 'Data nguồn'!D:D, $D51, 'Data nguồn'!F:F, $B$1, 'Data nguồn'!C:C, O$3)</f>
      </c>
      <c r="P51" s="8">
        <f>SUMIFS('Data nguồn'!H:H, 'Data nguồn'!D:D, $D51, 'Data nguồn'!F:F, $B$1, 'Data nguồn'!C:C, P$3)</f>
      </c>
      <c r="Q51" s="8">
        <f>SUMIFS('Data nguồn'!H:H, 'Data nguồn'!D:D, $D51, 'Data nguồn'!F:F, $B$1, 'Data nguồn'!C:C, Q$3)</f>
      </c>
      <c r="R51" s="8">
        <f>SUMIFS('Data nguồn'!H:H, 'Data nguồn'!D:D, $D51, 'Data nguồn'!F:F, $B$1, 'Data nguồn'!C:C, R$3)</f>
      </c>
      <c r="S51" s="8">
        <f>SUMIFS('Data nguồn'!H:H, 'Data nguồn'!D:D, $D51, 'Data nguồn'!F:F, $B$1, 'Data nguồn'!C:C, S$3)</f>
      </c>
      <c r="T51" s="8">
        <f>SUMIFS('Data nguồn'!H:H, 'Data nguồn'!D:D, $D51, 'Data nguồn'!F:F, $B$1, 'Data nguồn'!C:C, T$3)</f>
      </c>
      <c r="U51" s="8">
        <f>SUMIFS('Data nguồn'!H:H, 'Data nguồn'!D:D, $D51, 'Data nguồn'!F:F, $B$1, 'Data nguồn'!C:C, U$3)</f>
      </c>
      <c r="W51" s="8">
        <f>SUM(E51:P51)</f>
      </c>
      <c r="X51" s="8">
        <f>SUM(Q51:U51)</f>
      </c>
      <c r="Y51" s="8">
        <f>AVERAGE(S51:U51)</f>
      </c>
      <c r="Z51" s="8">
        <f>AVERAGE(P51:U51)</f>
      </c>
      <c r="AA51" s="8">
        <f>AVERAGE(M51:U51)</f>
      </c>
      <c r="AB51" s="4">
        <f>IFERROR((Y51*2)/(Z51+AA51), 0)</f>
      </c>
      <c r="AC51" s="4">
        <f>IFERROR(X51/SUM(E51:I51), 0)</f>
      </c>
      <c r="AD51" s="4">
        <f>IFERROR(X51/SUM(E51:I51), 0)</f>
      </c>
      <c r="AE51" s="4">
        <f>IFERROR(U51/I51, 0)</f>
      </c>
    </row>
    <row r="52" ht="20" customHeight="1" spans="1:31" x14ac:dyDescent="0.25">
      <c r="A52">
        <v>49</v>
      </c>
      <c r="B52" t="s">
        <v>51</v>
      </c>
      <c r="C52" t="s">
        <v>141</v>
      </c>
      <c r="D52" s="2" t="s">
        <v>51</v>
      </c>
      <c r="E52" s="8">
        <f>SUMIFS('Data nguồn'!H:H, 'Data nguồn'!D:D, $D52, 'Data nguồn'!F:F, $B$1, 'Data nguồn'!C:C, E$3)</f>
      </c>
      <c r="F52" s="8">
        <f>SUMIFS('Data nguồn'!H:H, 'Data nguồn'!D:D, $D52, 'Data nguồn'!F:F, $B$1, 'Data nguồn'!C:C, F$3)</f>
      </c>
      <c r="G52" s="8">
        <f>SUMIFS('Data nguồn'!H:H, 'Data nguồn'!D:D, $D52, 'Data nguồn'!F:F, $B$1, 'Data nguồn'!C:C, G$3)</f>
      </c>
      <c r="H52" s="8">
        <f>SUMIFS('Data nguồn'!H:H, 'Data nguồn'!D:D, $D52, 'Data nguồn'!F:F, $B$1, 'Data nguồn'!C:C, H$3)</f>
      </c>
      <c r="I52" s="8">
        <f>SUMIFS('Data nguồn'!H:H, 'Data nguồn'!D:D, $D52, 'Data nguồn'!F:F, $B$1, 'Data nguồn'!C:C, I$3)</f>
      </c>
      <c r="J52" s="8">
        <f>SUMIFS('Data nguồn'!H:H, 'Data nguồn'!D:D, $D52, 'Data nguồn'!F:F, $B$1, 'Data nguồn'!C:C, J$3)</f>
      </c>
      <c r="K52" s="8">
        <f>SUMIFS('Data nguồn'!H:H, 'Data nguồn'!D:D, $D52, 'Data nguồn'!F:F, $B$1, 'Data nguồn'!C:C, K$3)</f>
      </c>
      <c r="L52" s="8">
        <f>SUMIFS('Data nguồn'!H:H, 'Data nguồn'!D:D, $D52, 'Data nguồn'!F:F, $B$1, 'Data nguồn'!C:C, L$3)</f>
      </c>
      <c r="M52" s="8">
        <f>SUMIFS('Data nguồn'!H:H, 'Data nguồn'!D:D, $D52, 'Data nguồn'!F:F, $B$1, 'Data nguồn'!C:C, M$3)</f>
      </c>
      <c r="N52" s="8">
        <f>SUMIFS('Data nguồn'!H:H, 'Data nguồn'!D:D, $D52, 'Data nguồn'!F:F, $B$1, 'Data nguồn'!C:C, N$3)</f>
      </c>
      <c r="O52" s="8">
        <f>SUMIFS('Data nguồn'!H:H, 'Data nguồn'!D:D, $D52, 'Data nguồn'!F:F, $B$1, 'Data nguồn'!C:C, O$3)</f>
      </c>
      <c r="P52" s="8">
        <f>SUMIFS('Data nguồn'!H:H, 'Data nguồn'!D:D, $D52, 'Data nguồn'!F:F, $B$1, 'Data nguồn'!C:C, P$3)</f>
      </c>
      <c r="Q52" s="8">
        <f>SUMIFS('Data nguồn'!H:H, 'Data nguồn'!D:D, $D52, 'Data nguồn'!F:F, $B$1, 'Data nguồn'!C:C, Q$3)</f>
      </c>
      <c r="R52" s="8">
        <f>SUMIFS('Data nguồn'!H:H, 'Data nguồn'!D:D, $D52, 'Data nguồn'!F:F, $B$1, 'Data nguồn'!C:C, R$3)</f>
      </c>
      <c r="S52" s="8">
        <f>SUMIFS('Data nguồn'!H:H, 'Data nguồn'!D:D, $D52, 'Data nguồn'!F:F, $B$1, 'Data nguồn'!C:C, S$3)</f>
      </c>
      <c r="T52" s="8">
        <f>SUMIFS('Data nguồn'!H:H, 'Data nguồn'!D:D, $D52, 'Data nguồn'!F:F, $B$1, 'Data nguồn'!C:C, T$3)</f>
      </c>
      <c r="U52" s="8">
        <f>SUMIFS('Data nguồn'!H:H, 'Data nguồn'!D:D, $D52, 'Data nguồn'!F:F, $B$1, 'Data nguồn'!C:C, U$3)</f>
      </c>
      <c r="W52" s="8">
        <f>SUM(E52:P52)</f>
      </c>
      <c r="X52" s="8">
        <f>SUM(Q52:U52)</f>
      </c>
      <c r="Y52" s="8">
        <f>AVERAGE(S52:U52)</f>
      </c>
      <c r="Z52" s="8">
        <f>AVERAGE(P52:U52)</f>
      </c>
      <c r="AA52" s="8">
        <f>AVERAGE(M52:U52)</f>
      </c>
      <c r="AB52" s="4">
        <f>IFERROR((Y52*2)/(Z52+AA52), 0)</f>
      </c>
      <c r="AC52" s="4">
        <f>IFERROR(X52/SUM(E52:I52), 0)</f>
      </c>
      <c r="AD52" s="4">
        <f>IFERROR(X52/SUM(E52:I52), 0)</f>
      </c>
      <c r="AE52" s="4">
        <f>IFERROR(U52/I52, 0)</f>
      </c>
    </row>
    <row r="53" ht="20" customHeight="1" spans="1:31" x14ac:dyDescent="0.25">
      <c r="A53">
        <v>50</v>
      </c>
      <c r="B53" t="s">
        <v>52</v>
      </c>
      <c r="C53" t="s">
        <v>141</v>
      </c>
      <c r="D53" s="2" t="s">
        <v>52</v>
      </c>
      <c r="E53" s="8">
        <f>SUMIFS('Data nguồn'!H:H, 'Data nguồn'!D:D, $D53, 'Data nguồn'!F:F, $B$1, 'Data nguồn'!C:C, E$3)</f>
      </c>
      <c r="F53" s="8">
        <f>SUMIFS('Data nguồn'!H:H, 'Data nguồn'!D:D, $D53, 'Data nguồn'!F:F, $B$1, 'Data nguồn'!C:C, F$3)</f>
      </c>
      <c r="G53" s="8">
        <f>SUMIFS('Data nguồn'!H:H, 'Data nguồn'!D:D, $D53, 'Data nguồn'!F:F, $B$1, 'Data nguồn'!C:C, G$3)</f>
      </c>
      <c r="H53" s="8">
        <f>SUMIFS('Data nguồn'!H:H, 'Data nguồn'!D:D, $D53, 'Data nguồn'!F:F, $B$1, 'Data nguồn'!C:C, H$3)</f>
      </c>
      <c r="I53" s="8">
        <f>SUMIFS('Data nguồn'!H:H, 'Data nguồn'!D:D, $D53, 'Data nguồn'!F:F, $B$1, 'Data nguồn'!C:C, I$3)</f>
      </c>
      <c r="J53" s="8">
        <f>SUMIFS('Data nguồn'!H:H, 'Data nguồn'!D:D, $D53, 'Data nguồn'!F:F, $B$1, 'Data nguồn'!C:C, J$3)</f>
      </c>
      <c r="K53" s="8">
        <f>SUMIFS('Data nguồn'!H:H, 'Data nguồn'!D:D, $D53, 'Data nguồn'!F:F, $B$1, 'Data nguồn'!C:C, K$3)</f>
      </c>
      <c r="L53" s="8">
        <f>SUMIFS('Data nguồn'!H:H, 'Data nguồn'!D:D, $D53, 'Data nguồn'!F:F, $B$1, 'Data nguồn'!C:C, L$3)</f>
      </c>
      <c r="M53" s="8">
        <f>SUMIFS('Data nguồn'!H:H, 'Data nguồn'!D:D, $D53, 'Data nguồn'!F:F, $B$1, 'Data nguồn'!C:C, M$3)</f>
      </c>
      <c r="N53" s="8">
        <f>SUMIFS('Data nguồn'!H:H, 'Data nguồn'!D:D, $D53, 'Data nguồn'!F:F, $B$1, 'Data nguồn'!C:C, N$3)</f>
      </c>
      <c r="O53" s="8">
        <f>SUMIFS('Data nguồn'!H:H, 'Data nguồn'!D:D, $D53, 'Data nguồn'!F:F, $B$1, 'Data nguồn'!C:C, O$3)</f>
      </c>
      <c r="P53" s="8">
        <f>SUMIFS('Data nguồn'!H:H, 'Data nguồn'!D:D, $D53, 'Data nguồn'!F:F, $B$1, 'Data nguồn'!C:C, P$3)</f>
      </c>
      <c r="Q53" s="8">
        <f>SUMIFS('Data nguồn'!H:H, 'Data nguồn'!D:D, $D53, 'Data nguồn'!F:F, $B$1, 'Data nguồn'!C:C, Q$3)</f>
      </c>
      <c r="R53" s="8">
        <f>SUMIFS('Data nguồn'!H:H, 'Data nguồn'!D:D, $D53, 'Data nguồn'!F:F, $B$1, 'Data nguồn'!C:C, R$3)</f>
      </c>
      <c r="S53" s="8">
        <f>SUMIFS('Data nguồn'!H:H, 'Data nguồn'!D:D, $D53, 'Data nguồn'!F:F, $B$1, 'Data nguồn'!C:C, S$3)</f>
      </c>
      <c r="T53" s="8">
        <f>SUMIFS('Data nguồn'!H:H, 'Data nguồn'!D:D, $D53, 'Data nguồn'!F:F, $B$1, 'Data nguồn'!C:C, T$3)</f>
      </c>
      <c r="U53" s="8">
        <f>SUMIFS('Data nguồn'!H:H, 'Data nguồn'!D:D, $D53, 'Data nguồn'!F:F, $B$1, 'Data nguồn'!C:C, U$3)</f>
      </c>
      <c r="W53" s="8">
        <f>SUM(E53:P53)</f>
      </c>
      <c r="X53" s="8">
        <f>SUM(Q53:U53)</f>
      </c>
      <c r="Y53" s="8">
        <f>AVERAGE(S53:U53)</f>
      </c>
      <c r="Z53" s="8">
        <f>AVERAGE(P53:U53)</f>
      </c>
      <c r="AA53" s="8">
        <f>AVERAGE(M53:U53)</f>
      </c>
      <c r="AB53" s="4">
        <f>IFERROR((Y53*2)/(Z53+AA53), 0)</f>
      </c>
      <c r="AC53" s="4">
        <f>IFERROR(X53/SUM(E53:I53), 0)</f>
      </c>
      <c r="AD53" s="4">
        <f>IFERROR(X53/SUM(E53:I53), 0)</f>
      </c>
      <c r="AE53" s="4">
        <f>IFERROR(U53/I53, 0)</f>
      </c>
    </row>
    <row r="54" ht="20" customHeight="1" spans="1:31" x14ac:dyDescent="0.25">
      <c r="A54">
        <v>51</v>
      </c>
      <c r="B54" t="s">
        <v>53</v>
      </c>
      <c r="C54" t="s">
        <v>141</v>
      </c>
      <c r="D54" s="2" t="s">
        <v>53</v>
      </c>
      <c r="E54" s="8">
        <f>SUMIFS('Data nguồn'!H:H, 'Data nguồn'!D:D, $D54, 'Data nguồn'!F:F, $B$1, 'Data nguồn'!C:C, E$3)</f>
      </c>
      <c r="F54" s="8">
        <f>SUMIFS('Data nguồn'!H:H, 'Data nguồn'!D:D, $D54, 'Data nguồn'!F:F, $B$1, 'Data nguồn'!C:C, F$3)</f>
      </c>
      <c r="G54" s="8">
        <f>SUMIFS('Data nguồn'!H:H, 'Data nguồn'!D:D, $D54, 'Data nguồn'!F:F, $B$1, 'Data nguồn'!C:C, G$3)</f>
      </c>
      <c r="H54" s="8">
        <f>SUMIFS('Data nguồn'!H:H, 'Data nguồn'!D:D, $D54, 'Data nguồn'!F:F, $B$1, 'Data nguồn'!C:C, H$3)</f>
      </c>
      <c r="I54" s="8">
        <f>SUMIFS('Data nguồn'!H:H, 'Data nguồn'!D:D, $D54, 'Data nguồn'!F:F, $B$1, 'Data nguồn'!C:C, I$3)</f>
      </c>
      <c r="J54" s="8">
        <f>SUMIFS('Data nguồn'!H:H, 'Data nguồn'!D:D, $D54, 'Data nguồn'!F:F, $B$1, 'Data nguồn'!C:C, J$3)</f>
      </c>
      <c r="K54" s="8">
        <f>SUMIFS('Data nguồn'!H:H, 'Data nguồn'!D:D, $D54, 'Data nguồn'!F:F, $B$1, 'Data nguồn'!C:C, K$3)</f>
      </c>
      <c r="L54" s="8">
        <f>SUMIFS('Data nguồn'!H:H, 'Data nguồn'!D:D, $D54, 'Data nguồn'!F:F, $B$1, 'Data nguồn'!C:C, L$3)</f>
      </c>
      <c r="M54" s="8">
        <f>SUMIFS('Data nguồn'!H:H, 'Data nguồn'!D:D, $D54, 'Data nguồn'!F:F, $B$1, 'Data nguồn'!C:C, M$3)</f>
      </c>
      <c r="N54" s="8">
        <f>SUMIFS('Data nguồn'!H:H, 'Data nguồn'!D:D, $D54, 'Data nguồn'!F:F, $B$1, 'Data nguồn'!C:C, N$3)</f>
      </c>
      <c r="O54" s="8">
        <f>SUMIFS('Data nguồn'!H:H, 'Data nguồn'!D:D, $D54, 'Data nguồn'!F:F, $B$1, 'Data nguồn'!C:C, O$3)</f>
      </c>
      <c r="P54" s="8">
        <f>SUMIFS('Data nguồn'!H:H, 'Data nguồn'!D:D, $D54, 'Data nguồn'!F:F, $B$1, 'Data nguồn'!C:C, P$3)</f>
      </c>
      <c r="Q54" s="8">
        <f>SUMIFS('Data nguồn'!H:H, 'Data nguồn'!D:D, $D54, 'Data nguồn'!F:F, $B$1, 'Data nguồn'!C:C, Q$3)</f>
      </c>
      <c r="R54" s="8">
        <f>SUMIFS('Data nguồn'!H:H, 'Data nguồn'!D:D, $D54, 'Data nguồn'!F:F, $B$1, 'Data nguồn'!C:C, R$3)</f>
      </c>
      <c r="S54" s="8">
        <f>SUMIFS('Data nguồn'!H:H, 'Data nguồn'!D:D, $D54, 'Data nguồn'!F:F, $B$1, 'Data nguồn'!C:C, S$3)</f>
      </c>
      <c r="T54" s="8">
        <f>SUMIFS('Data nguồn'!H:H, 'Data nguồn'!D:D, $D54, 'Data nguồn'!F:F, $B$1, 'Data nguồn'!C:C, T$3)</f>
      </c>
      <c r="U54" s="8">
        <f>SUMIFS('Data nguồn'!H:H, 'Data nguồn'!D:D, $D54, 'Data nguồn'!F:F, $B$1, 'Data nguồn'!C:C, U$3)</f>
      </c>
      <c r="W54" s="8">
        <f>SUM(E54:P54)</f>
      </c>
      <c r="X54" s="8">
        <f>SUM(Q54:U54)</f>
      </c>
      <c r="Y54" s="8">
        <f>AVERAGE(S54:U54)</f>
      </c>
      <c r="Z54" s="8">
        <f>AVERAGE(P54:U54)</f>
      </c>
      <c r="AA54" s="8">
        <f>AVERAGE(M54:U54)</f>
      </c>
      <c r="AB54" s="4">
        <f>IFERROR((Y54*2)/(Z54+AA54), 0)</f>
      </c>
      <c r="AC54" s="4">
        <f>IFERROR(X54/SUM(E54:I54), 0)</f>
      </c>
      <c r="AD54" s="4">
        <f>IFERROR(X54/SUM(E54:I54), 0)</f>
      </c>
      <c r="AE54" s="4">
        <f>IFERROR(U54/I54, 0)</f>
      </c>
    </row>
    <row r="55" ht="20" customHeight="1" spans="1:31" x14ac:dyDescent="0.25">
      <c r="A55">
        <v>52</v>
      </c>
      <c r="B55" t="s">
        <v>54</v>
      </c>
      <c r="C55" t="s">
        <v>141</v>
      </c>
      <c r="D55" s="2" t="s">
        <v>54</v>
      </c>
      <c r="E55" s="8">
        <f>SUMIFS('Data nguồn'!H:H, 'Data nguồn'!D:D, $D55, 'Data nguồn'!F:F, $B$1, 'Data nguồn'!C:C, E$3)</f>
      </c>
      <c r="F55" s="8">
        <f>SUMIFS('Data nguồn'!H:H, 'Data nguồn'!D:D, $D55, 'Data nguồn'!F:F, $B$1, 'Data nguồn'!C:C, F$3)</f>
      </c>
      <c r="G55" s="8">
        <f>SUMIFS('Data nguồn'!H:H, 'Data nguồn'!D:D, $D55, 'Data nguồn'!F:F, $B$1, 'Data nguồn'!C:C, G$3)</f>
      </c>
      <c r="H55" s="8">
        <f>SUMIFS('Data nguồn'!H:H, 'Data nguồn'!D:D, $D55, 'Data nguồn'!F:F, $B$1, 'Data nguồn'!C:C, H$3)</f>
      </c>
      <c r="I55" s="8">
        <f>SUMIFS('Data nguồn'!H:H, 'Data nguồn'!D:D, $D55, 'Data nguồn'!F:F, $B$1, 'Data nguồn'!C:C, I$3)</f>
      </c>
      <c r="J55" s="8">
        <f>SUMIFS('Data nguồn'!H:H, 'Data nguồn'!D:D, $D55, 'Data nguồn'!F:F, $B$1, 'Data nguồn'!C:C, J$3)</f>
      </c>
      <c r="K55" s="8">
        <f>SUMIFS('Data nguồn'!H:H, 'Data nguồn'!D:D, $D55, 'Data nguồn'!F:F, $B$1, 'Data nguồn'!C:C, K$3)</f>
      </c>
      <c r="L55" s="8">
        <f>SUMIFS('Data nguồn'!H:H, 'Data nguồn'!D:D, $D55, 'Data nguồn'!F:F, $B$1, 'Data nguồn'!C:C, L$3)</f>
      </c>
      <c r="M55" s="8">
        <f>SUMIFS('Data nguồn'!H:H, 'Data nguồn'!D:D, $D55, 'Data nguồn'!F:F, $B$1, 'Data nguồn'!C:C, M$3)</f>
      </c>
      <c r="N55" s="8">
        <f>SUMIFS('Data nguồn'!H:H, 'Data nguồn'!D:D, $D55, 'Data nguồn'!F:F, $B$1, 'Data nguồn'!C:C, N$3)</f>
      </c>
      <c r="O55" s="8">
        <f>SUMIFS('Data nguồn'!H:H, 'Data nguồn'!D:D, $D55, 'Data nguồn'!F:F, $B$1, 'Data nguồn'!C:C, O$3)</f>
      </c>
      <c r="P55" s="8">
        <f>SUMIFS('Data nguồn'!H:H, 'Data nguồn'!D:D, $D55, 'Data nguồn'!F:F, $B$1, 'Data nguồn'!C:C, P$3)</f>
      </c>
      <c r="Q55" s="8">
        <f>SUMIFS('Data nguồn'!H:H, 'Data nguồn'!D:D, $D55, 'Data nguồn'!F:F, $B$1, 'Data nguồn'!C:C, Q$3)</f>
      </c>
      <c r="R55" s="8">
        <f>SUMIFS('Data nguồn'!H:H, 'Data nguồn'!D:D, $D55, 'Data nguồn'!F:F, $B$1, 'Data nguồn'!C:C, R$3)</f>
      </c>
      <c r="S55" s="8">
        <f>SUMIFS('Data nguồn'!H:H, 'Data nguồn'!D:D, $D55, 'Data nguồn'!F:F, $B$1, 'Data nguồn'!C:C, S$3)</f>
      </c>
      <c r="T55" s="8">
        <f>SUMIFS('Data nguồn'!H:H, 'Data nguồn'!D:D, $D55, 'Data nguồn'!F:F, $B$1, 'Data nguồn'!C:C, T$3)</f>
      </c>
      <c r="U55" s="8">
        <f>SUMIFS('Data nguồn'!H:H, 'Data nguồn'!D:D, $D55, 'Data nguồn'!F:F, $B$1, 'Data nguồn'!C:C, U$3)</f>
      </c>
      <c r="W55" s="8">
        <f>SUM(E55:P55)</f>
      </c>
      <c r="X55" s="8">
        <f>SUM(Q55:U55)</f>
      </c>
      <c r="Y55" s="8">
        <f>AVERAGE(S55:U55)</f>
      </c>
      <c r="Z55" s="8">
        <f>AVERAGE(P55:U55)</f>
      </c>
      <c r="AA55" s="8">
        <f>AVERAGE(M55:U55)</f>
      </c>
      <c r="AB55" s="4">
        <f>IFERROR((Y55*2)/(Z55+AA55), 0)</f>
      </c>
      <c r="AC55" s="4">
        <f>IFERROR(X55/SUM(E55:I55), 0)</f>
      </c>
      <c r="AD55" s="4">
        <f>IFERROR(X55/SUM(E55:I55), 0)</f>
      </c>
      <c r="AE55" s="4">
        <f>IFERROR(U55/I55, 0)</f>
      </c>
    </row>
    <row r="56" ht="20" customHeight="1" spans="1:31" x14ac:dyDescent="0.25">
      <c r="A56">
        <v>53</v>
      </c>
      <c r="B56" t="s">
        <v>55</v>
      </c>
      <c r="C56" t="s">
        <v>141</v>
      </c>
      <c r="D56" s="2" t="s">
        <v>55</v>
      </c>
      <c r="E56" s="8">
        <f>SUMIFS('Data nguồn'!H:H, 'Data nguồn'!D:D, $D56, 'Data nguồn'!F:F, $B$1, 'Data nguồn'!C:C, E$3)</f>
      </c>
      <c r="F56" s="8">
        <f>SUMIFS('Data nguồn'!H:H, 'Data nguồn'!D:D, $D56, 'Data nguồn'!F:F, $B$1, 'Data nguồn'!C:C, F$3)</f>
      </c>
      <c r="G56" s="8">
        <f>SUMIFS('Data nguồn'!H:H, 'Data nguồn'!D:D, $D56, 'Data nguồn'!F:F, $B$1, 'Data nguồn'!C:C, G$3)</f>
      </c>
      <c r="H56" s="8">
        <f>SUMIFS('Data nguồn'!H:H, 'Data nguồn'!D:D, $D56, 'Data nguồn'!F:F, $B$1, 'Data nguồn'!C:C, H$3)</f>
      </c>
      <c r="I56" s="8">
        <f>SUMIFS('Data nguồn'!H:H, 'Data nguồn'!D:D, $D56, 'Data nguồn'!F:F, $B$1, 'Data nguồn'!C:C, I$3)</f>
      </c>
      <c r="J56" s="8">
        <f>SUMIFS('Data nguồn'!H:H, 'Data nguồn'!D:D, $D56, 'Data nguồn'!F:F, $B$1, 'Data nguồn'!C:C, J$3)</f>
      </c>
      <c r="K56" s="8">
        <f>SUMIFS('Data nguồn'!H:H, 'Data nguồn'!D:D, $D56, 'Data nguồn'!F:F, $B$1, 'Data nguồn'!C:C, K$3)</f>
      </c>
      <c r="L56" s="8">
        <f>SUMIFS('Data nguồn'!H:H, 'Data nguồn'!D:D, $D56, 'Data nguồn'!F:F, $B$1, 'Data nguồn'!C:C, L$3)</f>
      </c>
      <c r="M56" s="8">
        <f>SUMIFS('Data nguồn'!H:H, 'Data nguồn'!D:D, $D56, 'Data nguồn'!F:F, $B$1, 'Data nguồn'!C:C, M$3)</f>
      </c>
      <c r="N56" s="8">
        <f>SUMIFS('Data nguồn'!H:H, 'Data nguồn'!D:D, $D56, 'Data nguồn'!F:F, $B$1, 'Data nguồn'!C:C, N$3)</f>
      </c>
      <c r="O56" s="8">
        <f>SUMIFS('Data nguồn'!H:H, 'Data nguồn'!D:D, $D56, 'Data nguồn'!F:F, $B$1, 'Data nguồn'!C:C, O$3)</f>
      </c>
      <c r="P56" s="8">
        <f>SUMIFS('Data nguồn'!H:H, 'Data nguồn'!D:D, $D56, 'Data nguồn'!F:F, $B$1, 'Data nguồn'!C:C, P$3)</f>
      </c>
      <c r="Q56" s="8">
        <f>SUMIFS('Data nguồn'!H:H, 'Data nguồn'!D:D, $D56, 'Data nguồn'!F:F, $B$1, 'Data nguồn'!C:C, Q$3)</f>
      </c>
      <c r="R56" s="8">
        <f>SUMIFS('Data nguồn'!H:H, 'Data nguồn'!D:D, $D56, 'Data nguồn'!F:F, $B$1, 'Data nguồn'!C:C, R$3)</f>
      </c>
      <c r="S56" s="8">
        <f>SUMIFS('Data nguồn'!H:H, 'Data nguồn'!D:D, $D56, 'Data nguồn'!F:F, $B$1, 'Data nguồn'!C:C, S$3)</f>
      </c>
      <c r="T56" s="8">
        <f>SUMIFS('Data nguồn'!H:H, 'Data nguồn'!D:D, $D56, 'Data nguồn'!F:F, $B$1, 'Data nguồn'!C:C, T$3)</f>
      </c>
      <c r="U56" s="8">
        <f>SUMIFS('Data nguồn'!H:H, 'Data nguồn'!D:D, $D56, 'Data nguồn'!F:F, $B$1, 'Data nguồn'!C:C, U$3)</f>
      </c>
      <c r="W56" s="8">
        <f>SUM(E56:P56)</f>
      </c>
      <c r="X56" s="8">
        <f>SUM(Q56:U56)</f>
      </c>
      <c r="Y56" s="8">
        <f>AVERAGE(S56:U56)</f>
      </c>
      <c r="Z56" s="8">
        <f>AVERAGE(P56:U56)</f>
      </c>
      <c r="AA56" s="8">
        <f>AVERAGE(M56:U56)</f>
      </c>
      <c r="AB56" s="4">
        <f>IFERROR((Y56*2)/(Z56+AA56), 0)</f>
      </c>
      <c r="AC56" s="4">
        <f>IFERROR(X56/SUM(E56:I56), 0)</f>
      </c>
      <c r="AD56" s="4">
        <f>IFERROR(X56/SUM(E56:I56), 0)</f>
      </c>
      <c r="AE56" s="4">
        <f>IFERROR(U56/I56, 0)</f>
      </c>
    </row>
    <row r="57" ht="20" customHeight="1" spans="1:31" x14ac:dyDescent="0.25">
      <c r="A57">
        <v>54</v>
      </c>
      <c r="B57" t="s">
        <v>56</v>
      </c>
      <c r="C57" t="s">
        <v>141</v>
      </c>
      <c r="D57" s="2" t="s">
        <v>56</v>
      </c>
      <c r="E57" s="8">
        <f>SUMIFS('Data nguồn'!H:H, 'Data nguồn'!D:D, $D57, 'Data nguồn'!F:F, $B$1, 'Data nguồn'!C:C, E$3)</f>
      </c>
      <c r="F57" s="8">
        <f>SUMIFS('Data nguồn'!H:H, 'Data nguồn'!D:D, $D57, 'Data nguồn'!F:F, $B$1, 'Data nguồn'!C:C, F$3)</f>
      </c>
      <c r="G57" s="8">
        <f>SUMIFS('Data nguồn'!H:H, 'Data nguồn'!D:D, $D57, 'Data nguồn'!F:F, $B$1, 'Data nguồn'!C:C, G$3)</f>
      </c>
      <c r="H57" s="8">
        <f>SUMIFS('Data nguồn'!H:H, 'Data nguồn'!D:D, $D57, 'Data nguồn'!F:F, $B$1, 'Data nguồn'!C:C, H$3)</f>
      </c>
      <c r="I57" s="8">
        <f>SUMIFS('Data nguồn'!H:H, 'Data nguồn'!D:D, $D57, 'Data nguồn'!F:F, $B$1, 'Data nguồn'!C:C, I$3)</f>
      </c>
      <c r="J57" s="8">
        <f>SUMIFS('Data nguồn'!H:H, 'Data nguồn'!D:D, $D57, 'Data nguồn'!F:F, $B$1, 'Data nguồn'!C:C, J$3)</f>
      </c>
      <c r="K57" s="8">
        <f>SUMIFS('Data nguồn'!H:H, 'Data nguồn'!D:D, $D57, 'Data nguồn'!F:F, $B$1, 'Data nguồn'!C:C, K$3)</f>
      </c>
      <c r="L57" s="8">
        <f>SUMIFS('Data nguồn'!H:H, 'Data nguồn'!D:D, $D57, 'Data nguồn'!F:F, $B$1, 'Data nguồn'!C:C, L$3)</f>
      </c>
      <c r="M57" s="8">
        <f>SUMIFS('Data nguồn'!H:H, 'Data nguồn'!D:D, $D57, 'Data nguồn'!F:F, $B$1, 'Data nguồn'!C:C, M$3)</f>
      </c>
      <c r="N57" s="8">
        <f>SUMIFS('Data nguồn'!H:H, 'Data nguồn'!D:D, $D57, 'Data nguồn'!F:F, $B$1, 'Data nguồn'!C:C, N$3)</f>
      </c>
      <c r="O57" s="8">
        <f>SUMIFS('Data nguồn'!H:H, 'Data nguồn'!D:D, $D57, 'Data nguồn'!F:F, $B$1, 'Data nguồn'!C:C, O$3)</f>
      </c>
      <c r="P57" s="8">
        <f>SUMIFS('Data nguồn'!H:H, 'Data nguồn'!D:D, $D57, 'Data nguồn'!F:F, $B$1, 'Data nguồn'!C:C, P$3)</f>
      </c>
      <c r="Q57" s="8">
        <f>SUMIFS('Data nguồn'!H:H, 'Data nguồn'!D:D, $D57, 'Data nguồn'!F:F, $B$1, 'Data nguồn'!C:C, Q$3)</f>
      </c>
      <c r="R57" s="8">
        <f>SUMIFS('Data nguồn'!H:H, 'Data nguồn'!D:D, $D57, 'Data nguồn'!F:F, $B$1, 'Data nguồn'!C:C, R$3)</f>
      </c>
      <c r="S57" s="8">
        <f>SUMIFS('Data nguồn'!H:H, 'Data nguồn'!D:D, $D57, 'Data nguồn'!F:F, $B$1, 'Data nguồn'!C:C, S$3)</f>
      </c>
      <c r="T57" s="8">
        <f>SUMIFS('Data nguồn'!H:H, 'Data nguồn'!D:D, $D57, 'Data nguồn'!F:F, $B$1, 'Data nguồn'!C:C, T$3)</f>
      </c>
      <c r="U57" s="8">
        <f>SUMIFS('Data nguồn'!H:H, 'Data nguồn'!D:D, $D57, 'Data nguồn'!F:F, $B$1, 'Data nguồn'!C:C, U$3)</f>
      </c>
      <c r="W57" s="8">
        <f>SUM(E57:P57)</f>
      </c>
      <c r="X57" s="8">
        <f>SUM(Q57:U57)</f>
      </c>
      <c r="Y57" s="8">
        <f>AVERAGE(S57:U57)</f>
      </c>
      <c r="Z57" s="8">
        <f>AVERAGE(P57:U57)</f>
      </c>
      <c r="AA57" s="8">
        <f>AVERAGE(M57:U57)</f>
      </c>
      <c r="AB57" s="4">
        <f>IFERROR((Y57*2)/(Z57+AA57), 0)</f>
      </c>
      <c r="AC57" s="4">
        <f>IFERROR(X57/SUM(E57:I57), 0)</f>
      </c>
      <c r="AD57" s="4">
        <f>IFERROR(X57/SUM(E57:I57), 0)</f>
      </c>
      <c r="AE57" s="4">
        <f>IFERROR(U57/I57, 0)</f>
      </c>
    </row>
    <row r="58" ht="20" customHeight="1" spans="1:31" x14ac:dyDescent="0.25">
      <c r="A58">
        <v>55</v>
      </c>
      <c r="B58" t="s">
        <v>57</v>
      </c>
      <c r="C58" t="s">
        <v>141</v>
      </c>
      <c r="D58" s="2" t="s">
        <v>57</v>
      </c>
      <c r="E58" s="8">
        <f>SUMIFS('Data nguồn'!H:H, 'Data nguồn'!D:D, $D58, 'Data nguồn'!F:F, $B$1, 'Data nguồn'!C:C, E$3)</f>
      </c>
      <c r="F58" s="8">
        <f>SUMIFS('Data nguồn'!H:H, 'Data nguồn'!D:D, $D58, 'Data nguồn'!F:F, $B$1, 'Data nguồn'!C:C, F$3)</f>
      </c>
      <c r="G58" s="8">
        <f>SUMIFS('Data nguồn'!H:H, 'Data nguồn'!D:D, $D58, 'Data nguồn'!F:F, $B$1, 'Data nguồn'!C:C, G$3)</f>
      </c>
      <c r="H58" s="8">
        <f>SUMIFS('Data nguồn'!H:H, 'Data nguồn'!D:D, $D58, 'Data nguồn'!F:F, $B$1, 'Data nguồn'!C:C, H$3)</f>
      </c>
      <c r="I58" s="8">
        <f>SUMIFS('Data nguồn'!H:H, 'Data nguồn'!D:D, $D58, 'Data nguồn'!F:F, $B$1, 'Data nguồn'!C:C, I$3)</f>
      </c>
      <c r="J58" s="8">
        <f>SUMIFS('Data nguồn'!H:H, 'Data nguồn'!D:D, $D58, 'Data nguồn'!F:F, $B$1, 'Data nguồn'!C:C, J$3)</f>
      </c>
      <c r="K58" s="8">
        <f>SUMIFS('Data nguồn'!H:H, 'Data nguồn'!D:D, $D58, 'Data nguồn'!F:F, $B$1, 'Data nguồn'!C:C, K$3)</f>
      </c>
      <c r="L58" s="8">
        <f>SUMIFS('Data nguồn'!H:H, 'Data nguồn'!D:D, $D58, 'Data nguồn'!F:F, $B$1, 'Data nguồn'!C:C, L$3)</f>
      </c>
      <c r="M58" s="8">
        <f>SUMIFS('Data nguồn'!H:H, 'Data nguồn'!D:D, $D58, 'Data nguồn'!F:F, $B$1, 'Data nguồn'!C:C, M$3)</f>
      </c>
      <c r="N58" s="8">
        <f>SUMIFS('Data nguồn'!H:H, 'Data nguồn'!D:D, $D58, 'Data nguồn'!F:F, $B$1, 'Data nguồn'!C:C, N$3)</f>
      </c>
      <c r="O58" s="8">
        <f>SUMIFS('Data nguồn'!H:H, 'Data nguồn'!D:D, $D58, 'Data nguồn'!F:F, $B$1, 'Data nguồn'!C:C, O$3)</f>
      </c>
      <c r="P58" s="8">
        <f>SUMIFS('Data nguồn'!H:H, 'Data nguồn'!D:D, $D58, 'Data nguồn'!F:F, $B$1, 'Data nguồn'!C:C, P$3)</f>
      </c>
      <c r="Q58" s="8">
        <f>SUMIFS('Data nguồn'!H:H, 'Data nguồn'!D:D, $D58, 'Data nguồn'!F:F, $B$1, 'Data nguồn'!C:C, Q$3)</f>
      </c>
      <c r="R58" s="8">
        <f>SUMIFS('Data nguồn'!H:H, 'Data nguồn'!D:D, $D58, 'Data nguồn'!F:F, $B$1, 'Data nguồn'!C:C, R$3)</f>
      </c>
      <c r="S58" s="8">
        <f>SUMIFS('Data nguồn'!H:H, 'Data nguồn'!D:D, $D58, 'Data nguồn'!F:F, $B$1, 'Data nguồn'!C:C, S$3)</f>
      </c>
      <c r="T58" s="8">
        <f>SUMIFS('Data nguồn'!H:H, 'Data nguồn'!D:D, $D58, 'Data nguồn'!F:F, $B$1, 'Data nguồn'!C:C, T$3)</f>
      </c>
      <c r="U58" s="8">
        <f>SUMIFS('Data nguồn'!H:H, 'Data nguồn'!D:D, $D58, 'Data nguồn'!F:F, $B$1, 'Data nguồn'!C:C, U$3)</f>
      </c>
      <c r="W58" s="8">
        <f>SUM(E58:P58)</f>
      </c>
      <c r="X58" s="8">
        <f>SUM(Q58:U58)</f>
      </c>
      <c r="Y58" s="8">
        <f>AVERAGE(S58:U58)</f>
      </c>
      <c r="Z58" s="8">
        <f>AVERAGE(P58:U58)</f>
      </c>
      <c r="AA58" s="8">
        <f>AVERAGE(M58:U58)</f>
      </c>
      <c r="AB58" s="4">
        <f>IFERROR((Y58*2)/(Z58+AA58), 0)</f>
      </c>
      <c r="AC58" s="4">
        <f>IFERROR(X58/SUM(E58:I58), 0)</f>
      </c>
      <c r="AD58" s="4">
        <f>IFERROR(X58/SUM(E58:I58), 0)</f>
      </c>
      <c r="AE58" s="4">
        <f>IFERROR(U58/I58, 0)</f>
      </c>
    </row>
    <row r="59" ht="20" customHeight="1" spans="1:31" x14ac:dyDescent="0.25">
      <c r="A59">
        <v>56</v>
      </c>
      <c r="B59" t="s">
        <v>58</v>
      </c>
      <c r="C59" t="s">
        <v>141</v>
      </c>
      <c r="D59" s="2" t="s">
        <v>58</v>
      </c>
      <c r="E59" s="8">
        <f>SUMIFS('Data nguồn'!H:H, 'Data nguồn'!D:D, $D59, 'Data nguồn'!F:F, $B$1, 'Data nguồn'!C:C, E$3)</f>
      </c>
      <c r="F59" s="8">
        <f>SUMIFS('Data nguồn'!H:H, 'Data nguồn'!D:D, $D59, 'Data nguồn'!F:F, $B$1, 'Data nguồn'!C:C, F$3)</f>
      </c>
      <c r="G59" s="8">
        <f>SUMIFS('Data nguồn'!H:H, 'Data nguồn'!D:D, $D59, 'Data nguồn'!F:F, $B$1, 'Data nguồn'!C:C, G$3)</f>
      </c>
      <c r="H59" s="8">
        <f>SUMIFS('Data nguồn'!H:H, 'Data nguồn'!D:D, $D59, 'Data nguồn'!F:F, $B$1, 'Data nguồn'!C:C, H$3)</f>
      </c>
      <c r="I59" s="8">
        <f>SUMIFS('Data nguồn'!H:H, 'Data nguồn'!D:D, $D59, 'Data nguồn'!F:F, $B$1, 'Data nguồn'!C:C, I$3)</f>
      </c>
      <c r="J59" s="8">
        <f>SUMIFS('Data nguồn'!H:H, 'Data nguồn'!D:D, $D59, 'Data nguồn'!F:F, $B$1, 'Data nguồn'!C:C, J$3)</f>
      </c>
      <c r="K59" s="8">
        <f>SUMIFS('Data nguồn'!H:H, 'Data nguồn'!D:D, $D59, 'Data nguồn'!F:F, $B$1, 'Data nguồn'!C:C, K$3)</f>
      </c>
      <c r="L59" s="8">
        <f>SUMIFS('Data nguồn'!H:H, 'Data nguồn'!D:D, $D59, 'Data nguồn'!F:F, $B$1, 'Data nguồn'!C:C, L$3)</f>
      </c>
      <c r="M59" s="8">
        <f>SUMIFS('Data nguồn'!H:H, 'Data nguồn'!D:D, $D59, 'Data nguồn'!F:F, $B$1, 'Data nguồn'!C:C, M$3)</f>
      </c>
      <c r="N59" s="8">
        <f>SUMIFS('Data nguồn'!H:H, 'Data nguồn'!D:D, $D59, 'Data nguồn'!F:F, $B$1, 'Data nguồn'!C:C, N$3)</f>
      </c>
      <c r="O59" s="8">
        <f>SUMIFS('Data nguồn'!H:H, 'Data nguồn'!D:D, $D59, 'Data nguồn'!F:F, $B$1, 'Data nguồn'!C:C, O$3)</f>
      </c>
      <c r="P59" s="8">
        <f>SUMIFS('Data nguồn'!H:H, 'Data nguồn'!D:D, $D59, 'Data nguồn'!F:F, $B$1, 'Data nguồn'!C:C, P$3)</f>
      </c>
      <c r="Q59" s="8">
        <f>SUMIFS('Data nguồn'!H:H, 'Data nguồn'!D:D, $D59, 'Data nguồn'!F:F, $B$1, 'Data nguồn'!C:C, Q$3)</f>
      </c>
      <c r="R59" s="8">
        <f>SUMIFS('Data nguồn'!H:H, 'Data nguồn'!D:D, $D59, 'Data nguồn'!F:F, $B$1, 'Data nguồn'!C:C, R$3)</f>
      </c>
      <c r="S59" s="8">
        <f>SUMIFS('Data nguồn'!H:H, 'Data nguồn'!D:D, $D59, 'Data nguồn'!F:F, $B$1, 'Data nguồn'!C:C, S$3)</f>
      </c>
      <c r="T59" s="8">
        <f>SUMIFS('Data nguồn'!H:H, 'Data nguồn'!D:D, $D59, 'Data nguồn'!F:F, $B$1, 'Data nguồn'!C:C, T$3)</f>
      </c>
      <c r="U59" s="8">
        <f>SUMIFS('Data nguồn'!H:H, 'Data nguồn'!D:D, $D59, 'Data nguồn'!F:F, $B$1, 'Data nguồn'!C:C, U$3)</f>
      </c>
      <c r="W59" s="8">
        <f>SUM(E59:P59)</f>
      </c>
      <c r="X59" s="8">
        <f>SUM(Q59:U59)</f>
      </c>
      <c r="Y59" s="8">
        <f>AVERAGE(S59:U59)</f>
      </c>
      <c r="Z59" s="8">
        <f>AVERAGE(P59:U59)</f>
      </c>
      <c r="AA59" s="8">
        <f>AVERAGE(M59:U59)</f>
      </c>
      <c r="AB59" s="4">
        <f>IFERROR((Y59*2)/(Z59+AA59), 0)</f>
      </c>
      <c r="AC59" s="4">
        <f>IFERROR(X59/SUM(E59:I59), 0)</f>
      </c>
      <c r="AD59" s="4">
        <f>IFERROR(X59/SUM(E59:I59), 0)</f>
      </c>
      <c r="AE59" s="4">
        <f>IFERROR(U59/I59, 0)</f>
      </c>
    </row>
    <row r="60" ht="20" customHeight="1" spans="1:31" x14ac:dyDescent="0.25">
      <c r="A60">
        <v>57</v>
      </c>
      <c r="B60" t="s">
        <v>59</v>
      </c>
      <c r="C60" t="s">
        <v>141</v>
      </c>
      <c r="D60" s="2" t="s">
        <v>59</v>
      </c>
      <c r="E60" s="8">
        <f>SUMIFS('Data nguồn'!H:H, 'Data nguồn'!D:D, $D60, 'Data nguồn'!F:F, $B$1, 'Data nguồn'!C:C, E$3)</f>
      </c>
      <c r="F60" s="8">
        <f>SUMIFS('Data nguồn'!H:H, 'Data nguồn'!D:D, $D60, 'Data nguồn'!F:F, $B$1, 'Data nguồn'!C:C, F$3)</f>
      </c>
      <c r="G60" s="8">
        <f>SUMIFS('Data nguồn'!H:H, 'Data nguồn'!D:D, $D60, 'Data nguồn'!F:F, $B$1, 'Data nguồn'!C:C, G$3)</f>
      </c>
      <c r="H60" s="8">
        <f>SUMIFS('Data nguồn'!H:H, 'Data nguồn'!D:D, $D60, 'Data nguồn'!F:F, $B$1, 'Data nguồn'!C:C, H$3)</f>
      </c>
      <c r="I60" s="8">
        <f>SUMIFS('Data nguồn'!H:H, 'Data nguồn'!D:D, $D60, 'Data nguồn'!F:F, $B$1, 'Data nguồn'!C:C, I$3)</f>
      </c>
      <c r="J60" s="8">
        <f>SUMIFS('Data nguồn'!H:H, 'Data nguồn'!D:D, $D60, 'Data nguồn'!F:F, $B$1, 'Data nguồn'!C:C, J$3)</f>
      </c>
      <c r="K60" s="8">
        <f>SUMIFS('Data nguồn'!H:H, 'Data nguồn'!D:D, $D60, 'Data nguồn'!F:F, $B$1, 'Data nguồn'!C:C, K$3)</f>
      </c>
      <c r="L60" s="8">
        <f>SUMIFS('Data nguồn'!H:H, 'Data nguồn'!D:D, $D60, 'Data nguồn'!F:F, $B$1, 'Data nguồn'!C:C, L$3)</f>
      </c>
      <c r="M60" s="8">
        <f>SUMIFS('Data nguồn'!H:H, 'Data nguồn'!D:D, $D60, 'Data nguồn'!F:F, $B$1, 'Data nguồn'!C:C, M$3)</f>
      </c>
      <c r="N60" s="8">
        <f>SUMIFS('Data nguồn'!H:H, 'Data nguồn'!D:D, $D60, 'Data nguồn'!F:F, $B$1, 'Data nguồn'!C:C, N$3)</f>
      </c>
      <c r="O60" s="8">
        <f>SUMIFS('Data nguồn'!H:H, 'Data nguồn'!D:D, $D60, 'Data nguồn'!F:F, $B$1, 'Data nguồn'!C:C, O$3)</f>
      </c>
      <c r="P60" s="8">
        <f>SUMIFS('Data nguồn'!H:H, 'Data nguồn'!D:D, $D60, 'Data nguồn'!F:F, $B$1, 'Data nguồn'!C:C, P$3)</f>
      </c>
      <c r="Q60" s="8">
        <f>SUMIFS('Data nguồn'!H:H, 'Data nguồn'!D:D, $D60, 'Data nguồn'!F:F, $B$1, 'Data nguồn'!C:C, Q$3)</f>
      </c>
      <c r="R60" s="8">
        <f>SUMIFS('Data nguồn'!H:H, 'Data nguồn'!D:D, $D60, 'Data nguồn'!F:F, $B$1, 'Data nguồn'!C:C, R$3)</f>
      </c>
      <c r="S60" s="8">
        <f>SUMIFS('Data nguồn'!H:H, 'Data nguồn'!D:D, $D60, 'Data nguồn'!F:F, $B$1, 'Data nguồn'!C:C, S$3)</f>
      </c>
      <c r="T60" s="8">
        <f>SUMIFS('Data nguồn'!H:H, 'Data nguồn'!D:D, $D60, 'Data nguồn'!F:F, $B$1, 'Data nguồn'!C:C, T$3)</f>
      </c>
      <c r="U60" s="8">
        <f>SUMIFS('Data nguồn'!H:H, 'Data nguồn'!D:D, $D60, 'Data nguồn'!F:F, $B$1, 'Data nguồn'!C:C, U$3)</f>
      </c>
      <c r="W60" s="8">
        <f>SUM(E60:P60)</f>
      </c>
      <c r="X60" s="8">
        <f>SUM(Q60:U60)</f>
      </c>
      <c r="Y60" s="8">
        <f>AVERAGE(S60:U60)</f>
      </c>
      <c r="Z60" s="8">
        <f>AVERAGE(P60:U60)</f>
      </c>
      <c r="AA60" s="8">
        <f>AVERAGE(M60:U60)</f>
      </c>
      <c r="AB60" s="4">
        <f>IFERROR((Y60*2)/(Z60+AA60), 0)</f>
      </c>
      <c r="AC60" s="4">
        <f>IFERROR(X60/SUM(E60:I60), 0)</f>
      </c>
      <c r="AD60" s="4">
        <f>IFERROR(X60/SUM(E60:I60), 0)</f>
      </c>
      <c r="AE60" s="4">
        <f>IFERROR(U60/I60, 0)</f>
      </c>
    </row>
    <row r="61" ht="20" customHeight="1" spans="1:31" x14ac:dyDescent="0.25">
      <c r="A61">
        <v>58</v>
      </c>
      <c r="B61" t="s">
        <v>60</v>
      </c>
      <c r="C61" t="s">
        <v>141</v>
      </c>
      <c r="D61" s="2" t="s">
        <v>60</v>
      </c>
      <c r="E61" s="8">
        <f>SUMIFS('Data nguồn'!H:H, 'Data nguồn'!D:D, $D61, 'Data nguồn'!F:F, $B$1, 'Data nguồn'!C:C, E$3)</f>
      </c>
      <c r="F61" s="8">
        <f>SUMIFS('Data nguồn'!H:H, 'Data nguồn'!D:D, $D61, 'Data nguồn'!F:F, $B$1, 'Data nguồn'!C:C, F$3)</f>
      </c>
      <c r="G61" s="8">
        <f>SUMIFS('Data nguồn'!H:H, 'Data nguồn'!D:D, $D61, 'Data nguồn'!F:F, $B$1, 'Data nguồn'!C:C, G$3)</f>
      </c>
      <c r="H61" s="8">
        <f>SUMIFS('Data nguồn'!H:H, 'Data nguồn'!D:D, $D61, 'Data nguồn'!F:F, $B$1, 'Data nguồn'!C:C, H$3)</f>
      </c>
      <c r="I61" s="8">
        <f>SUMIFS('Data nguồn'!H:H, 'Data nguồn'!D:D, $D61, 'Data nguồn'!F:F, $B$1, 'Data nguồn'!C:C, I$3)</f>
      </c>
      <c r="J61" s="8">
        <f>SUMIFS('Data nguồn'!H:H, 'Data nguồn'!D:D, $D61, 'Data nguồn'!F:F, $B$1, 'Data nguồn'!C:C, J$3)</f>
      </c>
      <c r="K61" s="8">
        <f>SUMIFS('Data nguồn'!H:H, 'Data nguồn'!D:D, $D61, 'Data nguồn'!F:F, $B$1, 'Data nguồn'!C:C, K$3)</f>
      </c>
      <c r="L61" s="8">
        <f>SUMIFS('Data nguồn'!H:H, 'Data nguồn'!D:D, $D61, 'Data nguồn'!F:F, $B$1, 'Data nguồn'!C:C, L$3)</f>
      </c>
      <c r="M61" s="8">
        <f>SUMIFS('Data nguồn'!H:H, 'Data nguồn'!D:D, $D61, 'Data nguồn'!F:F, $B$1, 'Data nguồn'!C:C, M$3)</f>
      </c>
      <c r="N61" s="8">
        <f>SUMIFS('Data nguồn'!H:H, 'Data nguồn'!D:D, $D61, 'Data nguồn'!F:F, $B$1, 'Data nguồn'!C:C, N$3)</f>
      </c>
      <c r="O61" s="8">
        <f>SUMIFS('Data nguồn'!H:H, 'Data nguồn'!D:D, $D61, 'Data nguồn'!F:F, $B$1, 'Data nguồn'!C:C, O$3)</f>
      </c>
      <c r="P61" s="8">
        <f>SUMIFS('Data nguồn'!H:H, 'Data nguồn'!D:D, $D61, 'Data nguồn'!F:F, $B$1, 'Data nguồn'!C:C, P$3)</f>
      </c>
      <c r="Q61" s="8">
        <f>SUMIFS('Data nguồn'!H:H, 'Data nguồn'!D:D, $D61, 'Data nguồn'!F:F, $B$1, 'Data nguồn'!C:C, Q$3)</f>
      </c>
      <c r="R61" s="8">
        <f>SUMIFS('Data nguồn'!H:H, 'Data nguồn'!D:D, $D61, 'Data nguồn'!F:F, $B$1, 'Data nguồn'!C:C, R$3)</f>
      </c>
      <c r="S61" s="8">
        <f>SUMIFS('Data nguồn'!H:H, 'Data nguồn'!D:D, $D61, 'Data nguồn'!F:F, $B$1, 'Data nguồn'!C:C, S$3)</f>
      </c>
      <c r="T61" s="8">
        <f>SUMIFS('Data nguồn'!H:H, 'Data nguồn'!D:D, $D61, 'Data nguồn'!F:F, $B$1, 'Data nguồn'!C:C, T$3)</f>
      </c>
      <c r="U61" s="8">
        <f>SUMIFS('Data nguồn'!H:H, 'Data nguồn'!D:D, $D61, 'Data nguồn'!F:F, $B$1, 'Data nguồn'!C:C, U$3)</f>
      </c>
      <c r="W61" s="8">
        <f>SUM(E61:P61)</f>
      </c>
      <c r="X61" s="8">
        <f>SUM(Q61:U61)</f>
      </c>
      <c r="Y61" s="8">
        <f>AVERAGE(S61:U61)</f>
      </c>
      <c r="Z61" s="8">
        <f>AVERAGE(P61:U61)</f>
      </c>
      <c r="AA61" s="8">
        <f>AVERAGE(M61:U61)</f>
      </c>
      <c r="AB61" s="4">
        <f>IFERROR((Y61*2)/(Z61+AA61), 0)</f>
      </c>
      <c r="AC61" s="4">
        <f>IFERROR(X61/SUM(E61:I61), 0)</f>
      </c>
      <c r="AD61" s="4">
        <f>IFERROR(X61/SUM(E61:I61), 0)</f>
      </c>
      <c r="AE61" s="4">
        <f>IFERROR(U61/I61, 0)</f>
      </c>
    </row>
    <row r="62" ht="20" customHeight="1" spans="1:31" x14ac:dyDescent="0.25">
      <c r="A62">
        <v>59</v>
      </c>
      <c r="B62" t="s">
        <v>61</v>
      </c>
      <c r="C62" t="s">
        <v>141</v>
      </c>
      <c r="D62" s="2" t="s">
        <v>61</v>
      </c>
      <c r="E62" s="8">
        <f>SUMIFS('Data nguồn'!H:H, 'Data nguồn'!D:D, $D62, 'Data nguồn'!F:F, $B$1, 'Data nguồn'!C:C, E$3)</f>
      </c>
      <c r="F62" s="8">
        <f>SUMIFS('Data nguồn'!H:H, 'Data nguồn'!D:D, $D62, 'Data nguồn'!F:F, $B$1, 'Data nguồn'!C:C, F$3)</f>
      </c>
      <c r="G62" s="8">
        <f>SUMIFS('Data nguồn'!H:H, 'Data nguồn'!D:D, $D62, 'Data nguồn'!F:F, $B$1, 'Data nguồn'!C:C, G$3)</f>
      </c>
      <c r="H62" s="8">
        <f>SUMIFS('Data nguồn'!H:H, 'Data nguồn'!D:D, $D62, 'Data nguồn'!F:F, $B$1, 'Data nguồn'!C:C, H$3)</f>
      </c>
      <c r="I62" s="8">
        <f>SUMIFS('Data nguồn'!H:H, 'Data nguồn'!D:D, $D62, 'Data nguồn'!F:F, $B$1, 'Data nguồn'!C:C, I$3)</f>
      </c>
      <c r="J62" s="8">
        <f>SUMIFS('Data nguồn'!H:H, 'Data nguồn'!D:D, $D62, 'Data nguồn'!F:F, $B$1, 'Data nguồn'!C:C, J$3)</f>
      </c>
      <c r="K62" s="8">
        <f>SUMIFS('Data nguồn'!H:H, 'Data nguồn'!D:D, $D62, 'Data nguồn'!F:F, $B$1, 'Data nguồn'!C:C, K$3)</f>
      </c>
      <c r="L62" s="8">
        <f>SUMIFS('Data nguồn'!H:H, 'Data nguồn'!D:D, $D62, 'Data nguồn'!F:F, $B$1, 'Data nguồn'!C:C, L$3)</f>
      </c>
      <c r="M62" s="8">
        <f>SUMIFS('Data nguồn'!H:H, 'Data nguồn'!D:D, $D62, 'Data nguồn'!F:F, $B$1, 'Data nguồn'!C:C, M$3)</f>
      </c>
      <c r="N62" s="8">
        <f>SUMIFS('Data nguồn'!H:H, 'Data nguồn'!D:D, $D62, 'Data nguồn'!F:F, $B$1, 'Data nguồn'!C:C, N$3)</f>
      </c>
      <c r="O62" s="8">
        <f>SUMIFS('Data nguồn'!H:H, 'Data nguồn'!D:D, $D62, 'Data nguồn'!F:F, $B$1, 'Data nguồn'!C:C, O$3)</f>
      </c>
      <c r="P62" s="8">
        <f>SUMIFS('Data nguồn'!H:H, 'Data nguồn'!D:D, $D62, 'Data nguồn'!F:F, $B$1, 'Data nguồn'!C:C, P$3)</f>
      </c>
      <c r="Q62" s="8">
        <f>SUMIFS('Data nguồn'!H:H, 'Data nguồn'!D:D, $D62, 'Data nguồn'!F:F, $B$1, 'Data nguồn'!C:C, Q$3)</f>
      </c>
      <c r="R62" s="8">
        <f>SUMIFS('Data nguồn'!H:H, 'Data nguồn'!D:D, $D62, 'Data nguồn'!F:F, $B$1, 'Data nguồn'!C:C, R$3)</f>
      </c>
      <c r="S62" s="8">
        <f>SUMIFS('Data nguồn'!H:H, 'Data nguồn'!D:D, $D62, 'Data nguồn'!F:F, $B$1, 'Data nguồn'!C:C, S$3)</f>
      </c>
      <c r="T62" s="8">
        <f>SUMIFS('Data nguồn'!H:H, 'Data nguồn'!D:D, $D62, 'Data nguồn'!F:F, $B$1, 'Data nguồn'!C:C, T$3)</f>
      </c>
      <c r="U62" s="8">
        <f>SUMIFS('Data nguồn'!H:H, 'Data nguồn'!D:D, $D62, 'Data nguồn'!F:F, $B$1, 'Data nguồn'!C:C, U$3)</f>
      </c>
      <c r="W62" s="8">
        <f>SUM(E62:P62)</f>
      </c>
      <c r="X62" s="8">
        <f>SUM(Q62:U62)</f>
      </c>
      <c r="Y62" s="8">
        <f>AVERAGE(S62:U62)</f>
      </c>
      <c r="Z62" s="8">
        <f>AVERAGE(P62:U62)</f>
      </c>
      <c r="AA62" s="8">
        <f>AVERAGE(M62:U62)</f>
      </c>
      <c r="AB62" s="4">
        <f>IFERROR((Y62*2)/(Z62+AA62), 0)</f>
      </c>
      <c r="AC62" s="4">
        <f>IFERROR(X62/SUM(E62:I62), 0)</f>
      </c>
      <c r="AD62" s="4">
        <f>IFERROR(X62/SUM(E62:I62), 0)</f>
      </c>
      <c r="AE62" s="4">
        <f>IFERROR(U62/I62, 0)</f>
      </c>
    </row>
    <row r="63" ht="20" customHeight="1" spans="1:31" x14ac:dyDescent="0.25">
      <c r="A63">
        <v>60</v>
      </c>
      <c r="B63" t="s">
        <v>62</v>
      </c>
      <c r="C63" t="s">
        <v>141</v>
      </c>
      <c r="D63" s="2" t="s">
        <v>62</v>
      </c>
      <c r="E63" s="8">
        <f>SUMIFS('Data nguồn'!H:H, 'Data nguồn'!D:D, $D63, 'Data nguồn'!F:F, $B$1, 'Data nguồn'!C:C, E$3)</f>
      </c>
      <c r="F63" s="8">
        <f>SUMIFS('Data nguồn'!H:H, 'Data nguồn'!D:D, $D63, 'Data nguồn'!F:F, $B$1, 'Data nguồn'!C:C, F$3)</f>
      </c>
      <c r="G63" s="8">
        <f>SUMIFS('Data nguồn'!H:H, 'Data nguồn'!D:D, $D63, 'Data nguồn'!F:F, $B$1, 'Data nguồn'!C:C, G$3)</f>
      </c>
      <c r="H63" s="8">
        <f>SUMIFS('Data nguồn'!H:H, 'Data nguồn'!D:D, $D63, 'Data nguồn'!F:F, $B$1, 'Data nguồn'!C:C, H$3)</f>
      </c>
      <c r="I63" s="8">
        <f>SUMIFS('Data nguồn'!H:H, 'Data nguồn'!D:D, $D63, 'Data nguồn'!F:F, $B$1, 'Data nguồn'!C:C, I$3)</f>
      </c>
      <c r="J63" s="8">
        <f>SUMIFS('Data nguồn'!H:H, 'Data nguồn'!D:D, $D63, 'Data nguồn'!F:F, $B$1, 'Data nguồn'!C:C, J$3)</f>
      </c>
      <c r="K63" s="8">
        <f>SUMIFS('Data nguồn'!H:H, 'Data nguồn'!D:D, $D63, 'Data nguồn'!F:F, $B$1, 'Data nguồn'!C:C, K$3)</f>
      </c>
      <c r="L63" s="8">
        <f>SUMIFS('Data nguồn'!H:H, 'Data nguồn'!D:D, $D63, 'Data nguồn'!F:F, $B$1, 'Data nguồn'!C:C, L$3)</f>
      </c>
      <c r="M63" s="8">
        <f>SUMIFS('Data nguồn'!H:H, 'Data nguồn'!D:D, $D63, 'Data nguồn'!F:F, $B$1, 'Data nguồn'!C:C, M$3)</f>
      </c>
      <c r="N63" s="8">
        <f>SUMIFS('Data nguồn'!H:H, 'Data nguồn'!D:D, $D63, 'Data nguồn'!F:F, $B$1, 'Data nguồn'!C:C, N$3)</f>
      </c>
      <c r="O63" s="8">
        <f>SUMIFS('Data nguồn'!H:H, 'Data nguồn'!D:D, $D63, 'Data nguồn'!F:F, $B$1, 'Data nguồn'!C:C, O$3)</f>
      </c>
      <c r="P63" s="8">
        <f>SUMIFS('Data nguồn'!H:H, 'Data nguồn'!D:D, $D63, 'Data nguồn'!F:F, $B$1, 'Data nguồn'!C:C, P$3)</f>
      </c>
      <c r="Q63" s="8">
        <f>SUMIFS('Data nguồn'!H:H, 'Data nguồn'!D:D, $D63, 'Data nguồn'!F:F, $B$1, 'Data nguồn'!C:C, Q$3)</f>
      </c>
      <c r="R63" s="8">
        <f>SUMIFS('Data nguồn'!H:H, 'Data nguồn'!D:D, $D63, 'Data nguồn'!F:F, $B$1, 'Data nguồn'!C:C, R$3)</f>
      </c>
      <c r="S63" s="8">
        <f>SUMIFS('Data nguồn'!H:H, 'Data nguồn'!D:D, $D63, 'Data nguồn'!F:F, $B$1, 'Data nguồn'!C:C, S$3)</f>
      </c>
      <c r="T63" s="8">
        <f>SUMIFS('Data nguồn'!H:H, 'Data nguồn'!D:D, $D63, 'Data nguồn'!F:F, $B$1, 'Data nguồn'!C:C, T$3)</f>
      </c>
      <c r="U63" s="8">
        <f>SUMIFS('Data nguồn'!H:H, 'Data nguồn'!D:D, $D63, 'Data nguồn'!F:F, $B$1, 'Data nguồn'!C:C, U$3)</f>
      </c>
      <c r="W63" s="8">
        <f>SUM(E63:P63)</f>
      </c>
      <c r="X63" s="8">
        <f>SUM(Q63:U63)</f>
      </c>
      <c r="Y63" s="8">
        <f>AVERAGE(S63:U63)</f>
      </c>
      <c r="Z63" s="8">
        <f>AVERAGE(P63:U63)</f>
      </c>
      <c r="AA63" s="8">
        <f>AVERAGE(M63:U63)</f>
      </c>
      <c r="AB63" s="4">
        <f>IFERROR((Y63*2)/(Z63+AA63), 0)</f>
      </c>
      <c r="AC63" s="4">
        <f>IFERROR(X63/SUM(E63:I63), 0)</f>
      </c>
      <c r="AD63" s="4">
        <f>IFERROR(X63/SUM(E63:I63), 0)</f>
      </c>
      <c r="AE63" s="4">
        <f>IFERROR(U63/I63, 0)</f>
      </c>
    </row>
    <row r="64" ht="20" customHeight="1" spans="1:31" x14ac:dyDescent="0.25">
      <c r="A64">
        <v>61</v>
      </c>
      <c r="B64" t="s">
        <v>63</v>
      </c>
      <c r="C64" t="s">
        <v>141</v>
      </c>
      <c r="D64" s="2" t="s">
        <v>63</v>
      </c>
      <c r="E64" s="8">
        <f>SUMIFS('Data nguồn'!H:H, 'Data nguồn'!D:D, $D64, 'Data nguồn'!F:F, $B$1, 'Data nguồn'!C:C, E$3)</f>
      </c>
      <c r="F64" s="8">
        <f>SUMIFS('Data nguồn'!H:H, 'Data nguồn'!D:D, $D64, 'Data nguồn'!F:F, $B$1, 'Data nguồn'!C:C, F$3)</f>
      </c>
      <c r="G64" s="8">
        <f>SUMIFS('Data nguồn'!H:H, 'Data nguồn'!D:D, $D64, 'Data nguồn'!F:F, $B$1, 'Data nguồn'!C:C, G$3)</f>
      </c>
      <c r="H64" s="8">
        <f>SUMIFS('Data nguồn'!H:H, 'Data nguồn'!D:D, $D64, 'Data nguồn'!F:F, $B$1, 'Data nguồn'!C:C, H$3)</f>
      </c>
      <c r="I64" s="8">
        <f>SUMIFS('Data nguồn'!H:H, 'Data nguồn'!D:D, $D64, 'Data nguồn'!F:F, $B$1, 'Data nguồn'!C:C, I$3)</f>
      </c>
      <c r="J64" s="8">
        <f>SUMIFS('Data nguồn'!H:H, 'Data nguồn'!D:D, $D64, 'Data nguồn'!F:F, $B$1, 'Data nguồn'!C:C, J$3)</f>
      </c>
      <c r="K64" s="8">
        <f>SUMIFS('Data nguồn'!H:H, 'Data nguồn'!D:D, $D64, 'Data nguồn'!F:F, $B$1, 'Data nguồn'!C:C, K$3)</f>
      </c>
      <c r="L64" s="8">
        <f>SUMIFS('Data nguồn'!H:H, 'Data nguồn'!D:D, $D64, 'Data nguồn'!F:F, $B$1, 'Data nguồn'!C:C, L$3)</f>
      </c>
      <c r="M64" s="8">
        <f>SUMIFS('Data nguồn'!H:H, 'Data nguồn'!D:D, $D64, 'Data nguồn'!F:F, $B$1, 'Data nguồn'!C:C, M$3)</f>
      </c>
      <c r="N64" s="8">
        <f>SUMIFS('Data nguồn'!H:H, 'Data nguồn'!D:D, $D64, 'Data nguồn'!F:F, $B$1, 'Data nguồn'!C:C, N$3)</f>
      </c>
      <c r="O64" s="8">
        <f>SUMIFS('Data nguồn'!H:H, 'Data nguồn'!D:D, $D64, 'Data nguồn'!F:F, $B$1, 'Data nguồn'!C:C, O$3)</f>
      </c>
      <c r="P64" s="8">
        <f>SUMIFS('Data nguồn'!H:H, 'Data nguồn'!D:D, $D64, 'Data nguồn'!F:F, $B$1, 'Data nguồn'!C:C, P$3)</f>
      </c>
      <c r="Q64" s="8">
        <f>SUMIFS('Data nguồn'!H:H, 'Data nguồn'!D:D, $D64, 'Data nguồn'!F:F, $B$1, 'Data nguồn'!C:C, Q$3)</f>
      </c>
      <c r="R64" s="8">
        <f>SUMIFS('Data nguồn'!H:H, 'Data nguồn'!D:D, $D64, 'Data nguồn'!F:F, $B$1, 'Data nguồn'!C:C, R$3)</f>
      </c>
      <c r="S64" s="8">
        <f>SUMIFS('Data nguồn'!H:H, 'Data nguồn'!D:D, $D64, 'Data nguồn'!F:F, $B$1, 'Data nguồn'!C:C, S$3)</f>
      </c>
      <c r="T64" s="8">
        <f>SUMIFS('Data nguồn'!H:H, 'Data nguồn'!D:D, $D64, 'Data nguồn'!F:F, $B$1, 'Data nguồn'!C:C, T$3)</f>
      </c>
      <c r="U64" s="8">
        <f>SUMIFS('Data nguồn'!H:H, 'Data nguồn'!D:D, $D64, 'Data nguồn'!F:F, $B$1, 'Data nguồn'!C:C, U$3)</f>
      </c>
      <c r="W64" s="8">
        <f>SUM(E64:P64)</f>
      </c>
      <c r="X64" s="8">
        <f>SUM(Q64:U64)</f>
      </c>
      <c r="Y64" s="8">
        <f>AVERAGE(S64:U64)</f>
      </c>
      <c r="Z64" s="8">
        <f>AVERAGE(P64:U64)</f>
      </c>
      <c r="AA64" s="8">
        <f>AVERAGE(M64:U64)</f>
      </c>
      <c r="AB64" s="4">
        <f>IFERROR((Y64*2)/(Z64+AA64), 0)</f>
      </c>
      <c r="AC64" s="4">
        <f>IFERROR(X64/SUM(E64:I64), 0)</f>
      </c>
      <c r="AD64" s="4">
        <f>IFERROR(X64/SUM(E64:I64), 0)</f>
      </c>
      <c r="AE64" s="4">
        <f>IFERROR(U64/I64, 0)</f>
      </c>
    </row>
    <row r="65" ht="20" customHeight="1" spans="1:31" x14ac:dyDescent="0.25">
      <c r="A65">
        <v>62</v>
      </c>
      <c r="B65" t="s">
        <v>64</v>
      </c>
      <c r="C65" t="s">
        <v>141</v>
      </c>
      <c r="D65" s="2" t="s">
        <v>64</v>
      </c>
      <c r="E65" s="8">
        <f>SUMIFS('Data nguồn'!H:H, 'Data nguồn'!D:D, $D65, 'Data nguồn'!F:F, $B$1, 'Data nguồn'!C:C, E$3)</f>
      </c>
      <c r="F65" s="8">
        <f>SUMIFS('Data nguồn'!H:H, 'Data nguồn'!D:D, $D65, 'Data nguồn'!F:F, $B$1, 'Data nguồn'!C:C, F$3)</f>
      </c>
      <c r="G65" s="8">
        <f>SUMIFS('Data nguồn'!H:H, 'Data nguồn'!D:D, $D65, 'Data nguồn'!F:F, $B$1, 'Data nguồn'!C:C, G$3)</f>
      </c>
      <c r="H65" s="8">
        <f>SUMIFS('Data nguồn'!H:H, 'Data nguồn'!D:D, $D65, 'Data nguồn'!F:F, $B$1, 'Data nguồn'!C:C, H$3)</f>
      </c>
      <c r="I65" s="8">
        <f>SUMIFS('Data nguồn'!H:H, 'Data nguồn'!D:D, $D65, 'Data nguồn'!F:F, $B$1, 'Data nguồn'!C:C, I$3)</f>
      </c>
      <c r="J65" s="8">
        <f>SUMIFS('Data nguồn'!H:H, 'Data nguồn'!D:D, $D65, 'Data nguồn'!F:F, $B$1, 'Data nguồn'!C:C, J$3)</f>
      </c>
      <c r="K65" s="8">
        <f>SUMIFS('Data nguồn'!H:H, 'Data nguồn'!D:D, $D65, 'Data nguồn'!F:F, $B$1, 'Data nguồn'!C:C, K$3)</f>
      </c>
      <c r="L65" s="8">
        <f>SUMIFS('Data nguồn'!H:H, 'Data nguồn'!D:D, $D65, 'Data nguồn'!F:F, $B$1, 'Data nguồn'!C:C, L$3)</f>
      </c>
      <c r="M65" s="8">
        <f>SUMIFS('Data nguồn'!H:H, 'Data nguồn'!D:D, $D65, 'Data nguồn'!F:F, $B$1, 'Data nguồn'!C:C, M$3)</f>
      </c>
      <c r="N65" s="8">
        <f>SUMIFS('Data nguồn'!H:H, 'Data nguồn'!D:D, $D65, 'Data nguồn'!F:F, $B$1, 'Data nguồn'!C:C, N$3)</f>
      </c>
      <c r="O65" s="8">
        <f>SUMIFS('Data nguồn'!H:H, 'Data nguồn'!D:D, $D65, 'Data nguồn'!F:F, $B$1, 'Data nguồn'!C:C, O$3)</f>
      </c>
      <c r="P65" s="8">
        <f>SUMIFS('Data nguồn'!H:H, 'Data nguồn'!D:D, $D65, 'Data nguồn'!F:F, $B$1, 'Data nguồn'!C:C, P$3)</f>
      </c>
      <c r="Q65" s="8">
        <f>SUMIFS('Data nguồn'!H:H, 'Data nguồn'!D:D, $D65, 'Data nguồn'!F:F, $B$1, 'Data nguồn'!C:C, Q$3)</f>
      </c>
      <c r="R65" s="8">
        <f>SUMIFS('Data nguồn'!H:H, 'Data nguồn'!D:D, $D65, 'Data nguồn'!F:F, $B$1, 'Data nguồn'!C:C, R$3)</f>
      </c>
      <c r="S65" s="8">
        <f>SUMIFS('Data nguồn'!H:H, 'Data nguồn'!D:D, $D65, 'Data nguồn'!F:F, $B$1, 'Data nguồn'!C:C, S$3)</f>
      </c>
      <c r="T65" s="8">
        <f>SUMIFS('Data nguồn'!H:H, 'Data nguồn'!D:D, $D65, 'Data nguồn'!F:F, $B$1, 'Data nguồn'!C:C, T$3)</f>
      </c>
      <c r="U65" s="8">
        <f>SUMIFS('Data nguồn'!H:H, 'Data nguồn'!D:D, $D65, 'Data nguồn'!F:F, $B$1, 'Data nguồn'!C:C, U$3)</f>
      </c>
      <c r="W65" s="8">
        <f>SUM(E65:P65)</f>
      </c>
      <c r="X65" s="8">
        <f>SUM(Q65:U65)</f>
      </c>
      <c r="Y65" s="8">
        <f>AVERAGE(S65:U65)</f>
      </c>
      <c r="Z65" s="8">
        <f>AVERAGE(P65:U65)</f>
      </c>
      <c r="AA65" s="8">
        <f>AVERAGE(M65:U65)</f>
      </c>
      <c r="AB65" s="4">
        <f>IFERROR((Y65*2)/(Z65+AA65), 0)</f>
      </c>
      <c r="AC65" s="4">
        <f>IFERROR(X65/SUM(E65:I65), 0)</f>
      </c>
      <c r="AD65" s="4">
        <f>IFERROR(X65/SUM(E65:I65), 0)</f>
      </c>
      <c r="AE65" s="4">
        <f>IFERROR(U65/I65, 0)</f>
      </c>
    </row>
    <row r="66" ht="20" customHeight="1" spans="1:31" x14ac:dyDescent="0.25">
      <c r="A66">
        <v>63</v>
      </c>
      <c r="B66" t="s">
        <v>65</v>
      </c>
      <c r="C66" t="s">
        <v>141</v>
      </c>
      <c r="D66" s="2" t="s">
        <v>65</v>
      </c>
      <c r="E66" s="8">
        <f>SUMIFS('Data nguồn'!H:H, 'Data nguồn'!D:D, $D66, 'Data nguồn'!F:F, $B$1, 'Data nguồn'!C:C, E$3)</f>
      </c>
      <c r="F66" s="8">
        <f>SUMIFS('Data nguồn'!H:H, 'Data nguồn'!D:D, $D66, 'Data nguồn'!F:F, $B$1, 'Data nguồn'!C:C, F$3)</f>
      </c>
      <c r="G66" s="8">
        <f>SUMIFS('Data nguồn'!H:H, 'Data nguồn'!D:D, $D66, 'Data nguồn'!F:F, $B$1, 'Data nguồn'!C:C, G$3)</f>
      </c>
      <c r="H66" s="8">
        <f>SUMIFS('Data nguồn'!H:H, 'Data nguồn'!D:D, $D66, 'Data nguồn'!F:F, $B$1, 'Data nguồn'!C:C, H$3)</f>
      </c>
      <c r="I66" s="8">
        <f>SUMIFS('Data nguồn'!H:H, 'Data nguồn'!D:D, $D66, 'Data nguồn'!F:F, $B$1, 'Data nguồn'!C:C, I$3)</f>
      </c>
      <c r="J66" s="8">
        <f>SUMIFS('Data nguồn'!H:H, 'Data nguồn'!D:D, $D66, 'Data nguồn'!F:F, $B$1, 'Data nguồn'!C:C, J$3)</f>
      </c>
      <c r="K66" s="8">
        <f>SUMIFS('Data nguồn'!H:H, 'Data nguồn'!D:D, $D66, 'Data nguồn'!F:F, $B$1, 'Data nguồn'!C:C, K$3)</f>
      </c>
      <c r="L66" s="8">
        <f>SUMIFS('Data nguồn'!H:H, 'Data nguồn'!D:D, $D66, 'Data nguồn'!F:F, $B$1, 'Data nguồn'!C:C, L$3)</f>
      </c>
      <c r="M66" s="8">
        <f>SUMIFS('Data nguồn'!H:H, 'Data nguồn'!D:D, $D66, 'Data nguồn'!F:F, $B$1, 'Data nguồn'!C:C, M$3)</f>
      </c>
      <c r="N66" s="8">
        <f>SUMIFS('Data nguồn'!H:H, 'Data nguồn'!D:D, $D66, 'Data nguồn'!F:F, $B$1, 'Data nguồn'!C:C, N$3)</f>
      </c>
      <c r="O66" s="8">
        <f>SUMIFS('Data nguồn'!H:H, 'Data nguồn'!D:D, $D66, 'Data nguồn'!F:F, $B$1, 'Data nguồn'!C:C, O$3)</f>
      </c>
      <c r="P66" s="8">
        <f>SUMIFS('Data nguồn'!H:H, 'Data nguồn'!D:D, $D66, 'Data nguồn'!F:F, $B$1, 'Data nguồn'!C:C, P$3)</f>
      </c>
      <c r="Q66" s="8">
        <f>SUMIFS('Data nguồn'!H:H, 'Data nguồn'!D:D, $D66, 'Data nguồn'!F:F, $B$1, 'Data nguồn'!C:C, Q$3)</f>
      </c>
      <c r="R66" s="8">
        <f>SUMIFS('Data nguồn'!H:H, 'Data nguồn'!D:D, $D66, 'Data nguồn'!F:F, $B$1, 'Data nguồn'!C:C, R$3)</f>
      </c>
      <c r="S66" s="8">
        <f>SUMIFS('Data nguồn'!H:H, 'Data nguồn'!D:D, $D66, 'Data nguồn'!F:F, $B$1, 'Data nguồn'!C:C, S$3)</f>
      </c>
      <c r="T66" s="8">
        <f>SUMIFS('Data nguồn'!H:H, 'Data nguồn'!D:D, $D66, 'Data nguồn'!F:F, $B$1, 'Data nguồn'!C:C, T$3)</f>
      </c>
      <c r="U66" s="8">
        <f>SUMIFS('Data nguồn'!H:H, 'Data nguồn'!D:D, $D66, 'Data nguồn'!F:F, $B$1, 'Data nguồn'!C:C, U$3)</f>
      </c>
      <c r="W66" s="8">
        <f>SUM(E66:P66)</f>
      </c>
      <c r="X66" s="8">
        <f>SUM(Q66:U66)</f>
      </c>
      <c r="Y66" s="8">
        <f>AVERAGE(S66:U66)</f>
      </c>
      <c r="Z66" s="8">
        <f>AVERAGE(P66:U66)</f>
      </c>
      <c r="AA66" s="8">
        <f>AVERAGE(M66:U66)</f>
      </c>
      <c r="AB66" s="4">
        <f>IFERROR((Y66*2)/(Z66+AA66), 0)</f>
      </c>
      <c r="AC66" s="4">
        <f>IFERROR(X66/SUM(E66:I66), 0)</f>
      </c>
      <c r="AD66" s="4">
        <f>IFERROR(X66/SUM(E66:I66), 0)</f>
      </c>
      <c r="AE66" s="4">
        <f>IFERROR(U66/I66, 0)</f>
      </c>
    </row>
    <row r="67" ht="20" customHeight="1" spans="1:31" x14ac:dyDescent="0.25">
      <c r="A67">
        <v>64</v>
      </c>
      <c r="B67" t="s">
        <v>66</v>
      </c>
      <c r="C67" t="s">
        <v>141</v>
      </c>
      <c r="D67" s="2" t="s">
        <v>66</v>
      </c>
      <c r="E67" s="8">
        <f>SUMIFS('Data nguồn'!H:H, 'Data nguồn'!D:D, $D67, 'Data nguồn'!F:F, $B$1, 'Data nguồn'!C:C, E$3)</f>
      </c>
      <c r="F67" s="8">
        <f>SUMIFS('Data nguồn'!H:H, 'Data nguồn'!D:D, $D67, 'Data nguồn'!F:F, $B$1, 'Data nguồn'!C:C, F$3)</f>
      </c>
      <c r="G67" s="8">
        <f>SUMIFS('Data nguồn'!H:H, 'Data nguồn'!D:D, $D67, 'Data nguồn'!F:F, $B$1, 'Data nguồn'!C:C, G$3)</f>
      </c>
      <c r="H67" s="8">
        <f>SUMIFS('Data nguồn'!H:H, 'Data nguồn'!D:D, $D67, 'Data nguồn'!F:F, $B$1, 'Data nguồn'!C:C, H$3)</f>
      </c>
      <c r="I67" s="8">
        <f>SUMIFS('Data nguồn'!H:H, 'Data nguồn'!D:D, $D67, 'Data nguồn'!F:F, $B$1, 'Data nguồn'!C:C, I$3)</f>
      </c>
      <c r="J67" s="8">
        <f>SUMIFS('Data nguồn'!H:H, 'Data nguồn'!D:D, $D67, 'Data nguồn'!F:F, $B$1, 'Data nguồn'!C:C, J$3)</f>
      </c>
      <c r="K67" s="8">
        <f>SUMIFS('Data nguồn'!H:H, 'Data nguồn'!D:D, $D67, 'Data nguồn'!F:F, $B$1, 'Data nguồn'!C:C, K$3)</f>
      </c>
      <c r="L67" s="8">
        <f>SUMIFS('Data nguồn'!H:H, 'Data nguồn'!D:D, $D67, 'Data nguồn'!F:F, $B$1, 'Data nguồn'!C:C, L$3)</f>
      </c>
      <c r="M67" s="8">
        <f>SUMIFS('Data nguồn'!H:H, 'Data nguồn'!D:D, $D67, 'Data nguồn'!F:F, $B$1, 'Data nguồn'!C:C, M$3)</f>
      </c>
      <c r="N67" s="8">
        <f>SUMIFS('Data nguồn'!H:H, 'Data nguồn'!D:D, $D67, 'Data nguồn'!F:F, $B$1, 'Data nguồn'!C:C, N$3)</f>
      </c>
      <c r="O67" s="8">
        <f>SUMIFS('Data nguồn'!H:H, 'Data nguồn'!D:D, $D67, 'Data nguồn'!F:F, $B$1, 'Data nguồn'!C:C, O$3)</f>
      </c>
      <c r="P67" s="8">
        <f>SUMIFS('Data nguồn'!H:H, 'Data nguồn'!D:D, $D67, 'Data nguồn'!F:F, $B$1, 'Data nguồn'!C:C, P$3)</f>
      </c>
      <c r="Q67" s="8">
        <f>SUMIFS('Data nguồn'!H:H, 'Data nguồn'!D:D, $D67, 'Data nguồn'!F:F, $B$1, 'Data nguồn'!C:C, Q$3)</f>
      </c>
      <c r="R67" s="8">
        <f>SUMIFS('Data nguồn'!H:H, 'Data nguồn'!D:D, $D67, 'Data nguồn'!F:F, $B$1, 'Data nguồn'!C:C, R$3)</f>
      </c>
      <c r="S67" s="8">
        <f>SUMIFS('Data nguồn'!H:H, 'Data nguồn'!D:D, $D67, 'Data nguồn'!F:F, $B$1, 'Data nguồn'!C:C, S$3)</f>
      </c>
      <c r="T67" s="8">
        <f>SUMIFS('Data nguồn'!H:H, 'Data nguồn'!D:D, $D67, 'Data nguồn'!F:F, $B$1, 'Data nguồn'!C:C, T$3)</f>
      </c>
      <c r="U67" s="8">
        <f>SUMIFS('Data nguồn'!H:H, 'Data nguồn'!D:D, $D67, 'Data nguồn'!F:F, $B$1, 'Data nguồn'!C:C, U$3)</f>
      </c>
      <c r="W67" s="8">
        <f>SUM(E67:P67)</f>
      </c>
      <c r="X67" s="8">
        <f>SUM(Q67:U67)</f>
      </c>
      <c r="Y67" s="8">
        <f>AVERAGE(S67:U67)</f>
      </c>
      <c r="Z67" s="8">
        <f>AVERAGE(P67:U67)</f>
      </c>
      <c r="AA67" s="8">
        <f>AVERAGE(M67:U67)</f>
      </c>
      <c r="AB67" s="4">
        <f>IFERROR((Y67*2)/(Z67+AA67), 0)</f>
      </c>
      <c r="AC67" s="4">
        <f>IFERROR(X67/SUM(E67:I67), 0)</f>
      </c>
      <c r="AD67" s="4">
        <f>IFERROR(X67/SUM(E67:I67), 0)</f>
      </c>
      <c r="AE67" s="4">
        <f>IFERROR(U67/I67, 0)</f>
      </c>
    </row>
    <row r="68" ht="20" customHeight="1" spans="1:31" x14ac:dyDescent="0.25">
      <c r="A68">
        <v>65</v>
      </c>
      <c r="B68" t="s">
        <v>67</v>
      </c>
      <c r="C68" t="s">
        <v>141</v>
      </c>
      <c r="D68" s="2" t="s">
        <v>67</v>
      </c>
      <c r="E68" s="8">
        <f>SUMIFS('Data nguồn'!H:H, 'Data nguồn'!D:D, $D68, 'Data nguồn'!F:F, $B$1, 'Data nguồn'!C:C, E$3)</f>
      </c>
      <c r="F68" s="8">
        <f>SUMIFS('Data nguồn'!H:H, 'Data nguồn'!D:D, $D68, 'Data nguồn'!F:F, $B$1, 'Data nguồn'!C:C, F$3)</f>
      </c>
      <c r="G68" s="8">
        <f>SUMIFS('Data nguồn'!H:H, 'Data nguồn'!D:D, $D68, 'Data nguồn'!F:F, $B$1, 'Data nguồn'!C:C, G$3)</f>
      </c>
      <c r="H68" s="8">
        <f>SUMIFS('Data nguồn'!H:H, 'Data nguồn'!D:D, $D68, 'Data nguồn'!F:F, $B$1, 'Data nguồn'!C:C, H$3)</f>
      </c>
      <c r="I68" s="8">
        <f>SUMIFS('Data nguồn'!H:H, 'Data nguồn'!D:D, $D68, 'Data nguồn'!F:F, $B$1, 'Data nguồn'!C:C, I$3)</f>
      </c>
      <c r="J68" s="8">
        <f>SUMIFS('Data nguồn'!H:H, 'Data nguồn'!D:D, $D68, 'Data nguồn'!F:F, $B$1, 'Data nguồn'!C:C, J$3)</f>
      </c>
      <c r="K68" s="8">
        <f>SUMIFS('Data nguồn'!H:H, 'Data nguồn'!D:D, $D68, 'Data nguồn'!F:F, $B$1, 'Data nguồn'!C:C, K$3)</f>
      </c>
      <c r="L68" s="8">
        <f>SUMIFS('Data nguồn'!H:H, 'Data nguồn'!D:D, $D68, 'Data nguồn'!F:F, $B$1, 'Data nguồn'!C:C, L$3)</f>
      </c>
      <c r="M68" s="8">
        <f>SUMIFS('Data nguồn'!H:H, 'Data nguồn'!D:D, $D68, 'Data nguồn'!F:F, $B$1, 'Data nguồn'!C:C, M$3)</f>
      </c>
      <c r="N68" s="8">
        <f>SUMIFS('Data nguồn'!H:H, 'Data nguồn'!D:D, $D68, 'Data nguồn'!F:F, $B$1, 'Data nguồn'!C:C, N$3)</f>
      </c>
      <c r="O68" s="8">
        <f>SUMIFS('Data nguồn'!H:H, 'Data nguồn'!D:D, $D68, 'Data nguồn'!F:F, $B$1, 'Data nguồn'!C:C, O$3)</f>
      </c>
      <c r="P68" s="8">
        <f>SUMIFS('Data nguồn'!H:H, 'Data nguồn'!D:D, $D68, 'Data nguồn'!F:F, $B$1, 'Data nguồn'!C:C, P$3)</f>
      </c>
      <c r="Q68" s="8">
        <f>SUMIFS('Data nguồn'!H:H, 'Data nguồn'!D:D, $D68, 'Data nguồn'!F:F, $B$1, 'Data nguồn'!C:C, Q$3)</f>
      </c>
      <c r="R68" s="8">
        <f>SUMIFS('Data nguồn'!H:H, 'Data nguồn'!D:D, $D68, 'Data nguồn'!F:F, $B$1, 'Data nguồn'!C:C, R$3)</f>
      </c>
      <c r="S68" s="8">
        <f>SUMIFS('Data nguồn'!H:H, 'Data nguồn'!D:D, $D68, 'Data nguồn'!F:F, $B$1, 'Data nguồn'!C:C, S$3)</f>
      </c>
      <c r="T68" s="8">
        <f>SUMIFS('Data nguồn'!H:H, 'Data nguồn'!D:D, $D68, 'Data nguồn'!F:F, $B$1, 'Data nguồn'!C:C, T$3)</f>
      </c>
      <c r="U68" s="8">
        <f>SUMIFS('Data nguồn'!H:H, 'Data nguồn'!D:D, $D68, 'Data nguồn'!F:F, $B$1, 'Data nguồn'!C:C, U$3)</f>
      </c>
      <c r="W68" s="8">
        <f>SUM(E68:P68)</f>
      </c>
      <c r="X68" s="8">
        <f>SUM(Q68:U68)</f>
      </c>
      <c r="Y68" s="8">
        <f>AVERAGE(S68:U68)</f>
      </c>
      <c r="Z68" s="8">
        <f>AVERAGE(P68:U68)</f>
      </c>
      <c r="AA68" s="8">
        <f>AVERAGE(M68:U68)</f>
      </c>
      <c r="AB68" s="4">
        <f>IFERROR((Y68*2)/(Z68+AA68), 0)</f>
      </c>
      <c r="AC68" s="4">
        <f>IFERROR(X68/SUM(E68:I68), 0)</f>
      </c>
      <c r="AD68" s="4">
        <f>IFERROR(X68/SUM(E68:I68), 0)</f>
      </c>
      <c r="AE68" s="4">
        <f>IFERROR(U68/I68, 0)</f>
      </c>
    </row>
    <row r="69" ht="20" customHeight="1" spans="1:31" x14ac:dyDescent="0.25">
      <c r="A69">
        <v>66</v>
      </c>
      <c r="B69" t="s">
        <v>68</v>
      </c>
      <c r="C69" t="s">
        <v>141</v>
      </c>
      <c r="D69" s="2" t="s">
        <v>68</v>
      </c>
      <c r="E69" s="8">
        <f>SUMIFS('Data nguồn'!H:H, 'Data nguồn'!D:D, $D69, 'Data nguồn'!F:F, $B$1, 'Data nguồn'!C:C, E$3)</f>
      </c>
      <c r="F69" s="8">
        <f>SUMIFS('Data nguồn'!H:H, 'Data nguồn'!D:D, $D69, 'Data nguồn'!F:F, $B$1, 'Data nguồn'!C:C, F$3)</f>
      </c>
      <c r="G69" s="8">
        <f>SUMIFS('Data nguồn'!H:H, 'Data nguồn'!D:D, $D69, 'Data nguồn'!F:F, $B$1, 'Data nguồn'!C:C, G$3)</f>
      </c>
      <c r="H69" s="8">
        <f>SUMIFS('Data nguồn'!H:H, 'Data nguồn'!D:D, $D69, 'Data nguồn'!F:F, $B$1, 'Data nguồn'!C:C, H$3)</f>
      </c>
      <c r="I69" s="8">
        <f>SUMIFS('Data nguồn'!H:H, 'Data nguồn'!D:D, $D69, 'Data nguồn'!F:F, $B$1, 'Data nguồn'!C:C, I$3)</f>
      </c>
      <c r="J69" s="8">
        <f>SUMIFS('Data nguồn'!H:H, 'Data nguồn'!D:D, $D69, 'Data nguồn'!F:F, $B$1, 'Data nguồn'!C:C, J$3)</f>
      </c>
      <c r="K69" s="8">
        <f>SUMIFS('Data nguồn'!H:H, 'Data nguồn'!D:D, $D69, 'Data nguồn'!F:F, $B$1, 'Data nguồn'!C:C, K$3)</f>
      </c>
      <c r="L69" s="8">
        <f>SUMIFS('Data nguồn'!H:H, 'Data nguồn'!D:D, $D69, 'Data nguồn'!F:F, $B$1, 'Data nguồn'!C:C, L$3)</f>
      </c>
      <c r="M69" s="8">
        <f>SUMIFS('Data nguồn'!H:H, 'Data nguồn'!D:D, $D69, 'Data nguồn'!F:F, $B$1, 'Data nguồn'!C:C, M$3)</f>
      </c>
      <c r="N69" s="8">
        <f>SUMIFS('Data nguồn'!H:H, 'Data nguồn'!D:D, $D69, 'Data nguồn'!F:F, $B$1, 'Data nguồn'!C:C, N$3)</f>
      </c>
      <c r="O69" s="8">
        <f>SUMIFS('Data nguồn'!H:H, 'Data nguồn'!D:D, $D69, 'Data nguồn'!F:F, $B$1, 'Data nguồn'!C:C, O$3)</f>
      </c>
      <c r="P69" s="8">
        <f>SUMIFS('Data nguồn'!H:H, 'Data nguồn'!D:D, $D69, 'Data nguồn'!F:F, $B$1, 'Data nguồn'!C:C, P$3)</f>
      </c>
      <c r="Q69" s="8">
        <f>SUMIFS('Data nguồn'!H:H, 'Data nguồn'!D:D, $D69, 'Data nguồn'!F:F, $B$1, 'Data nguồn'!C:C, Q$3)</f>
      </c>
      <c r="R69" s="8">
        <f>SUMIFS('Data nguồn'!H:H, 'Data nguồn'!D:D, $D69, 'Data nguồn'!F:F, $B$1, 'Data nguồn'!C:C, R$3)</f>
      </c>
      <c r="S69" s="8">
        <f>SUMIFS('Data nguồn'!H:H, 'Data nguồn'!D:D, $D69, 'Data nguồn'!F:F, $B$1, 'Data nguồn'!C:C, S$3)</f>
      </c>
      <c r="T69" s="8">
        <f>SUMIFS('Data nguồn'!H:H, 'Data nguồn'!D:D, $D69, 'Data nguồn'!F:F, $B$1, 'Data nguồn'!C:C, T$3)</f>
      </c>
      <c r="U69" s="8">
        <f>SUMIFS('Data nguồn'!H:H, 'Data nguồn'!D:D, $D69, 'Data nguồn'!F:F, $B$1, 'Data nguồn'!C:C, U$3)</f>
      </c>
      <c r="W69" s="8">
        <f>SUM(E69:P69)</f>
      </c>
      <c r="X69" s="8">
        <f>SUM(Q69:U69)</f>
      </c>
      <c r="Y69" s="8">
        <f>AVERAGE(S69:U69)</f>
      </c>
      <c r="Z69" s="8">
        <f>AVERAGE(P69:U69)</f>
      </c>
      <c r="AA69" s="8">
        <f>AVERAGE(M69:U69)</f>
      </c>
      <c r="AB69" s="4">
        <f>IFERROR((Y69*2)/(Z69+AA69), 0)</f>
      </c>
      <c r="AC69" s="4">
        <f>IFERROR(X69/SUM(E69:I69), 0)</f>
      </c>
      <c r="AD69" s="4">
        <f>IFERROR(X69/SUM(E69:I69), 0)</f>
      </c>
      <c r="AE69" s="4">
        <f>IFERROR(U69/I69, 0)</f>
      </c>
    </row>
    <row r="70" ht="20" customHeight="1" spans="1:31" x14ac:dyDescent="0.25">
      <c r="A70">
        <v>67</v>
      </c>
      <c r="B70" t="s">
        <v>69</v>
      </c>
      <c r="C70" t="s">
        <v>141</v>
      </c>
      <c r="D70" s="2" t="s">
        <v>69</v>
      </c>
      <c r="E70" s="8">
        <f>SUMIFS('Data nguồn'!H:H, 'Data nguồn'!D:D, $D70, 'Data nguồn'!F:F, $B$1, 'Data nguồn'!C:C, E$3)</f>
      </c>
      <c r="F70" s="8">
        <f>SUMIFS('Data nguồn'!H:H, 'Data nguồn'!D:D, $D70, 'Data nguồn'!F:F, $B$1, 'Data nguồn'!C:C, F$3)</f>
      </c>
      <c r="G70" s="8">
        <f>SUMIFS('Data nguồn'!H:H, 'Data nguồn'!D:D, $D70, 'Data nguồn'!F:F, $B$1, 'Data nguồn'!C:C, G$3)</f>
      </c>
      <c r="H70" s="8">
        <f>SUMIFS('Data nguồn'!H:H, 'Data nguồn'!D:D, $D70, 'Data nguồn'!F:F, $B$1, 'Data nguồn'!C:C, H$3)</f>
      </c>
      <c r="I70" s="8">
        <f>SUMIFS('Data nguồn'!H:H, 'Data nguồn'!D:D, $D70, 'Data nguồn'!F:F, $B$1, 'Data nguồn'!C:C, I$3)</f>
      </c>
      <c r="J70" s="8">
        <f>SUMIFS('Data nguồn'!H:H, 'Data nguồn'!D:D, $D70, 'Data nguồn'!F:F, $B$1, 'Data nguồn'!C:C, J$3)</f>
      </c>
      <c r="K70" s="8">
        <f>SUMIFS('Data nguồn'!H:H, 'Data nguồn'!D:D, $D70, 'Data nguồn'!F:F, $B$1, 'Data nguồn'!C:C, K$3)</f>
      </c>
      <c r="L70" s="8">
        <f>SUMIFS('Data nguồn'!H:H, 'Data nguồn'!D:D, $D70, 'Data nguồn'!F:F, $B$1, 'Data nguồn'!C:C, L$3)</f>
      </c>
      <c r="M70" s="8">
        <f>SUMIFS('Data nguồn'!H:H, 'Data nguồn'!D:D, $D70, 'Data nguồn'!F:F, $B$1, 'Data nguồn'!C:C, M$3)</f>
      </c>
      <c r="N70" s="8">
        <f>SUMIFS('Data nguồn'!H:H, 'Data nguồn'!D:D, $D70, 'Data nguồn'!F:F, $B$1, 'Data nguồn'!C:C, N$3)</f>
      </c>
      <c r="O70" s="8">
        <f>SUMIFS('Data nguồn'!H:H, 'Data nguồn'!D:D, $D70, 'Data nguồn'!F:F, $B$1, 'Data nguồn'!C:C, O$3)</f>
      </c>
      <c r="P70" s="8">
        <f>SUMIFS('Data nguồn'!H:H, 'Data nguồn'!D:D, $D70, 'Data nguồn'!F:F, $B$1, 'Data nguồn'!C:C, P$3)</f>
      </c>
      <c r="Q70" s="8">
        <f>SUMIFS('Data nguồn'!H:H, 'Data nguồn'!D:D, $D70, 'Data nguồn'!F:F, $B$1, 'Data nguồn'!C:C, Q$3)</f>
      </c>
      <c r="R70" s="8">
        <f>SUMIFS('Data nguồn'!H:H, 'Data nguồn'!D:D, $D70, 'Data nguồn'!F:F, $B$1, 'Data nguồn'!C:C, R$3)</f>
      </c>
      <c r="S70" s="8">
        <f>SUMIFS('Data nguồn'!H:H, 'Data nguồn'!D:D, $D70, 'Data nguồn'!F:F, $B$1, 'Data nguồn'!C:C, S$3)</f>
      </c>
      <c r="T70" s="8">
        <f>SUMIFS('Data nguồn'!H:H, 'Data nguồn'!D:D, $D70, 'Data nguồn'!F:F, $B$1, 'Data nguồn'!C:C, T$3)</f>
      </c>
      <c r="U70" s="8">
        <f>SUMIFS('Data nguồn'!H:H, 'Data nguồn'!D:D, $D70, 'Data nguồn'!F:F, $B$1, 'Data nguồn'!C:C, U$3)</f>
      </c>
      <c r="W70" s="8">
        <f>SUM(E70:P70)</f>
      </c>
      <c r="X70" s="8">
        <f>SUM(Q70:U70)</f>
      </c>
      <c r="Y70" s="8">
        <f>AVERAGE(S70:U70)</f>
      </c>
      <c r="Z70" s="8">
        <f>AVERAGE(P70:U70)</f>
      </c>
      <c r="AA70" s="8">
        <f>AVERAGE(M70:U70)</f>
      </c>
      <c r="AB70" s="4">
        <f>IFERROR((Y70*2)/(Z70+AA70), 0)</f>
      </c>
      <c r="AC70" s="4">
        <f>IFERROR(X70/SUM(E70:I70), 0)</f>
      </c>
      <c r="AD70" s="4">
        <f>IFERROR(X70/SUM(E70:I70), 0)</f>
      </c>
      <c r="AE70" s="4">
        <f>IFERROR(U70/I70, 0)</f>
      </c>
    </row>
    <row r="71" ht="20" customHeight="1" spans="1:31" x14ac:dyDescent="0.25">
      <c r="A71">
        <v>68</v>
      </c>
      <c r="B71" t="s">
        <v>70</v>
      </c>
      <c r="C71" t="s">
        <v>141</v>
      </c>
      <c r="D71" s="2" t="s">
        <v>70</v>
      </c>
      <c r="E71" s="8">
        <f>SUMIFS('Data nguồn'!H:H, 'Data nguồn'!D:D, $D71, 'Data nguồn'!F:F, $B$1, 'Data nguồn'!C:C, E$3)</f>
      </c>
      <c r="F71" s="8">
        <f>SUMIFS('Data nguồn'!H:H, 'Data nguồn'!D:D, $D71, 'Data nguồn'!F:F, $B$1, 'Data nguồn'!C:C, F$3)</f>
      </c>
      <c r="G71" s="8">
        <f>SUMIFS('Data nguồn'!H:H, 'Data nguồn'!D:D, $D71, 'Data nguồn'!F:F, $B$1, 'Data nguồn'!C:C, G$3)</f>
      </c>
      <c r="H71" s="8">
        <f>SUMIFS('Data nguồn'!H:H, 'Data nguồn'!D:D, $D71, 'Data nguồn'!F:F, $B$1, 'Data nguồn'!C:C, H$3)</f>
      </c>
      <c r="I71" s="8">
        <f>SUMIFS('Data nguồn'!H:H, 'Data nguồn'!D:D, $D71, 'Data nguồn'!F:F, $B$1, 'Data nguồn'!C:C, I$3)</f>
      </c>
      <c r="J71" s="8">
        <f>SUMIFS('Data nguồn'!H:H, 'Data nguồn'!D:D, $D71, 'Data nguồn'!F:F, $B$1, 'Data nguồn'!C:C, J$3)</f>
      </c>
      <c r="K71" s="8">
        <f>SUMIFS('Data nguồn'!H:H, 'Data nguồn'!D:D, $D71, 'Data nguồn'!F:F, $B$1, 'Data nguồn'!C:C, K$3)</f>
      </c>
      <c r="L71" s="8">
        <f>SUMIFS('Data nguồn'!H:H, 'Data nguồn'!D:D, $D71, 'Data nguồn'!F:F, $B$1, 'Data nguồn'!C:C, L$3)</f>
      </c>
      <c r="M71" s="8">
        <f>SUMIFS('Data nguồn'!H:H, 'Data nguồn'!D:D, $D71, 'Data nguồn'!F:F, $B$1, 'Data nguồn'!C:C, M$3)</f>
      </c>
      <c r="N71" s="8">
        <f>SUMIFS('Data nguồn'!H:H, 'Data nguồn'!D:D, $D71, 'Data nguồn'!F:F, $B$1, 'Data nguồn'!C:C, N$3)</f>
      </c>
      <c r="O71" s="8">
        <f>SUMIFS('Data nguồn'!H:H, 'Data nguồn'!D:D, $D71, 'Data nguồn'!F:F, $B$1, 'Data nguồn'!C:C, O$3)</f>
      </c>
      <c r="P71" s="8">
        <f>SUMIFS('Data nguồn'!H:H, 'Data nguồn'!D:D, $D71, 'Data nguồn'!F:F, $B$1, 'Data nguồn'!C:C, P$3)</f>
      </c>
      <c r="Q71" s="8">
        <f>SUMIFS('Data nguồn'!H:H, 'Data nguồn'!D:D, $D71, 'Data nguồn'!F:F, $B$1, 'Data nguồn'!C:C, Q$3)</f>
      </c>
      <c r="R71" s="8">
        <f>SUMIFS('Data nguồn'!H:H, 'Data nguồn'!D:D, $D71, 'Data nguồn'!F:F, $B$1, 'Data nguồn'!C:C, R$3)</f>
      </c>
      <c r="S71" s="8">
        <f>SUMIFS('Data nguồn'!H:H, 'Data nguồn'!D:D, $D71, 'Data nguồn'!F:F, $B$1, 'Data nguồn'!C:C, S$3)</f>
      </c>
      <c r="T71" s="8">
        <f>SUMIFS('Data nguồn'!H:H, 'Data nguồn'!D:D, $D71, 'Data nguồn'!F:F, $B$1, 'Data nguồn'!C:C, T$3)</f>
      </c>
      <c r="U71" s="8">
        <f>SUMIFS('Data nguồn'!H:H, 'Data nguồn'!D:D, $D71, 'Data nguồn'!F:F, $B$1, 'Data nguồn'!C:C, U$3)</f>
      </c>
      <c r="W71" s="8">
        <f>SUM(E71:P71)</f>
      </c>
      <c r="X71" s="8">
        <f>SUM(Q71:U71)</f>
      </c>
      <c r="Y71" s="8">
        <f>AVERAGE(S71:U71)</f>
      </c>
      <c r="Z71" s="8">
        <f>AVERAGE(P71:U71)</f>
      </c>
      <c r="AA71" s="8">
        <f>AVERAGE(M71:U71)</f>
      </c>
      <c r="AB71" s="4">
        <f>IFERROR((Y71*2)/(Z71+AA71), 0)</f>
      </c>
      <c r="AC71" s="4">
        <f>IFERROR(X71/SUM(E71:I71), 0)</f>
      </c>
      <c r="AD71" s="4">
        <f>IFERROR(X71/SUM(E71:I71), 0)</f>
      </c>
      <c r="AE71" s="4">
        <f>IFERROR(U71/I71, 0)</f>
      </c>
    </row>
    <row r="72" ht="20" customHeight="1" spans="1:31" x14ac:dyDescent="0.25">
      <c r="A72">
        <v>69</v>
      </c>
      <c r="B72" t="s">
        <v>71</v>
      </c>
      <c r="C72" t="s">
        <v>141</v>
      </c>
      <c r="D72" s="2" t="s">
        <v>71</v>
      </c>
      <c r="E72" s="8">
        <f>SUMIFS('Data nguồn'!H:H, 'Data nguồn'!D:D, $D72, 'Data nguồn'!F:F, $B$1, 'Data nguồn'!C:C, E$3)</f>
      </c>
      <c r="F72" s="8">
        <f>SUMIFS('Data nguồn'!H:H, 'Data nguồn'!D:D, $D72, 'Data nguồn'!F:F, $B$1, 'Data nguồn'!C:C, F$3)</f>
      </c>
      <c r="G72" s="8">
        <f>SUMIFS('Data nguồn'!H:H, 'Data nguồn'!D:D, $D72, 'Data nguồn'!F:F, $B$1, 'Data nguồn'!C:C, G$3)</f>
      </c>
      <c r="H72" s="8">
        <f>SUMIFS('Data nguồn'!H:H, 'Data nguồn'!D:D, $D72, 'Data nguồn'!F:F, $B$1, 'Data nguồn'!C:C, H$3)</f>
      </c>
      <c r="I72" s="8">
        <f>SUMIFS('Data nguồn'!H:H, 'Data nguồn'!D:D, $D72, 'Data nguồn'!F:F, $B$1, 'Data nguồn'!C:C, I$3)</f>
      </c>
      <c r="J72" s="8">
        <f>SUMIFS('Data nguồn'!H:H, 'Data nguồn'!D:D, $D72, 'Data nguồn'!F:F, $B$1, 'Data nguồn'!C:C, J$3)</f>
      </c>
      <c r="K72" s="8">
        <f>SUMIFS('Data nguồn'!H:H, 'Data nguồn'!D:D, $D72, 'Data nguồn'!F:F, $B$1, 'Data nguồn'!C:C, K$3)</f>
      </c>
      <c r="L72" s="8">
        <f>SUMIFS('Data nguồn'!H:H, 'Data nguồn'!D:D, $D72, 'Data nguồn'!F:F, $B$1, 'Data nguồn'!C:C, L$3)</f>
      </c>
      <c r="M72" s="8">
        <f>SUMIFS('Data nguồn'!H:H, 'Data nguồn'!D:D, $D72, 'Data nguồn'!F:F, $B$1, 'Data nguồn'!C:C, M$3)</f>
      </c>
      <c r="N72" s="8">
        <f>SUMIFS('Data nguồn'!H:H, 'Data nguồn'!D:D, $D72, 'Data nguồn'!F:F, $B$1, 'Data nguồn'!C:C, N$3)</f>
      </c>
      <c r="O72" s="8">
        <f>SUMIFS('Data nguồn'!H:H, 'Data nguồn'!D:D, $D72, 'Data nguồn'!F:F, $B$1, 'Data nguồn'!C:C, O$3)</f>
      </c>
      <c r="P72" s="8">
        <f>SUMIFS('Data nguồn'!H:H, 'Data nguồn'!D:D, $D72, 'Data nguồn'!F:F, $B$1, 'Data nguồn'!C:C, P$3)</f>
      </c>
      <c r="Q72" s="8">
        <f>SUMIFS('Data nguồn'!H:H, 'Data nguồn'!D:D, $D72, 'Data nguồn'!F:F, $B$1, 'Data nguồn'!C:C, Q$3)</f>
      </c>
      <c r="R72" s="8">
        <f>SUMIFS('Data nguồn'!H:H, 'Data nguồn'!D:D, $D72, 'Data nguồn'!F:F, $B$1, 'Data nguồn'!C:C, R$3)</f>
      </c>
      <c r="S72" s="8">
        <f>SUMIFS('Data nguồn'!H:H, 'Data nguồn'!D:D, $D72, 'Data nguồn'!F:F, $B$1, 'Data nguồn'!C:C, S$3)</f>
      </c>
      <c r="T72" s="8">
        <f>SUMIFS('Data nguồn'!H:H, 'Data nguồn'!D:D, $D72, 'Data nguồn'!F:F, $B$1, 'Data nguồn'!C:C, T$3)</f>
      </c>
      <c r="U72" s="8">
        <f>SUMIFS('Data nguồn'!H:H, 'Data nguồn'!D:D, $D72, 'Data nguồn'!F:F, $B$1, 'Data nguồn'!C:C, U$3)</f>
      </c>
      <c r="W72" s="8">
        <f>SUM(E72:P72)</f>
      </c>
      <c r="X72" s="8">
        <f>SUM(Q72:U72)</f>
      </c>
      <c r="Y72" s="8">
        <f>AVERAGE(S72:U72)</f>
      </c>
      <c r="Z72" s="8">
        <f>AVERAGE(P72:U72)</f>
      </c>
      <c r="AA72" s="8">
        <f>AVERAGE(M72:U72)</f>
      </c>
      <c r="AB72" s="4">
        <f>IFERROR((Y72*2)/(Z72+AA72), 0)</f>
      </c>
      <c r="AC72" s="4">
        <f>IFERROR(X72/SUM(E72:I72), 0)</f>
      </c>
      <c r="AD72" s="4">
        <f>IFERROR(X72/SUM(E72:I72), 0)</f>
      </c>
      <c r="AE72" s="4">
        <f>IFERROR(U72/I72, 0)</f>
      </c>
    </row>
    <row r="73" ht="20" customHeight="1" spans="1:31" x14ac:dyDescent="0.25">
      <c r="A73">
        <v>70</v>
      </c>
      <c r="B73" t="s">
        <v>72</v>
      </c>
      <c r="C73" t="s">
        <v>141</v>
      </c>
      <c r="D73" s="2" t="s">
        <v>72</v>
      </c>
      <c r="E73" s="8">
        <f>SUMIFS('Data nguồn'!H:H, 'Data nguồn'!D:D, $D73, 'Data nguồn'!F:F, $B$1, 'Data nguồn'!C:C, E$3)</f>
      </c>
      <c r="F73" s="8">
        <f>SUMIFS('Data nguồn'!H:H, 'Data nguồn'!D:D, $D73, 'Data nguồn'!F:F, $B$1, 'Data nguồn'!C:C, F$3)</f>
      </c>
      <c r="G73" s="8">
        <f>SUMIFS('Data nguồn'!H:H, 'Data nguồn'!D:D, $D73, 'Data nguồn'!F:F, $B$1, 'Data nguồn'!C:C, G$3)</f>
      </c>
      <c r="H73" s="8">
        <f>SUMIFS('Data nguồn'!H:H, 'Data nguồn'!D:D, $D73, 'Data nguồn'!F:F, $B$1, 'Data nguồn'!C:C, H$3)</f>
      </c>
      <c r="I73" s="8">
        <f>SUMIFS('Data nguồn'!H:H, 'Data nguồn'!D:D, $D73, 'Data nguồn'!F:F, $B$1, 'Data nguồn'!C:C, I$3)</f>
      </c>
      <c r="J73" s="8">
        <f>SUMIFS('Data nguồn'!H:H, 'Data nguồn'!D:D, $D73, 'Data nguồn'!F:F, $B$1, 'Data nguồn'!C:C, J$3)</f>
      </c>
      <c r="K73" s="8">
        <f>SUMIFS('Data nguồn'!H:H, 'Data nguồn'!D:D, $D73, 'Data nguồn'!F:F, $B$1, 'Data nguồn'!C:C, K$3)</f>
      </c>
      <c r="L73" s="8">
        <f>SUMIFS('Data nguồn'!H:H, 'Data nguồn'!D:D, $D73, 'Data nguồn'!F:F, $B$1, 'Data nguồn'!C:C, L$3)</f>
      </c>
      <c r="M73" s="8">
        <f>SUMIFS('Data nguồn'!H:H, 'Data nguồn'!D:D, $D73, 'Data nguồn'!F:F, $B$1, 'Data nguồn'!C:C, M$3)</f>
      </c>
      <c r="N73" s="8">
        <f>SUMIFS('Data nguồn'!H:H, 'Data nguồn'!D:D, $D73, 'Data nguồn'!F:F, $B$1, 'Data nguồn'!C:C, N$3)</f>
      </c>
      <c r="O73" s="8">
        <f>SUMIFS('Data nguồn'!H:H, 'Data nguồn'!D:D, $D73, 'Data nguồn'!F:F, $B$1, 'Data nguồn'!C:C, O$3)</f>
      </c>
      <c r="P73" s="8">
        <f>SUMIFS('Data nguồn'!H:H, 'Data nguồn'!D:D, $D73, 'Data nguồn'!F:F, $B$1, 'Data nguồn'!C:C, P$3)</f>
      </c>
      <c r="Q73" s="8">
        <f>SUMIFS('Data nguồn'!H:H, 'Data nguồn'!D:D, $D73, 'Data nguồn'!F:F, $B$1, 'Data nguồn'!C:C, Q$3)</f>
      </c>
      <c r="R73" s="8">
        <f>SUMIFS('Data nguồn'!H:H, 'Data nguồn'!D:D, $D73, 'Data nguồn'!F:F, $B$1, 'Data nguồn'!C:C, R$3)</f>
      </c>
      <c r="S73" s="8">
        <f>SUMIFS('Data nguồn'!H:H, 'Data nguồn'!D:D, $D73, 'Data nguồn'!F:F, $B$1, 'Data nguồn'!C:C, S$3)</f>
      </c>
      <c r="T73" s="8">
        <f>SUMIFS('Data nguồn'!H:H, 'Data nguồn'!D:D, $D73, 'Data nguồn'!F:F, $B$1, 'Data nguồn'!C:C, T$3)</f>
      </c>
      <c r="U73" s="8">
        <f>SUMIFS('Data nguồn'!H:H, 'Data nguồn'!D:D, $D73, 'Data nguồn'!F:F, $B$1, 'Data nguồn'!C:C, U$3)</f>
      </c>
      <c r="W73" s="8">
        <f>SUM(E73:P73)</f>
      </c>
      <c r="X73" s="8">
        <f>SUM(Q73:U73)</f>
      </c>
      <c r="Y73" s="8">
        <f>AVERAGE(S73:U73)</f>
      </c>
      <c r="Z73" s="8">
        <f>AVERAGE(P73:U73)</f>
      </c>
      <c r="AA73" s="8">
        <f>AVERAGE(M73:U73)</f>
      </c>
      <c r="AB73" s="4">
        <f>IFERROR((Y73*2)/(Z73+AA73), 0)</f>
      </c>
      <c r="AC73" s="4">
        <f>IFERROR(X73/SUM(E73:I73), 0)</f>
      </c>
      <c r="AD73" s="4">
        <f>IFERROR(X73/SUM(E73:I73), 0)</f>
      </c>
      <c r="AE73" s="4">
        <f>IFERROR(U73/I73, 0)</f>
      </c>
    </row>
    <row r="74" ht="20" customHeight="1" spans="1:31" x14ac:dyDescent="0.25">
      <c r="A74">
        <v>71</v>
      </c>
      <c r="B74" t="s">
        <v>73</v>
      </c>
      <c r="C74" t="s">
        <v>141</v>
      </c>
      <c r="D74" s="2" t="s">
        <v>73</v>
      </c>
      <c r="E74" s="8">
        <f>SUMIFS('Data nguồn'!H:H, 'Data nguồn'!D:D, $D74, 'Data nguồn'!F:F, $B$1, 'Data nguồn'!C:C, E$3)</f>
      </c>
      <c r="F74" s="8">
        <f>SUMIFS('Data nguồn'!H:H, 'Data nguồn'!D:D, $D74, 'Data nguồn'!F:F, $B$1, 'Data nguồn'!C:C, F$3)</f>
      </c>
      <c r="G74" s="8">
        <f>SUMIFS('Data nguồn'!H:H, 'Data nguồn'!D:D, $D74, 'Data nguồn'!F:F, $B$1, 'Data nguồn'!C:C, G$3)</f>
      </c>
      <c r="H74" s="8">
        <f>SUMIFS('Data nguồn'!H:H, 'Data nguồn'!D:D, $D74, 'Data nguồn'!F:F, $B$1, 'Data nguồn'!C:C, H$3)</f>
      </c>
      <c r="I74" s="8">
        <f>SUMIFS('Data nguồn'!H:H, 'Data nguồn'!D:D, $D74, 'Data nguồn'!F:F, $B$1, 'Data nguồn'!C:C, I$3)</f>
      </c>
      <c r="J74" s="8">
        <f>SUMIFS('Data nguồn'!H:H, 'Data nguồn'!D:D, $D74, 'Data nguồn'!F:F, $B$1, 'Data nguồn'!C:C, J$3)</f>
      </c>
      <c r="K74" s="8">
        <f>SUMIFS('Data nguồn'!H:H, 'Data nguồn'!D:D, $D74, 'Data nguồn'!F:F, $B$1, 'Data nguồn'!C:C, K$3)</f>
      </c>
      <c r="L74" s="8">
        <f>SUMIFS('Data nguồn'!H:H, 'Data nguồn'!D:D, $D74, 'Data nguồn'!F:F, $B$1, 'Data nguồn'!C:C, L$3)</f>
      </c>
      <c r="M74" s="8">
        <f>SUMIFS('Data nguồn'!H:H, 'Data nguồn'!D:D, $D74, 'Data nguồn'!F:F, $B$1, 'Data nguồn'!C:C, M$3)</f>
      </c>
      <c r="N74" s="8">
        <f>SUMIFS('Data nguồn'!H:H, 'Data nguồn'!D:D, $D74, 'Data nguồn'!F:F, $B$1, 'Data nguồn'!C:C, N$3)</f>
      </c>
      <c r="O74" s="8">
        <f>SUMIFS('Data nguồn'!H:H, 'Data nguồn'!D:D, $D74, 'Data nguồn'!F:F, $B$1, 'Data nguồn'!C:C, O$3)</f>
      </c>
      <c r="P74" s="8">
        <f>SUMIFS('Data nguồn'!H:H, 'Data nguồn'!D:D, $D74, 'Data nguồn'!F:F, $B$1, 'Data nguồn'!C:C, P$3)</f>
      </c>
      <c r="Q74" s="8">
        <f>SUMIFS('Data nguồn'!H:H, 'Data nguồn'!D:D, $D74, 'Data nguồn'!F:F, $B$1, 'Data nguồn'!C:C, Q$3)</f>
      </c>
      <c r="R74" s="8">
        <f>SUMIFS('Data nguồn'!H:H, 'Data nguồn'!D:D, $D74, 'Data nguồn'!F:F, $B$1, 'Data nguồn'!C:C, R$3)</f>
      </c>
      <c r="S74" s="8">
        <f>SUMIFS('Data nguồn'!H:H, 'Data nguồn'!D:D, $D74, 'Data nguồn'!F:F, $B$1, 'Data nguồn'!C:C, S$3)</f>
      </c>
      <c r="T74" s="8">
        <f>SUMIFS('Data nguồn'!H:H, 'Data nguồn'!D:D, $D74, 'Data nguồn'!F:F, $B$1, 'Data nguồn'!C:C, T$3)</f>
      </c>
      <c r="U74" s="8">
        <f>SUMIFS('Data nguồn'!H:H, 'Data nguồn'!D:D, $D74, 'Data nguồn'!F:F, $B$1, 'Data nguồn'!C:C, U$3)</f>
      </c>
      <c r="W74" s="8">
        <f>SUM(E74:P74)</f>
      </c>
      <c r="X74" s="8">
        <f>SUM(Q74:U74)</f>
      </c>
      <c r="Y74" s="8">
        <f>AVERAGE(S74:U74)</f>
      </c>
      <c r="Z74" s="8">
        <f>AVERAGE(P74:U74)</f>
      </c>
      <c r="AA74" s="8">
        <f>AVERAGE(M74:U74)</f>
      </c>
      <c r="AB74" s="4">
        <f>IFERROR((Y74*2)/(Z74+AA74), 0)</f>
      </c>
      <c r="AC74" s="4">
        <f>IFERROR(X74/SUM(E74:I74), 0)</f>
      </c>
      <c r="AD74" s="4">
        <f>IFERROR(X74/SUM(E74:I74), 0)</f>
      </c>
      <c r="AE74" s="4">
        <f>IFERROR(U74/I74, 0)</f>
      </c>
    </row>
    <row r="75" ht="20" customHeight="1" spans="1:31" x14ac:dyDescent="0.25">
      <c r="A75">
        <v>72</v>
      </c>
      <c r="B75" t="s">
        <v>74</v>
      </c>
      <c r="C75" t="s">
        <v>141</v>
      </c>
      <c r="D75" s="2" t="s">
        <v>74</v>
      </c>
      <c r="E75" s="8">
        <f>SUMIFS('Data nguồn'!H:H, 'Data nguồn'!D:D, $D75, 'Data nguồn'!F:F, $B$1, 'Data nguồn'!C:C, E$3)</f>
      </c>
      <c r="F75" s="8">
        <f>SUMIFS('Data nguồn'!H:H, 'Data nguồn'!D:D, $D75, 'Data nguồn'!F:F, $B$1, 'Data nguồn'!C:C, F$3)</f>
      </c>
      <c r="G75" s="8">
        <f>SUMIFS('Data nguồn'!H:H, 'Data nguồn'!D:D, $D75, 'Data nguồn'!F:F, $B$1, 'Data nguồn'!C:C, G$3)</f>
      </c>
      <c r="H75" s="8">
        <f>SUMIFS('Data nguồn'!H:H, 'Data nguồn'!D:D, $D75, 'Data nguồn'!F:F, $B$1, 'Data nguồn'!C:C, H$3)</f>
      </c>
      <c r="I75" s="8">
        <f>SUMIFS('Data nguồn'!H:H, 'Data nguồn'!D:D, $D75, 'Data nguồn'!F:F, $B$1, 'Data nguồn'!C:C, I$3)</f>
      </c>
      <c r="J75" s="8">
        <f>SUMIFS('Data nguồn'!H:H, 'Data nguồn'!D:D, $D75, 'Data nguồn'!F:F, $B$1, 'Data nguồn'!C:C, J$3)</f>
      </c>
      <c r="K75" s="8">
        <f>SUMIFS('Data nguồn'!H:H, 'Data nguồn'!D:D, $D75, 'Data nguồn'!F:F, $B$1, 'Data nguồn'!C:C, K$3)</f>
      </c>
      <c r="L75" s="8">
        <f>SUMIFS('Data nguồn'!H:H, 'Data nguồn'!D:D, $D75, 'Data nguồn'!F:F, $B$1, 'Data nguồn'!C:C, L$3)</f>
      </c>
      <c r="M75" s="8">
        <f>SUMIFS('Data nguồn'!H:H, 'Data nguồn'!D:D, $D75, 'Data nguồn'!F:F, $B$1, 'Data nguồn'!C:C, M$3)</f>
      </c>
      <c r="N75" s="8">
        <f>SUMIFS('Data nguồn'!H:H, 'Data nguồn'!D:D, $D75, 'Data nguồn'!F:F, $B$1, 'Data nguồn'!C:C, N$3)</f>
      </c>
      <c r="O75" s="8">
        <f>SUMIFS('Data nguồn'!H:H, 'Data nguồn'!D:D, $D75, 'Data nguồn'!F:F, $B$1, 'Data nguồn'!C:C, O$3)</f>
      </c>
      <c r="P75" s="8">
        <f>SUMIFS('Data nguồn'!H:H, 'Data nguồn'!D:D, $D75, 'Data nguồn'!F:F, $B$1, 'Data nguồn'!C:C, P$3)</f>
      </c>
      <c r="Q75" s="8">
        <f>SUMIFS('Data nguồn'!H:H, 'Data nguồn'!D:D, $D75, 'Data nguồn'!F:F, $B$1, 'Data nguồn'!C:C, Q$3)</f>
      </c>
      <c r="R75" s="8">
        <f>SUMIFS('Data nguồn'!H:H, 'Data nguồn'!D:D, $D75, 'Data nguồn'!F:F, $B$1, 'Data nguồn'!C:C, R$3)</f>
      </c>
      <c r="S75" s="8">
        <f>SUMIFS('Data nguồn'!H:H, 'Data nguồn'!D:D, $D75, 'Data nguồn'!F:F, $B$1, 'Data nguồn'!C:C, S$3)</f>
      </c>
      <c r="T75" s="8">
        <f>SUMIFS('Data nguồn'!H:H, 'Data nguồn'!D:D, $D75, 'Data nguồn'!F:F, $B$1, 'Data nguồn'!C:C, T$3)</f>
      </c>
      <c r="U75" s="8">
        <f>SUMIFS('Data nguồn'!H:H, 'Data nguồn'!D:D, $D75, 'Data nguồn'!F:F, $B$1, 'Data nguồn'!C:C, U$3)</f>
      </c>
      <c r="W75" s="8">
        <f>SUM(E75:P75)</f>
      </c>
      <c r="X75" s="8">
        <f>SUM(Q75:U75)</f>
      </c>
      <c r="Y75" s="8">
        <f>AVERAGE(S75:U75)</f>
      </c>
      <c r="Z75" s="8">
        <f>AVERAGE(P75:U75)</f>
      </c>
      <c r="AA75" s="8">
        <f>AVERAGE(M75:U75)</f>
      </c>
      <c r="AB75" s="4">
        <f>IFERROR((Y75*2)/(Z75+AA75), 0)</f>
      </c>
      <c r="AC75" s="4">
        <f>IFERROR(X75/SUM(E75:I75), 0)</f>
      </c>
      <c r="AD75" s="4">
        <f>IFERROR(X75/SUM(E75:I75), 0)</f>
      </c>
      <c r="AE75" s="4">
        <f>IFERROR(U75/I75, 0)</f>
      </c>
    </row>
    <row r="76" ht="20" customHeight="1" spans="1:31" x14ac:dyDescent="0.25">
      <c r="A76">
        <v>73</v>
      </c>
      <c r="B76" t="s">
        <v>75</v>
      </c>
      <c r="C76" t="s">
        <v>141</v>
      </c>
      <c r="D76" s="2" t="s">
        <v>75</v>
      </c>
      <c r="E76" s="8">
        <f>SUMIFS('Data nguồn'!H:H, 'Data nguồn'!D:D, $D76, 'Data nguồn'!F:F, $B$1, 'Data nguồn'!C:C, E$3)</f>
      </c>
      <c r="F76" s="8">
        <f>SUMIFS('Data nguồn'!H:H, 'Data nguồn'!D:D, $D76, 'Data nguồn'!F:F, $B$1, 'Data nguồn'!C:C, F$3)</f>
      </c>
      <c r="G76" s="8">
        <f>SUMIFS('Data nguồn'!H:H, 'Data nguồn'!D:D, $D76, 'Data nguồn'!F:F, $B$1, 'Data nguồn'!C:C, G$3)</f>
      </c>
      <c r="H76" s="8">
        <f>SUMIFS('Data nguồn'!H:H, 'Data nguồn'!D:D, $D76, 'Data nguồn'!F:F, $B$1, 'Data nguồn'!C:C, H$3)</f>
      </c>
      <c r="I76" s="8">
        <f>SUMIFS('Data nguồn'!H:H, 'Data nguồn'!D:D, $D76, 'Data nguồn'!F:F, $B$1, 'Data nguồn'!C:C, I$3)</f>
      </c>
      <c r="J76" s="8">
        <f>SUMIFS('Data nguồn'!H:H, 'Data nguồn'!D:D, $D76, 'Data nguồn'!F:F, $B$1, 'Data nguồn'!C:C, J$3)</f>
      </c>
      <c r="K76" s="8">
        <f>SUMIFS('Data nguồn'!H:H, 'Data nguồn'!D:D, $D76, 'Data nguồn'!F:F, $B$1, 'Data nguồn'!C:C, K$3)</f>
      </c>
      <c r="L76" s="8">
        <f>SUMIFS('Data nguồn'!H:H, 'Data nguồn'!D:D, $D76, 'Data nguồn'!F:F, $B$1, 'Data nguồn'!C:C, L$3)</f>
      </c>
      <c r="M76" s="8">
        <f>SUMIFS('Data nguồn'!H:H, 'Data nguồn'!D:D, $D76, 'Data nguồn'!F:F, $B$1, 'Data nguồn'!C:C, M$3)</f>
      </c>
      <c r="N76" s="8">
        <f>SUMIFS('Data nguồn'!H:H, 'Data nguồn'!D:D, $D76, 'Data nguồn'!F:F, $B$1, 'Data nguồn'!C:C, N$3)</f>
      </c>
      <c r="O76" s="8">
        <f>SUMIFS('Data nguồn'!H:H, 'Data nguồn'!D:D, $D76, 'Data nguồn'!F:F, $B$1, 'Data nguồn'!C:C, O$3)</f>
      </c>
      <c r="P76" s="8">
        <f>SUMIFS('Data nguồn'!H:H, 'Data nguồn'!D:D, $D76, 'Data nguồn'!F:F, $B$1, 'Data nguồn'!C:C, P$3)</f>
      </c>
      <c r="Q76" s="8">
        <f>SUMIFS('Data nguồn'!H:H, 'Data nguồn'!D:D, $D76, 'Data nguồn'!F:F, $B$1, 'Data nguồn'!C:C, Q$3)</f>
      </c>
      <c r="R76" s="8">
        <f>SUMIFS('Data nguồn'!H:H, 'Data nguồn'!D:D, $D76, 'Data nguồn'!F:F, $B$1, 'Data nguồn'!C:C, R$3)</f>
      </c>
      <c r="S76" s="8">
        <f>SUMIFS('Data nguồn'!H:H, 'Data nguồn'!D:D, $D76, 'Data nguồn'!F:F, $B$1, 'Data nguồn'!C:C, S$3)</f>
      </c>
      <c r="T76" s="8">
        <f>SUMIFS('Data nguồn'!H:H, 'Data nguồn'!D:D, $D76, 'Data nguồn'!F:F, $B$1, 'Data nguồn'!C:C, T$3)</f>
      </c>
      <c r="U76" s="8">
        <f>SUMIFS('Data nguồn'!H:H, 'Data nguồn'!D:D, $D76, 'Data nguồn'!F:F, $B$1, 'Data nguồn'!C:C, U$3)</f>
      </c>
      <c r="W76" s="8">
        <f>SUM(E76:P76)</f>
      </c>
      <c r="X76" s="8">
        <f>SUM(Q76:U76)</f>
      </c>
      <c r="Y76" s="8">
        <f>AVERAGE(S76:U76)</f>
      </c>
      <c r="Z76" s="8">
        <f>AVERAGE(P76:U76)</f>
      </c>
      <c r="AA76" s="8">
        <f>AVERAGE(M76:U76)</f>
      </c>
      <c r="AB76" s="4">
        <f>IFERROR((Y76*2)/(Z76+AA76), 0)</f>
      </c>
      <c r="AC76" s="4">
        <f>IFERROR(X76/SUM(E76:I76), 0)</f>
      </c>
      <c r="AD76" s="4">
        <f>IFERROR(X76/SUM(E76:I76), 0)</f>
      </c>
      <c r="AE76" s="4">
        <f>IFERROR(U76/I76, 0)</f>
      </c>
    </row>
    <row r="77" ht="20" customHeight="1" spans="1:31" x14ac:dyDescent="0.25">
      <c r="A77">
        <v>74</v>
      </c>
      <c r="B77" t="s">
        <v>76</v>
      </c>
      <c r="C77" t="s">
        <v>141</v>
      </c>
      <c r="D77" s="2" t="s">
        <v>76</v>
      </c>
      <c r="E77" s="8">
        <f>SUMIFS('Data nguồn'!H:H, 'Data nguồn'!D:D, $D77, 'Data nguồn'!F:F, $B$1, 'Data nguồn'!C:C, E$3)</f>
      </c>
      <c r="F77" s="8">
        <f>SUMIFS('Data nguồn'!H:H, 'Data nguồn'!D:D, $D77, 'Data nguồn'!F:F, $B$1, 'Data nguồn'!C:C, F$3)</f>
      </c>
      <c r="G77" s="8">
        <f>SUMIFS('Data nguồn'!H:H, 'Data nguồn'!D:D, $D77, 'Data nguồn'!F:F, $B$1, 'Data nguồn'!C:C, G$3)</f>
      </c>
      <c r="H77" s="8">
        <f>SUMIFS('Data nguồn'!H:H, 'Data nguồn'!D:D, $D77, 'Data nguồn'!F:F, $B$1, 'Data nguồn'!C:C, H$3)</f>
      </c>
      <c r="I77" s="8">
        <f>SUMIFS('Data nguồn'!H:H, 'Data nguồn'!D:D, $D77, 'Data nguồn'!F:F, $B$1, 'Data nguồn'!C:C, I$3)</f>
      </c>
      <c r="J77" s="8">
        <f>SUMIFS('Data nguồn'!H:H, 'Data nguồn'!D:D, $D77, 'Data nguồn'!F:F, $B$1, 'Data nguồn'!C:C, J$3)</f>
      </c>
      <c r="K77" s="8">
        <f>SUMIFS('Data nguồn'!H:H, 'Data nguồn'!D:D, $D77, 'Data nguồn'!F:F, $B$1, 'Data nguồn'!C:C, K$3)</f>
      </c>
      <c r="L77" s="8">
        <f>SUMIFS('Data nguồn'!H:H, 'Data nguồn'!D:D, $D77, 'Data nguồn'!F:F, $B$1, 'Data nguồn'!C:C, L$3)</f>
      </c>
      <c r="M77" s="8">
        <f>SUMIFS('Data nguồn'!H:H, 'Data nguồn'!D:D, $D77, 'Data nguồn'!F:F, $B$1, 'Data nguồn'!C:C, M$3)</f>
      </c>
      <c r="N77" s="8">
        <f>SUMIFS('Data nguồn'!H:H, 'Data nguồn'!D:D, $D77, 'Data nguồn'!F:F, $B$1, 'Data nguồn'!C:C, N$3)</f>
      </c>
      <c r="O77" s="8">
        <f>SUMIFS('Data nguồn'!H:H, 'Data nguồn'!D:D, $D77, 'Data nguồn'!F:F, $B$1, 'Data nguồn'!C:C, O$3)</f>
      </c>
      <c r="P77" s="8">
        <f>SUMIFS('Data nguồn'!H:H, 'Data nguồn'!D:D, $D77, 'Data nguồn'!F:F, $B$1, 'Data nguồn'!C:C, P$3)</f>
      </c>
      <c r="Q77" s="8">
        <f>SUMIFS('Data nguồn'!H:H, 'Data nguồn'!D:D, $D77, 'Data nguồn'!F:F, $B$1, 'Data nguồn'!C:C, Q$3)</f>
      </c>
      <c r="R77" s="8">
        <f>SUMIFS('Data nguồn'!H:H, 'Data nguồn'!D:D, $D77, 'Data nguồn'!F:F, $B$1, 'Data nguồn'!C:C, R$3)</f>
      </c>
      <c r="S77" s="8">
        <f>SUMIFS('Data nguồn'!H:H, 'Data nguồn'!D:D, $D77, 'Data nguồn'!F:F, $B$1, 'Data nguồn'!C:C, S$3)</f>
      </c>
      <c r="T77" s="8">
        <f>SUMIFS('Data nguồn'!H:H, 'Data nguồn'!D:D, $D77, 'Data nguồn'!F:F, $B$1, 'Data nguồn'!C:C, T$3)</f>
      </c>
      <c r="U77" s="8">
        <f>SUMIFS('Data nguồn'!H:H, 'Data nguồn'!D:D, $D77, 'Data nguồn'!F:F, $B$1, 'Data nguồn'!C:C, U$3)</f>
      </c>
      <c r="W77" s="8">
        <f>SUM(E77:P77)</f>
      </c>
      <c r="X77" s="8">
        <f>SUM(Q77:U77)</f>
      </c>
      <c r="Y77" s="8">
        <f>AVERAGE(S77:U77)</f>
      </c>
      <c r="Z77" s="8">
        <f>AVERAGE(P77:U77)</f>
      </c>
      <c r="AA77" s="8">
        <f>AVERAGE(M77:U77)</f>
      </c>
      <c r="AB77" s="4">
        <f>IFERROR((Y77*2)/(Z77+AA77), 0)</f>
      </c>
      <c r="AC77" s="4">
        <f>IFERROR(X77/SUM(E77:I77), 0)</f>
      </c>
      <c r="AD77" s="4">
        <f>IFERROR(X77/SUM(E77:I77), 0)</f>
      </c>
      <c r="AE77" s="4">
        <f>IFERROR(U77/I77, 0)</f>
      </c>
    </row>
    <row r="78" ht="20" customHeight="1" spans="1:31" x14ac:dyDescent="0.25">
      <c r="A78">
        <v>75</v>
      </c>
      <c r="B78" t="s">
        <v>77</v>
      </c>
      <c r="C78" t="s">
        <v>141</v>
      </c>
      <c r="D78" s="2" t="s">
        <v>77</v>
      </c>
      <c r="E78" s="8">
        <f>SUMIFS('Data nguồn'!H:H, 'Data nguồn'!D:D, $D78, 'Data nguồn'!F:F, $B$1, 'Data nguồn'!C:C, E$3)</f>
      </c>
      <c r="F78" s="8">
        <f>SUMIFS('Data nguồn'!H:H, 'Data nguồn'!D:D, $D78, 'Data nguồn'!F:F, $B$1, 'Data nguồn'!C:C, F$3)</f>
      </c>
      <c r="G78" s="8">
        <f>SUMIFS('Data nguồn'!H:H, 'Data nguồn'!D:D, $D78, 'Data nguồn'!F:F, $B$1, 'Data nguồn'!C:C, G$3)</f>
      </c>
      <c r="H78" s="8">
        <f>SUMIFS('Data nguồn'!H:H, 'Data nguồn'!D:D, $D78, 'Data nguồn'!F:F, $B$1, 'Data nguồn'!C:C, H$3)</f>
      </c>
      <c r="I78" s="8">
        <f>SUMIFS('Data nguồn'!H:H, 'Data nguồn'!D:D, $D78, 'Data nguồn'!F:F, $B$1, 'Data nguồn'!C:C, I$3)</f>
      </c>
      <c r="J78" s="8">
        <f>SUMIFS('Data nguồn'!H:H, 'Data nguồn'!D:D, $D78, 'Data nguồn'!F:F, $B$1, 'Data nguồn'!C:C, J$3)</f>
      </c>
      <c r="K78" s="8">
        <f>SUMIFS('Data nguồn'!H:H, 'Data nguồn'!D:D, $D78, 'Data nguồn'!F:F, $B$1, 'Data nguồn'!C:C, K$3)</f>
      </c>
      <c r="L78" s="8">
        <f>SUMIFS('Data nguồn'!H:H, 'Data nguồn'!D:D, $D78, 'Data nguồn'!F:F, $B$1, 'Data nguồn'!C:C, L$3)</f>
      </c>
      <c r="M78" s="8">
        <f>SUMIFS('Data nguồn'!H:H, 'Data nguồn'!D:D, $D78, 'Data nguồn'!F:F, $B$1, 'Data nguồn'!C:C, M$3)</f>
      </c>
      <c r="N78" s="8">
        <f>SUMIFS('Data nguồn'!H:H, 'Data nguồn'!D:D, $D78, 'Data nguồn'!F:F, $B$1, 'Data nguồn'!C:C, N$3)</f>
      </c>
      <c r="O78" s="8">
        <f>SUMIFS('Data nguồn'!H:H, 'Data nguồn'!D:D, $D78, 'Data nguồn'!F:F, $B$1, 'Data nguồn'!C:C, O$3)</f>
      </c>
      <c r="P78" s="8">
        <f>SUMIFS('Data nguồn'!H:H, 'Data nguồn'!D:D, $D78, 'Data nguồn'!F:F, $B$1, 'Data nguồn'!C:C, P$3)</f>
      </c>
      <c r="Q78" s="8">
        <f>SUMIFS('Data nguồn'!H:H, 'Data nguồn'!D:D, $D78, 'Data nguồn'!F:F, $B$1, 'Data nguồn'!C:C, Q$3)</f>
      </c>
      <c r="R78" s="8">
        <f>SUMIFS('Data nguồn'!H:H, 'Data nguồn'!D:D, $D78, 'Data nguồn'!F:F, $B$1, 'Data nguồn'!C:C, R$3)</f>
      </c>
      <c r="S78" s="8">
        <f>SUMIFS('Data nguồn'!H:H, 'Data nguồn'!D:D, $D78, 'Data nguồn'!F:F, $B$1, 'Data nguồn'!C:C, S$3)</f>
      </c>
      <c r="T78" s="8">
        <f>SUMIFS('Data nguồn'!H:H, 'Data nguồn'!D:D, $D78, 'Data nguồn'!F:F, $B$1, 'Data nguồn'!C:C, T$3)</f>
      </c>
      <c r="U78" s="8">
        <f>SUMIFS('Data nguồn'!H:H, 'Data nguồn'!D:D, $D78, 'Data nguồn'!F:F, $B$1, 'Data nguồn'!C:C, U$3)</f>
      </c>
      <c r="W78" s="8">
        <f>SUM(E78:P78)</f>
      </c>
      <c r="X78" s="8">
        <f>SUM(Q78:U78)</f>
      </c>
      <c r="Y78" s="8">
        <f>AVERAGE(S78:U78)</f>
      </c>
      <c r="Z78" s="8">
        <f>AVERAGE(P78:U78)</f>
      </c>
      <c r="AA78" s="8">
        <f>AVERAGE(M78:U78)</f>
      </c>
      <c r="AB78" s="4">
        <f>IFERROR((Y78*2)/(Z78+AA78), 0)</f>
      </c>
      <c r="AC78" s="4">
        <f>IFERROR(X78/SUM(E78:I78), 0)</f>
      </c>
      <c r="AD78" s="4">
        <f>IFERROR(X78/SUM(E78:I78), 0)</f>
      </c>
      <c r="AE78" s="4">
        <f>IFERROR(U78/I78, 0)</f>
      </c>
    </row>
    <row r="79" ht="20" customHeight="1" spans="1:31" x14ac:dyDescent="0.25">
      <c r="A79">
        <v>76</v>
      </c>
      <c r="B79" t="s">
        <v>78</v>
      </c>
      <c r="C79" t="s">
        <v>141</v>
      </c>
      <c r="D79" s="2" t="s">
        <v>78</v>
      </c>
      <c r="E79" s="8">
        <f>SUMIFS('Data nguồn'!H:H, 'Data nguồn'!D:D, $D79, 'Data nguồn'!F:F, $B$1, 'Data nguồn'!C:C, E$3)</f>
      </c>
      <c r="F79" s="8">
        <f>SUMIFS('Data nguồn'!H:H, 'Data nguồn'!D:D, $D79, 'Data nguồn'!F:F, $B$1, 'Data nguồn'!C:C, F$3)</f>
      </c>
      <c r="G79" s="8">
        <f>SUMIFS('Data nguồn'!H:H, 'Data nguồn'!D:D, $D79, 'Data nguồn'!F:F, $B$1, 'Data nguồn'!C:C, G$3)</f>
      </c>
      <c r="H79" s="8">
        <f>SUMIFS('Data nguồn'!H:H, 'Data nguồn'!D:D, $D79, 'Data nguồn'!F:F, $B$1, 'Data nguồn'!C:C, H$3)</f>
      </c>
      <c r="I79" s="8">
        <f>SUMIFS('Data nguồn'!H:H, 'Data nguồn'!D:D, $D79, 'Data nguồn'!F:F, $B$1, 'Data nguồn'!C:C, I$3)</f>
      </c>
      <c r="J79" s="8">
        <f>SUMIFS('Data nguồn'!H:H, 'Data nguồn'!D:D, $D79, 'Data nguồn'!F:F, $B$1, 'Data nguồn'!C:C, J$3)</f>
      </c>
      <c r="K79" s="8">
        <f>SUMIFS('Data nguồn'!H:H, 'Data nguồn'!D:D, $D79, 'Data nguồn'!F:F, $B$1, 'Data nguồn'!C:C, K$3)</f>
      </c>
      <c r="L79" s="8">
        <f>SUMIFS('Data nguồn'!H:H, 'Data nguồn'!D:D, $D79, 'Data nguồn'!F:F, $B$1, 'Data nguồn'!C:C, L$3)</f>
      </c>
      <c r="M79" s="8">
        <f>SUMIFS('Data nguồn'!H:H, 'Data nguồn'!D:D, $D79, 'Data nguồn'!F:F, $B$1, 'Data nguồn'!C:C, M$3)</f>
      </c>
      <c r="N79" s="8">
        <f>SUMIFS('Data nguồn'!H:H, 'Data nguồn'!D:D, $D79, 'Data nguồn'!F:F, $B$1, 'Data nguồn'!C:C, N$3)</f>
      </c>
      <c r="O79" s="8">
        <f>SUMIFS('Data nguồn'!H:H, 'Data nguồn'!D:D, $D79, 'Data nguồn'!F:F, $B$1, 'Data nguồn'!C:C, O$3)</f>
      </c>
      <c r="P79" s="8">
        <f>SUMIFS('Data nguồn'!H:H, 'Data nguồn'!D:D, $D79, 'Data nguồn'!F:F, $B$1, 'Data nguồn'!C:C, P$3)</f>
      </c>
      <c r="Q79" s="8">
        <f>SUMIFS('Data nguồn'!H:H, 'Data nguồn'!D:D, $D79, 'Data nguồn'!F:F, $B$1, 'Data nguồn'!C:C, Q$3)</f>
      </c>
      <c r="R79" s="8">
        <f>SUMIFS('Data nguồn'!H:H, 'Data nguồn'!D:D, $D79, 'Data nguồn'!F:F, $B$1, 'Data nguồn'!C:C, R$3)</f>
      </c>
      <c r="S79" s="8">
        <f>SUMIFS('Data nguồn'!H:H, 'Data nguồn'!D:D, $D79, 'Data nguồn'!F:F, $B$1, 'Data nguồn'!C:C, S$3)</f>
      </c>
      <c r="T79" s="8">
        <f>SUMIFS('Data nguồn'!H:H, 'Data nguồn'!D:D, $D79, 'Data nguồn'!F:F, $B$1, 'Data nguồn'!C:C, T$3)</f>
      </c>
      <c r="U79" s="8">
        <f>SUMIFS('Data nguồn'!H:H, 'Data nguồn'!D:D, $D79, 'Data nguồn'!F:F, $B$1, 'Data nguồn'!C:C, U$3)</f>
      </c>
      <c r="W79" s="8">
        <f>SUM(E79:P79)</f>
      </c>
      <c r="X79" s="8">
        <f>SUM(Q79:U79)</f>
      </c>
      <c r="Y79" s="8">
        <f>AVERAGE(S79:U79)</f>
      </c>
      <c r="Z79" s="8">
        <f>AVERAGE(P79:U79)</f>
      </c>
      <c r="AA79" s="8">
        <f>AVERAGE(M79:U79)</f>
      </c>
      <c r="AB79" s="4">
        <f>IFERROR((Y79*2)/(Z79+AA79), 0)</f>
      </c>
      <c r="AC79" s="4">
        <f>IFERROR(X79/SUM(E79:I79), 0)</f>
      </c>
      <c r="AD79" s="4">
        <f>IFERROR(X79/SUM(E79:I79), 0)</f>
      </c>
      <c r="AE79" s="4">
        <f>IFERROR(U79/I79, 0)</f>
      </c>
    </row>
    <row r="80" ht="20" customHeight="1" spans="1:31" x14ac:dyDescent="0.25">
      <c r="A80">
        <v>77</v>
      </c>
      <c r="B80" t="s">
        <v>79</v>
      </c>
      <c r="C80" t="s">
        <v>141</v>
      </c>
      <c r="D80" s="2" t="s">
        <v>79</v>
      </c>
      <c r="E80" s="8">
        <f>SUMIFS('Data nguồn'!H:H, 'Data nguồn'!D:D, $D80, 'Data nguồn'!F:F, $B$1, 'Data nguồn'!C:C, E$3)</f>
      </c>
      <c r="F80" s="8">
        <f>SUMIFS('Data nguồn'!H:H, 'Data nguồn'!D:D, $D80, 'Data nguồn'!F:F, $B$1, 'Data nguồn'!C:C, F$3)</f>
      </c>
      <c r="G80" s="8">
        <f>SUMIFS('Data nguồn'!H:H, 'Data nguồn'!D:D, $D80, 'Data nguồn'!F:F, $B$1, 'Data nguồn'!C:C, G$3)</f>
      </c>
      <c r="H80" s="8">
        <f>SUMIFS('Data nguồn'!H:H, 'Data nguồn'!D:D, $D80, 'Data nguồn'!F:F, $B$1, 'Data nguồn'!C:C, H$3)</f>
      </c>
      <c r="I80" s="8">
        <f>SUMIFS('Data nguồn'!H:H, 'Data nguồn'!D:D, $D80, 'Data nguồn'!F:F, $B$1, 'Data nguồn'!C:C, I$3)</f>
      </c>
      <c r="J80" s="8">
        <f>SUMIFS('Data nguồn'!H:H, 'Data nguồn'!D:D, $D80, 'Data nguồn'!F:F, $B$1, 'Data nguồn'!C:C, J$3)</f>
      </c>
      <c r="K80" s="8">
        <f>SUMIFS('Data nguồn'!H:H, 'Data nguồn'!D:D, $D80, 'Data nguồn'!F:F, $B$1, 'Data nguồn'!C:C, K$3)</f>
      </c>
      <c r="L80" s="8">
        <f>SUMIFS('Data nguồn'!H:H, 'Data nguồn'!D:D, $D80, 'Data nguồn'!F:F, $B$1, 'Data nguồn'!C:C, L$3)</f>
      </c>
      <c r="M80" s="8">
        <f>SUMIFS('Data nguồn'!H:H, 'Data nguồn'!D:D, $D80, 'Data nguồn'!F:F, $B$1, 'Data nguồn'!C:C, M$3)</f>
      </c>
      <c r="N80" s="8">
        <f>SUMIFS('Data nguồn'!H:H, 'Data nguồn'!D:D, $D80, 'Data nguồn'!F:F, $B$1, 'Data nguồn'!C:C, N$3)</f>
      </c>
      <c r="O80" s="8">
        <f>SUMIFS('Data nguồn'!H:H, 'Data nguồn'!D:D, $D80, 'Data nguồn'!F:F, $B$1, 'Data nguồn'!C:C, O$3)</f>
      </c>
      <c r="P80" s="8">
        <f>SUMIFS('Data nguồn'!H:H, 'Data nguồn'!D:D, $D80, 'Data nguồn'!F:F, $B$1, 'Data nguồn'!C:C, P$3)</f>
      </c>
      <c r="Q80" s="8">
        <f>SUMIFS('Data nguồn'!H:H, 'Data nguồn'!D:D, $D80, 'Data nguồn'!F:F, $B$1, 'Data nguồn'!C:C, Q$3)</f>
      </c>
      <c r="R80" s="8">
        <f>SUMIFS('Data nguồn'!H:H, 'Data nguồn'!D:D, $D80, 'Data nguồn'!F:F, $B$1, 'Data nguồn'!C:C, R$3)</f>
      </c>
      <c r="S80" s="8">
        <f>SUMIFS('Data nguồn'!H:H, 'Data nguồn'!D:D, $D80, 'Data nguồn'!F:F, $B$1, 'Data nguồn'!C:C, S$3)</f>
      </c>
      <c r="T80" s="8">
        <f>SUMIFS('Data nguồn'!H:H, 'Data nguồn'!D:D, $D80, 'Data nguồn'!F:F, $B$1, 'Data nguồn'!C:C, T$3)</f>
      </c>
      <c r="U80" s="8">
        <f>SUMIFS('Data nguồn'!H:H, 'Data nguồn'!D:D, $D80, 'Data nguồn'!F:F, $B$1, 'Data nguồn'!C:C, U$3)</f>
      </c>
      <c r="W80" s="8">
        <f>SUM(E80:P80)</f>
      </c>
      <c r="X80" s="8">
        <f>SUM(Q80:U80)</f>
      </c>
      <c r="Y80" s="8">
        <f>AVERAGE(S80:U80)</f>
      </c>
      <c r="Z80" s="8">
        <f>AVERAGE(P80:U80)</f>
      </c>
      <c r="AA80" s="8">
        <f>AVERAGE(M80:U80)</f>
      </c>
      <c r="AB80" s="4">
        <f>IFERROR((Y80*2)/(Z80+AA80), 0)</f>
      </c>
      <c r="AC80" s="4">
        <f>IFERROR(X80/SUM(E80:I80), 0)</f>
      </c>
      <c r="AD80" s="4">
        <f>IFERROR(X80/SUM(E80:I80), 0)</f>
      </c>
      <c r="AE80" s="4">
        <f>IFERROR(U80/I80, 0)</f>
      </c>
    </row>
    <row r="81" ht="20" customHeight="1" spans="1:31" x14ac:dyDescent="0.25">
      <c r="A81">
        <v>78</v>
      </c>
      <c r="B81" t="s">
        <v>80</v>
      </c>
      <c r="C81" t="s">
        <v>141</v>
      </c>
      <c r="D81" s="2" t="s">
        <v>80</v>
      </c>
      <c r="E81" s="8">
        <f>SUMIFS('Data nguồn'!H:H, 'Data nguồn'!D:D, $D81, 'Data nguồn'!F:F, $B$1, 'Data nguồn'!C:C, E$3)</f>
      </c>
      <c r="F81" s="8">
        <f>SUMIFS('Data nguồn'!H:H, 'Data nguồn'!D:D, $D81, 'Data nguồn'!F:F, $B$1, 'Data nguồn'!C:C, F$3)</f>
      </c>
      <c r="G81" s="8">
        <f>SUMIFS('Data nguồn'!H:H, 'Data nguồn'!D:D, $D81, 'Data nguồn'!F:F, $B$1, 'Data nguồn'!C:C, G$3)</f>
      </c>
      <c r="H81" s="8">
        <f>SUMIFS('Data nguồn'!H:H, 'Data nguồn'!D:D, $D81, 'Data nguồn'!F:F, $B$1, 'Data nguồn'!C:C, H$3)</f>
      </c>
      <c r="I81" s="8">
        <f>SUMIFS('Data nguồn'!H:H, 'Data nguồn'!D:D, $D81, 'Data nguồn'!F:F, $B$1, 'Data nguồn'!C:C, I$3)</f>
      </c>
      <c r="J81" s="8">
        <f>SUMIFS('Data nguồn'!H:H, 'Data nguồn'!D:D, $D81, 'Data nguồn'!F:F, $B$1, 'Data nguồn'!C:C, J$3)</f>
      </c>
      <c r="K81" s="8">
        <f>SUMIFS('Data nguồn'!H:H, 'Data nguồn'!D:D, $D81, 'Data nguồn'!F:F, $B$1, 'Data nguồn'!C:C, K$3)</f>
      </c>
      <c r="L81" s="8">
        <f>SUMIFS('Data nguồn'!H:H, 'Data nguồn'!D:D, $D81, 'Data nguồn'!F:F, $B$1, 'Data nguồn'!C:C, L$3)</f>
      </c>
      <c r="M81" s="8">
        <f>SUMIFS('Data nguồn'!H:H, 'Data nguồn'!D:D, $D81, 'Data nguồn'!F:F, $B$1, 'Data nguồn'!C:C, M$3)</f>
      </c>
      <c r="N81" s="8">
        <f>SUMIFS('Data nguồn'!H:H, 'Data nguồn'!D:D, $D81, 'Data nguồn'!F:F, $B$1, 'Data nguồn'!C:C, N$3)</f>
      </c>
      <c r="O81" s="8">
        <f>SUMIFS('Data nguồn'!H:H, 'Data nguồn'!D:D, $D81, 'Data nguồn'!F:F, $B$1, 'Data nguồn'!C:C, O$3)</f>
      </c>
      <c r="P81" s="8">
        <f>SUMIFS('Data nguồn'!H:H, 'Data nguồn'!D:D, $D81, 'Data nguồn'!F:F, $B$1, 'Data nguồn'!C:C, P$3)</f>
      </c>
      <c r="Q81" s="8">
        <f>SUMIFS('Data nguồn'!H:H, 'Data nguồn'!D:D, $D81, 'Data nguồn'!F:F, $B$1, 'Data nguồn'!C:C, Q$3)</f>
      </c>
      <c r="R81" s="8">
        <f>SUMIFS('Data nguồn'!H:H, 'Data nguồn'!D:D, $D81, 'Data nguồn'!F:F, $B$1, 'Data nguồn'!C:C, R$3)</f>
      </c>
      <c r="S81" s="8">
        <f>SUMIFS('Data nguồn'!H:H, 'Data nguồn'!D:D, $D81, 'Data nguồn'!F:F, $B$1, 'Data nguồn'!C:C, S$3)</f>
      </c>
      <c r="T81" s="8">
        <f>SUMIFS('Data nguồn'!H:H, 'Data nguồn'!D:D, $D81, 'Data nguồn'!F:F, $B$1, 'Data nguồn'!C:C, T$3)</f>
      </c>
      <c r="U81" s="8">
        <f>SUMIFS('Data nguồn'!H:H, 'Data nguồn'!D:D, $D81, 'Data nguồn'!F:F, $B$1, 'Data nguồn'!C:C, U$3)</f>
      </c>
      <c r="W81" s="8">
        <f>SUM(E81:P81)</f>
      </c>
      <c r="X81" s="8">
        <f>SUM(Q81:U81)</f>
      </c>
      <c r="Y81" s="8">
        <f>AVERAGE(S81:U81)</f>
      </c>
      <c r="Z81" s="8">
        <f>AVERAGE(P81:U81)</f>
      </c>
      <c r="AA81" s="8">
        <f>AVERAGE(M81:U81)</f>
      </c>
      <c r="AB81" s="4">
        <f>IFERROR((Y81*2)/(Z81+AA81), 0)</f>
      </c>
      <c r="AC81" s="4">
        <f>IFERROR(X81/SUM(E81:I81), 0)</f>
      </c>
      <c r="AD81" s="4">
        <f>IFERROR(X81/SUM(E81:I81), 0)</f>
      </c>
      <c r="AE81" s="4">
        <f>IFERROR(U81/I81, 0)</f>
      </c>
    </row>
    <row r="82" ht="20" customHeight="1" spans="1:31" x14ac:dyDescent="0.25">
      <c r="A82">
        <v>79</v>
      </c>
      <c r="B82" t="s">
        <v>82</v>
      </c>
      <c r="C82" t="s">
        <v>141</v>
      </c>
      <c r="D82" s="2" t="s">
        <v>82</v>
      </c>
      <c r="E82" s="8">
        <f>SUMIFS('Data nguồn'!H:H, 'Data nguồn'!D:D, $D82, 'Data nguồn'!F:F, $B$1, 'Data nguồn'!C:C, E$3)</f>
      </c>
      <c r="F82" s="8">
        <f>SUMIFS('Data nguồn'!H:H, 'Data nguồn'!D:D, $D82, 'Data nguồn'!F:F, $B$1, 'Data nguồn'!C:C, F$3)</f>
      </c>
      <c r="G82" s="8">
        <f>SUMIFS('Data nguồn'!H:H, 'Data nguồn'!D:D, $D82, 'Data nguồn'!F:F, $B$1, 'Data nguồn'!C:C, G$3)</f>
      </c>
      <c r="H82" s="8">
        <f>SUMIFS('Data nguồn'!H:H, 'Data nguồn'!D:D, $D82, 'Data nguồn'!F:F, $B$1, 'Data nguồn'!C:C, H$3)</f>
      </c>
      <c r="I82" s="8">
        <f>SUMIFS('Data nguồn'!H:H, 'Data nguồn'!D:D, $D82, 'Data nguồn'!F:F, $B$1, 'Data nguồn'!C:C, I$3)</f>
      </c>
      <c r="J82" s="8">
        <f>SUMIFS('Data nguồn'!H:H, 'Data nguồn'!D:D, $D82, 'Data nguồn'!F:F, $B$1, 'Data nguồn'!C:C, J$3)</f>
      </c>
      <c r="K82" s="8">
        <f>SUMIFS('Data nguồn'!H:H, 'Data nguồn'!D:D, $D82, 'Data nguồn'!F:F, $B$1, 'Data nguồn'!C:C, K$3)</f>
      </c>
      <c r="L82" s="8">
        <f>SUMIFS('Data nguồn'!H:H, 'Data nguồn'!D:D, $D82, 'Data nguồn'!F:F, $B$1, 'Data nguồn'!C:C, L$3)</f>
      </c>
      <c r="M82" s="8">
        <f>SUMIFS('Data nguồn'!H:H, 'Data nguồn'!D:D, $D82, 'Data nguồn'!F:F, $B$1, 'Data nguồn'!C:C, M$3)</f>
      </c>
      <c r="N82" s="8">
        <f>SUMIFS('Data nguồn'!H:H, 'Data nguồn'!D:D, $D82, 'Data nguồn'!F:F, $B$1, 'Data nguồn'!C:C, N$3)</f>
      </c>
      <c r="O82" s="8">
        <f>SUMIFS('Data nguồn'!H:H, 'Data nguồn'!D:D, $D82, 'Data nguồn'!F:F, $B$1, 'Data nguồn'!C:C, O$3)</f>
      </c>
      <c r="P82" s="8">
        <f>SUMIFS('Data nguồn'!H:H, 'Data nguồn'!D:D, $D82, 'Data nguồn'!F:F, $B$1, 'Data nguồn'!C:C, P$3)</f>
      </c>
      <c r="Q82" s="8">
        <f>SUMIFS('Data nguồn'!H:H, 'Data nguồn'!D:D, $D82, 'Data nguồn'!F:F, $B$1, 'Data nguồn'!C:C, Q$3)</f>
      </c>
      <c r="R82" s="8">
        <f>SUMIFS('Data nguồn'!H:H, 'Data nguồn'!D:D, $D82, 'Data nguồn'!F:F, $B$1, 'Data nguồn'!C:C, R$3)</f>
      </c>
      <c r="S82" s="8">
        <f>SUMIFS('Data nguồn'!H:H, 'Data nguồn'!D:D, $D82, 'Data nguồn'!F:F, $B$1, 'Data nguồn'!C:C, S$3)</f>
      </c>
      <c r="T82" s="8">
        <f>SUMIFS('Data nguồn'!H:H, 'Data nguồn'!D:D, $D82, 'Data nguồn'!F:F, $B$1, 'Data nguồn'!C:C, T$3)</f>
      </c>
      <c r="U82" s="8">
        <f>SUMIFS('Data nguồn'!H:H, 'Data nguồn'!D:D, $D82, 'Data nguồn'!F:F, $B$1, 'Data nguồn'!C:C, U$3)</f>
      </c>
      <c r="W82" s="8">
        <f>SUM(E82:P82)</f>
      </c>
      <c r="X82" s="8">
        <f>SUM(Q82:U82)</f>
      </c>
      <c r="Y82" s="8">
        <f>AVERAGE(S82:U82)</f>
      </c>
      <c r="Z82" s="8">
        <f>AVERAGE(P82:U82)</f>
      </c>
      <c r="AA82" s="8">
        <f>AVERAGE(M82:U82)</f>
      </c>
      <c r="AB82" s="4">
        <f>IFERROR((Y82*2)/(Z82+AA82), 0)</f>
      </c>
      <c r="AC82" s="4">
        <f>IFERROR(X82/SUM(E82:I82), 0)</f>
      </c>
      <c r="AD82" s="4">
        <f>IFERROR(X82/SUM(E82:I82), 0)</f>
      </c>
      <c r="AE82" s="4">
        <f>IFERROR(U82/I82, 0)</f>
      </c>
    </row>
    <row r="83" ht="20" customHeight="1" spans="1:31" x14ac:dyDescent="0.25">
      <c r="A83">
        <v>80</v>
      </c>
      <c r="B83" t="s">
        <v>83</v>
      </c>
      <c r="C83" t="s">
        <v>141</v>
      </c>
      <c r="D83" s="2" t="s">
        <v>83</v>
      </c>
      <c r="E83" s="8">
        <f>SUMIFS('Data nguồn'!H:H, 'Data nguồn'!D:D, $D83, 'Data nguồn'!F:F, $B$1, 'Data nguồn'!C:C, E$3)</f>
      </c>
      <c r="F83" s="8">
        <f>SUMIFS('Data nguồn'!H:H, 'Data nguồn'!D:D, $D83, 'Data nguồn'!F:F, $B$1, 'Data nguồn'!C:C, F$3)</f>
      </c>
      <c r="G83" s="8">
        <f>SUMIFS('Data nguồn'!H:H, 'Data nguồn'!D:D, $D83, 'Data nguồn'!F:F, $B$1, 'Data nguồn'!C:C, G$3)</f>
      </c>
      <c r="H83" s="8">
        <f>SUMIFS('Data nguồn'!H:H, 'Data nguồn'!D:D, $D83, 'Data nguồn'!F:F, $B$1, 'Data nguồn'!C:C, H$3)</f>
      </c>
      <c r="I83" s="8">
        <f>SUMIFS('Data nguồn'!H:H, 'Data nguồn'!D:D, $D83, 'Data nguồn'!F:F, $B$1, 'Data nguồn'!C:C, I$3)</f>
      </c>
      <c r="J83" s="8">
        <f>SUMIFS('Data nguồn'!H:H, 'Data nguồn'!D:D, $D83, 'Data nguồn'!F:F, $B$1, 'Data nguồn'!C:C, J$3)</f>
      </c>
      <c r="K83" s="8">
        <f>SUMIFS('Data nguồn'!H:H, 'Data nguồn'!D:D, $D83, 'Data nguồn'!F:F, $B$1, 'Data nguồn'!C:C, K$3)</f>
      </c>
      <c r="L83" s="8">
        <f>SUMIFS('Data nguồn'!H:H, 'Data nguồn'!D:D, $D83, 'Data nguồn'!F:F, $B$1, 'Data nguồn'!C:C, L$3)</f>
      </c>
      <c r="M83" s="8">
        <f>SUMIFS('Data nguồn'!H:H, 'Data nguồn'!D:D, $D83, 'Data nguồn'!F:F, $B$1, 'Data nguồn'!C:C, M$3)</f>
      </c>
      <c r="N83" s="8">
        <f>SUMIFS('Data nguồn'!H:H, 'Data nguồn'!D:D, $D83, 'Data nguồn'!F:F, $B$1, 'Data nguồn'!C:C, N$3)</f>
      </c>
      <c r="O83" s="8">
        <f>SUMIFS('Data nguồn'!H:H, 'Data nguồn'!D:D, $D83, 'Data nguồn'!F:F, $B$1, 'Data nguồn'!C:C, O$3)</f>
      </c>
      <c r="P83" s="8">
        <f>SUMIFS('Data nguồn'!H:H, 'Data nguồn'!D:D, $D83, 'Data nguồn'!F:F, $B$1, 'Data nguồn'!C:C, P$3)</f>
      </c>
      <c r="Q83" s="8">
        <f>SUMIFS('Data nguồn'!H:H, 'Data nguồn'!D:D, $D83, 'Data nguồn'!F:F, $B$1, 'Data nguồn'!C:C, Q$3)</f>
      </c>
      <c r="R83" s="8">
        <f>SUMIFS('Data nguồn'!H:H, 'Data nguồn'!D:D, $D83, 'Data nguồn'!F:F, $B$1, 'Data nguồn'!C:C, R$3)</f>
      </c>
      <c r="S83" s="8">
        <f>SUMIFS('Data nguồn'!H:H, 'Data nguồn'!D:D, $D83, 'Data nguồn'!F:F, $B$1, 'Data nguồn'!C:C, S$3)</f>
      </c>
      <c r="T83" s="8">
        <f>SUMIFS('Data nguồn'!H:H, 'Data nguồn'!D:D, $D83, 'Data nguồn'!F:F, $B$1, 'Data nguồn'!C:C, T$3)</f>
      </c>
      <c r="U83" s="8">
        <f>SUMIFS('Data nguồn'!H:H, 'Data nguồn'!D:D, $D83, 'Data nguồn'!F:F, $B$1, 'Data nguồn'!C:C, U$3)</f>
      </c>
      <c r="W83" s="8">
        <f>SUM(E83:P83)</f>
      </c>
      <c r="X83" s="8">
        <f>SUM(Q83:U83)</f>
      </c>
      <c r="Y83" s="8">
        <f>AVERAGE(S83:U83)</f>
      </c>
      <c r="Z83" s="8">
        <f>AVERAGE(P83:U83)</f>
      </c>
      <c r="AA83" s="8">
        <f>AVERAGE(M83:U83)</f>
      </c>
      <c r="AB83" s="4">
        <f>IFERROR((Y83*2)/(Z83+AA83), 0)</f>
      </c>
      <c r="AC83" s="4">
        <f>IFERROR(X83/SUM(E83:I83), 0)</f>
      </c>
      <c r="AD83" s="4">
        <f>IFERROR(X83/SUM(E83:I83), 0)</f>
      </c>
      <c r="AE83" s="4">
        <f>IFERROR(U83/I83, 0)</f>
      </c>
    </row>
    <row r="84" ht="20" customHeight="1" spans="1:31" x14ac:dyDescent="0.25">
      <c r="A84">
        <v>81</v>
      </c>
      <c r="B84" t="s">
        <v>84</v>
      </c>
      <c r="C84" t="s">
        <v>141</v>
      </c>
      <c r="D84" s="2" t="s">
        <v>84</v>
      </c>
      <c r="E84" s="8">
        <f>SUMIFS('Data nguồn'!H:H, 'Data nguồn'!D:D, $D84, 'Data nguồn'!F:F, $B$1, 'Data nguồn'!C:C, E$3)</f>
      </c>
      <c r="F84" s="8">
        <f>SUMIFS('Data nguồn'!H:H, 'Data nguồn'!D:D, $D84, 'Data nguồn'!F:F, $B$1, 'Data nguồn'!C:C, F$3)</f>
      </c>
      <c r="G84" s="8">
        <f>SUMIFS('Data nguồn'!H:H, 'Data nguồn'!D:D, $D84, 'Data nguồn'!F:F, $B$1, 'Data nguồn'!C:C, G$3)</f>
      </c>
      <c r="H84" s="8">
        <f>SUMIFS('Data nguồn'!H:H, 'Data nguồn'!D:D, $D84, 'Data nguồn'!F:F, $B$1, 'Data nguồn'!C:C, H$3)</f>
      </c>
      <c r="I84" s="8">
        <f>SUMIFS('Data nguồn'!H:H, 'Data nguồn'!D:D, $D84, 'Data nguồn'!F:F, $B$1, 'Data nguồn'!C:C, I$3)</f>
      </c>
      <c r="J84" s="8">
        <f>SUMIFS('Data nguồn'!H:H, 'Data nguồn'!D:D, $D84, 'Data nguồn'!F:F, $B$1, 'Data nguồn'!C:C, J$3)</f>
      </c>
      <c r="K84" s="8">
        <f>SUMIFS('Data nguồn'!H:H, 'Data nguồn'!D:D, $D84, 'Data nguồn'!F:F, $B$1, 'Data nguồn'!C:C, K$3)</f>
      </c>
      <c r="L84" s="8">
        <f>SUMIFS('Data nguồn'!H:H, 'Data nguồn'!D:D, $D84, 'Data nguồn'!F:F, $B$1, 'Data nguồn'!C:C, L$3)</f>
      </c>
      <c r="M84" s="8">
        <f>SUMIFS('Data nguồn'!H:H, 'Data nguồn'!D:D, $D84, 'Data nguồn'!F:F, $B$1, 'Data nguồn'!C:C, M$3)</f>
      </c>
      <c r="N84" s="8">
        <f>SUMIFS('Data nguồn'!H:H, 'Data nguồn'!D:D, $D84, 'Data nguồn'!F:F, $B$1, 'Data nguồn'!C:C, N$3)</f>
      </c>
      <c r="O84" s="8">
        <f>SUMIFS('Data nguồn'!H:H, 'Data nguồn'!D:D, $D84, 'Data nguồn'!F:F, $B$1, 'Data nguồn'!C:C, O$3)</f>
      </c>
      <c r="P84" s="8">
        <f>SUMIFS('Data nguồn'!H:H, 'Data nguồn'!D:D, $D84, 'Data nguồn'!F:F, $B$1, 'Data nguồn'!C:C, P$3)</f>
      </c>
      <c r="Q84" s="8">
        <f>SUMIFS('Data nguồn'!H:H, 'Data nguồn'!D:D, $D84, 'Data nguồn'!F:F, $B$1, 'Data nguồn'!C:C, Q$3)</f>
      </c>
      <c r="R84" s="8">
        <f>SUMIFS('Data nguồn'!H:H, 'Data nguồn'!D:D, $D84, 'Data nguồn'!F:F, $B$1, 'Data nguồn'!C:C, R$3)</f>
      </c>
      <c r="S84" s="8">
        <f>SUMIFS('Data nguồn'!H:H, 'Data nguồn'!D:D, $D84, 'Data nguồn'!F:F, $B$1, 'Data nguồn'!C:C, S$3)</f>
      </c>
      <c r="T84" s="8">
        <f>SUMIFS('Data nguồn'!H:H, 'Data nguồn'!D:D, $D84, 'Data nguồn'!F:F, $B$1, 'Data nguồn'!C:C, T$3)</f>
      </c>
      <c r="U84" s="8">
        <f>SUMIFS('Data nguồn'!H:H, 'Data nguồn'!D:D, $D84, 'Data nguồn'!F:F, $B$1, 'Data nguồn'!C:C, U$3)</f>
      </c>
      <c r="W84" s="8">
        <f>SUM(E84:P84)</f>
      </c>
      <c r="X84" s="8">
        <f>SUM(Q84:U84)</f>
      </c>
      <c r="Y84" s="8">
        <f>AVERAGE(S84:U84)</f>
      </c>
      <c r="Z84" s="8">
        <f>AVERAGE(P84:U84)</f>
      </c>
      <c r="AA84" s="8">
        <f>AVERAGE(M84:U84)</f>
      </c>
      <c r="AB84" s="4">
        <f>IFERROR((Y84*2)/(Z84+AA84), 0)</f>
      </c>
      <c r="AC84" s="4">
        <f>IFERROR(X84/SUM(E84:I84), 0)</f>
      </c>
      <c r="AD84" s="4">
        <f>IFERROR(X84/SUM(E84:I84), 0)</f>
      </c>
      <c r="AE84" s="4">
        <f>IFERROR(U84/I84, 0)</f>
      </c>
    </row>
    <row r="85" ht="20" customHeight="1" spans="1:31" x14ac:dyDescent="0.25">
      <c r="A85">
        <v>82</v>
      </c>
      <c r="B85" t="s">
        <v>85</v>
      </c>
      <c r="C85" t="s">
        <v>141</v>
      </c>
      <c r="D85" s="2" t="s">
        <v>85</v>
      </c>
      <c r="E85" s="8">
        <f>SUMIFS('Data nguồn'!H:H, 'Data nguồn'!D:D, $D85, 'Data nguồn'!F:F, $B$1, 'Data nguồn'!C:C, E$3)</f>
      </c>
      <c r="F85" s="8">
        <f>SUMIFS('Data nguồn'!H:H, 'Data nguồn'!D:D, $D85, 'Data nguồn'!F:F, $B$1, 'Data nguồn'!C:C, F$3)</f>
      </c>
      <c r="G85" s="8">
        <f>SUMIFS('Data nguồn'!H:H, 'Data nguồn'!D:D, $D85, 'Data nguồn'!F:F, $B$1, 'Data nguồn'!C:C, G$3)</f>
      </c>
      <c r="H85" s="8">
        <f>SUMIFS('Data nguồn'!H:H, 'Data nguồn'!D:D, $D85, 'Data nguồn'!F:F, $B$1, 'Data nguồn'!C:C, H$3)</f>
      </c>
      <c r="I85" s="8">
        <f>SUMIFS('Data nguồn'!H:H, 'Data nguồn'!D:D, $D85, 'Data nguồn'!F:F, $B$1, 'Data nguồn'!C:C, I$3)</f>
      </c>
      <c r="J85" s="8">
        <f>SUMIFS('Data nguồn'!H:H, 'Data nguồn'!D:D, $D85, 'Data nguồn'!F:F, $B$1, 'Data nguồn'!C:C, J$3)</f>
      </c>
      <c r="K85" s="8">
        <f>SUMIFS('Data nguồn'!H:H, 'Data nguồn'!D:D, $D85, 'Data nguồn'!F:F, $B$1, 'Data nguồn'!C:C, K$3)</f>
      </c>
      <c r="L85" s="8">
        <f>SUMIFS('Data nguồn'!H:H, 'Data nguồn'!D:D, $D85, 'Data nguồn'!F:F, $B$1, 'Data nguồn'!C:C, L$3)</f>
      </c>
      <c r="M85" s="8">
        <f>SUMIFS('Data nguồn'!H:H, 'Data nguồn'!D:D, $D85, 'Data nguồn'!F:F, $B$1, 'Data nguồn'!C:C, M$3)</f>
      </c>
      <c r="N85" s="8">
        <f>SUMIFS('Data nguồn'!H:H, 'Data nguồn'!D:D, $D85, 'Data nguồn'!F:F, $B$1, 'Data nguồn'!C:C, N$3)</f>
      </c>
      <c r="O85" s="8">
        <f>SUMIFS('Data nguồn'!H:H, 'Data nguồn'!D:D, $D85, 'Data nguồn'!F:F, $B$1, 'Data nguồn'!C:C, O$3)</f>
      </c>
      <c r="P85" s="8">
        <f>SUMIFS('Data nguồn'!H:H, 'Data nguồn'!D:D, $D85, 'Data nguồn'!F:F, $B$1, 'Data nguồn'!C:C, P$3)</f>
      </c>
      <c r="Q85" s="8">
        <f>SUMIFS('Data nguồn'!H:H, 'Data nguồn'!D:D, $D85, 'Data nguồn'!F:F, $B$1, 'Data nguồn'!C:C, Q$3)</f>
      </c>
      <c r="R85" s="8">
        <f>SUMIFS('Data nguồn'!H:H, 'Data nguồn'!D:D, $D85, 'Data nguồn'!F:F, $B$1, 'Data nguồn'!C:C, R$3)</f>
      </c>
      <c r="S85" s="8">
        <f>SUMIFS('Data nguồn'!H:H, 'Data nguồn'!D:D, $D85, 'Data nguồn'!F:F, $B$1, 'Data nguồn'!C:C, S$3)</f>
      </c>
      <c r="T85" s="8">
        <f>SUMIFS('Data nguồn'!H:H, 'Data nguồn'!D:D, $D85, 'Data nguồn'!F:F, $B$1, 'Data nguồn'!C:C, T$3)</f>
      </c>
      <c r="U85" s="8">
        <f>SUMIFS('Data nguồn'!H:H, 'Data nguồn'!D:D, $D85, 'Data nguồn'!F:F, $B$1, 'Data nguồn'!C:C, U$3)</f>
      </c>
      <c r="W85" s="8">
        <f>SUM(E85:P85)</f>
      </c>
      <c r="X85" s="8">
        <f>SUM(Q85:U85)</f>
      </c>
      <c r="Y85" s="8">
        <f>AVERAGE(S85:U85)</f>
      </c>
      <c r="Z85" s="8">
        <f>AVERAGE(P85:U85)</f>
      </c>
      <c r="AA85" s="8">
        <f>AVERAGE(M85:U85)</f>
      </c>
      <c r="AB85" s="4">
        <f>IFERROR((Y85*2)/(Z85+AA85), 0)</f>
      </c>
      <c r="AC85" s="4">
        <f>IFERROR(X85/SUM(E85:I85), 0)</f>
      </c>
      <c r="AD85" s="4">
        <f>IFERROR(X85/SUM(E85:I85), 0)</f>
      </c>
      <c r="AE85" s="4">
        <f>IFERROR(U85/I85, 0)</f>
      </c>
    </row>
    <row r="86" ht="20" customHeight="1" spans="1:31" x14ac:dyDescent="0.25">
      <c r="A86">
        <v>83</v>
      </c>
      <c r="B86" t="s">
        <v>86</v>
      </c>
      <c r="C86" t="s">
        <v>141</v>
      </c>
      <c r="D86" s="2" t="s">
        <v>86</v>
      </c>
      <c r="E86" s="8">
        <f>SUMIFS('Data nguồn'!H:H, 'Data nguồn'!D:D, $D86, 'Data nguồn'!F:F, $B$1, 'Data nguồn'!C:C, E$3)</f>
      </c>
      <c r="F86" s="8">
        <f>SUMIFS('Data nguồn'!H:H, 'Data nguồn'!D:D, $D86, 'Data nguồn'!F:F, $B$1, 'Data nguồn'!C:C, F$3)</f>
      </c>
      <c r="G86" s="8">
        <f>SUMIFS('Data nguồn'!H:H, 'Data nguồn'!D:D, $D86, 'Data nguồn'!F:F, $B$1, 'Data nguồn'!C:C, G$3)</f>
      </c>
      <c r="H86" s="8">
        <f>SUMIFS('Data nguồn'!H:H, 'Data nguồn'!D:D, $D86, 'Data nguồn'!F:F, $B$1, 'Data nguồn'!C:C, H$3)</f>
      </c>
      <c r="I86" s="8">
        <f>SUMIFS('Data nguồn'!H:H, 'Data nguồn'!D:D, $D86, 'Data nguồn'!F:F, $B$1, 'Data nguồn'!C:C, I$3)</f>
      </c>
      <c r="J86" s="8">
        <f>SUMIFS('Data nguồn'!H:H, 'Data nguồn'!D:D, $D86, 'Data nguồn'!F:F, $B$1, 'Data nguồn'!C:C, J$3)</f>
      </c>
      <c r="K86" s="8">
        <f>SUMIFS('Data nguồn'!H:H, 'Data nguồn'!D:D, $D86, 'Data nguồn'!F:F, $B$1, 'Data nguồn'!C:C, K$3)</f>
      </c>
      <c r="L86" s="8">
        <f>SUMIFS('Data nguồn'!H:H, 'Data nguồn'!D:D, $D86, 'Data nguồn'!F:F, $B$1, 'Data nguồn'!C:C, L$3)</f>
      </c>
      <c r="M86" s="8">
        <f>SUMIFS('Data nguồn'!H:H, 'Data nguồn'!D:D, $D86, 'Data nguồn'!F:F, $B$1, 'Data nguồn'!C:C, M$3)</f>
      </c>
      <c r="N86" s="8">
        <f>SUMIFS('Data nguồn'!H:H, 'Data nguồn'!D:D, $D86, 'Data nguồn'!F:F, $B$1, 'Data nguồn'!C:C, N$3)</f>
      </c>
      <c r="O86" s="8">
        <f>SUMIFS('Data nguồn'!H:H, 'Data nguồn'!D:D, $D86, 'Data nguồn'!F:F, $B$1, 'Data nguồn'!C:C, O$3)</f>
      </c>
      <c r="P86" s="8">
        <f>SUMIFS('Data nguồn'!H:H, 'Data nguồn'!D:D, $D86, 'Data nguồn'!F:F, $B$1, 'Data nguồn'!C:C, P$3)</f>
      </c>
      <c r="Q86" s="8">
        <f>SUMIFS('Data nguồn'!H:H, 'Data nguồn'!D:D, $D86, 'Data nguồn'!F:F, $B$1, 'Data nguồn'!C:C, Q$3)</f>
      </c>
      <c r="R86" s="8">
        <f>SUMIFS('Data nguồn'!H:H, 'Data nguồn'!D:D, $D86, 'Data nguồn'!F:F, $B$1, 'Data nguồn'!C:C, R$3)</f>
      </c>
      <c r="S86" s="8">
        <f>SUMIFS('Data nguồn'!H:H, 'Data nguồn'!D:D, $D86, 'Data nguồn'!F:F, $B$1, 'Data nguồn'!C:C, S$3)</f>
      </c>
      <c r="T86" s="8">
        <f>SUMIFS('Data nguồn'!H:H, 'Data nguồn'!D:D, $D86, 'Data nguồn'!F:F, $B$1, 'Data nguồn'!C:C, T$3)</f>
      </c>
      <c r="U86" s="8">
        <f>SUMIFS('Data nguồn'!H:H, 'Data nguồn'!D:D, $D86, 'Data nguồn'!F:F, $B$1, 'Data nguồn'!C:C, U$3)</f>
      </c>
      <c r="W86" s="8">
        <f>SUM(E86:P86)</f>
      </c>
      <c r="X86" s="8">
        <f>SUM(Q86:U86)</f>
      </c>
      <c r="Y86" s="8">
        <f>AVERAGE(S86:U86)</f>
      </c>
      <c r="Z86" s="8">
        <f>AVERAGE(P86:U86)</f>
      </c>
      <c r="AA86" s="8">
        <f>AVERAGE(M86:U86)</f>
      </c>
      <c r="AB86" s="4">
        <f>IFERROR((Y86*2)/(Z86+AA86), 0)</f>
      </c>
      <c r="AC86" s="4">
        <f>IFERROR(X86/SUM(E86:I86), 0)</f>
      </c>
      <c r="AD86" s="4">
        <f>IFERROR(X86/SUM(E86:I86), 0)</f>
      </c>
      <c r="AE86" s="4">
        <f>IFERROR(U86/I86, 0)</f>
      </c>
    </row>
    <row r="87" ht="20" customHeight="1" spans="1:31" x14ac:dyDescent="0.25">
      <c r="A87">
        <v>84</v>
      </c>
      <c r="B87" t="s">
        <v>87</v>
      </c>
      <c r="C87" t="s">
        <v>141</v>
      </c>
      <c r="D87" s="2" t="s">
        <v>87</v>
      </c>
      <c r="E87" s="8">
        <f>SUMIFS('Data nguồn'!H:H, 'Data nguồn'!D:D, $D87, 'Data nguồn'!F:F, $B$1, 'Data nguồn'!C:C, E$3)</f>
      </c>
      <c r="F87" s="8">
        <f>SUMIFS('Data nguồn'!H:H, 'Data nguồn'!D:D, $D87, 'Data nguồn'!F:F, $B$1, 'Data nguồn'!C:C, F$3)</f>
      </c>
      <c r="G87" s="8">
        <f>SUMIFS('Data nguồn'!H:H, 'Data nguồn'!D:D, $D87, 'Data nguồn'!F:F, $B$1, 'Data nguồn'!C:C, G$3)</f>
      </c>
      <c r="H87" s="8">
        <f>SUMIFS('Data nguồn'!H:H, 'Data nguồn'!D:D, $D87, 'Data nguồn'!F:F, $B$1, 'Data nguồn'!C:C, H$3)</f>
      </c>
      <c r="I87" s="8">
        <f>SUMIFS('Data nguồn'!H:H, 'Data nguồn'!D:D, $D87, 'Data nguồn'!F:F, $B$1, 'Data nguồn'!C:C, I$3)</f>
      </c>
      <c r="J87" s="8">
        <f>SUMIFS('Data nguồn'!H:H, 'Data nguồn'!D:D, $D87, 'Data nguồn'!F:F, $B$1, 'Data nguồn'!C:C, J$3)</f>
      </c>
      <c r="K87" s="8">
        <f>SUMIFS('Data nguồn'!H:H, 'Data nguồn'!D:D, $D87, 'Data nguồn'!F:F, $B$1, 'Data nguồn'!C:C, K$3)</f>
      </c>
      <c r="L87" s="8">
        <f>SUMIFS('Data nguồn'!H:H, 'Data nguồn'!D:D, $D87, 'Data nguồn'!F:F, $B$1, 'Data nguồn'!C:C, L$3)</f>
      </c>
      <c r="M87" s="8">
        <f>SUMIFS('Data nguồn'!H:H, 'Data nguồn'!D:D, $D87, 'Data nguồn'!F:F, $B$1, 'Data nguồn'!C:C, M$3)</f>
      </c>
      <c r="N87" s="8">
        <f>SUMIFS('Data nguồn'!H:H, 'Data nguồn'!D:D, $D87, 'Data nguồn'!F:F, $B$1, 'Data nguồn'!C:C, N$3)</f>
      </c>
      <c r="O87" s="8">
        <f>SUMIFS('Data nguồn'!H:H, 'Data nguồn'!D:D, $D87, 'Data nguồn'!F:F, $B$1, 'Data nguồn'!C:C, O$3)</f>
      </c>
      <c r="P87" s="8">
        <f>SUMIFS('Data nguồn'!H:H, 'Data nguồn'!D:D, $D87, 'Data nguồn'!F:F, $B$1, 'Data nguồn'!C:C, P$3)</f>
      </c>
      <c r="Q87" s="8">
        <f>SUMIFS('Data nguồn'!H:H, 'Data nguồn'!D:D, $D87, 'Data nguồn'!F:F, $B$1, 'Data nguồn'!C:C, Q$3)</f>
      </c>
      <c r="R87" s="8">
        <f>SUMIFS('Data nguồn'!H:H, 'Data nguồn'!D:D, $D87, 'Data nguồn'!F:F, $B$1, 'Data nguồn'!C:C, R$3)</f>
      </c>
      <c r="S87" s="8">
        <f>SUMIFS('Data nguồn'!H:H, 'Data nguồn'!D:D, $D87, 'Data nguồn'!F:F, $B$1, 'Data nguồn'!C:C, S$3)</f>
      </c>
      <c r="T87" s="8">
        <f>SUMIFS('Data nguồn'!H:H, 'Data nguồn'!D:D, $D87, 'Data nguồn'!F:F, $B$1, 'Data nguồn'!C:C, T$3)</f>
      </c>
      <c r="U87" s="8">
        <f>SUMIFS('Data nguồn'!H:H, 'Data nguồn'!D:D, $D87, 'Data nguồn'!F:F, $B$1, 'Data nguồn'!C:C, U$3)</f>
      </c>
      <c r="W87" s="8">
        <f>SUM(E87:P87)</f>
      </c>
      <c r="X87" s="8">
        <f>SUM(Q87:U87)</f>
      </c>
      <c r="Y87" s="8">
        <f>AVERAGE(S87:U87)</f>
      </c>
      <c r="Z87" s="8">
        <f>AVERAGE(P87:U87)</f>
      </c>
      <c r="AA87" s="8">
        <f>AVERAGE(M87:U87)</f>
      </c>
      <c r="AB87" s="4">
        <f>IFERROR((Y87*2)/(Z87+AA87), 0)</f>
      </c>
      <c r="AC87" s="4">
        <f>IFERROR(X87/SUM(E87:I87), 0)</f>
      </c>
      <c r="AD87" s="4">
        <f>IFERROR(X87/SUM(E87:I87), 0)</f>
      </c>
      <c r="AE87" s="4">
        <f>IFERROR(U87/I87, 0)</f>
      </c>
    </row>
    <row r="88" ht="20" customHeight="1" spans="1:31" x14ac:dyDescent="0.25">
      <c r="A88">
        <v>85</v>
      </c>
      <c r="B88" t="s">
        <v>88</v>
      </c>
      <c r="C88" t="s">
        <v>141</v>
      </c>
      <c r="D88" s="2" t="s">
        <v>88</v>
      </c>
      <c r="E88" s="8">
        <f>SUMIFS('Data nguồn'!H:H, 'Data nguồn'!D:D, $D88, 'Data nguồn'!F:F, $B$1, 'Data nguồn'!C:C, E$3)</f>
      </c>
      <c r="F88" s="8">
        <f>SUMIFS('Data nguồn'!H:H, 'Data nguồn'!D:D, $D88, 'Data nguồn'!F:F, $B$1, 'Data nguồn'!C:C, F$3)</f>
      </c>
      <c r="G88" s="8">
        <f>SUMIFS('Data nguồn'!H:H, 'Data nguồn'!D:D, $D88, 'Data nguồn'!F:F, $B$1, 'Data nguồn'!C:C, G$3)</f>
      </c>
      <c r="H88" s="8">
        <f>SUMIFS('Data nguồn'!H:H, 'Data nguồn'!D:D, $D88, 'Data nguồn'!F:F, $B$1, 'Data nguồn'!C:C, H$3)</f>
      </c>
      <c r="I88" s="8">
        <f>SUMIFS('Data nguồn'!H:H, 'Data nguồn'!D:D, $D88, 'Data nguồn'!F:F, $B$1, 'Data nguồn'!C:C, I$3)</f>
      </c>
      <c r="J88" s="8">
        <f>SUMIFS('Data nguồn'!H:H, 'Data nguồn'!D:D, $D88, 'Data nguồn'!F:F, $B$1, 'Data nguồn'!C:C, J$3)</f>
      </c>
      <c r="K88" s="8">
        <f>SUMIFS('Data nguồn'!H:H, 'Data nguồn'!D:D, $D88, 'Data nguồn'!F:F, $B$1, 'Data nguồn'!C:C, K$3)</f>
      </c>
      <c r="L88" s="8">
        <f>SUMIFS('Data nguồn'!H:H, 'Data nguồn'!D:D, $D88, 'Data nguồn'!F:F, $B$1, 'Data nguồn'!C:C, L$3)</f>
      </c>
      <c r="M88" s="8">
        <f>SUMIFS('Data nguồn'!H:H, 'Data nguồn'!D:D, $D88, 'Data nguồn'!F:F, $B$1, 'Data nguồn'!C:C, M$3)</f>
      </c>
      <c r="N88" s="8">
        <f>SUMIFS('Data nguồn'!H:H, 'Data nguồn'!D:D, $D88, 'Data nguồn'!F:F, $B$1, 'Data nguồn'!C:C, N$3)</f>
      </c>
      <c r="O88" s="8">
        <f>SUMIFS('Data nguồn'!H:H, 'Data nguồn'!D:D, $D88, 'Data nguồn'!F:F, $B$1, 'Data nguồn'!C:C, O$3)</f>
      </c>
      <c r="P88" s="8">
        <f>SUMIFS('Data nguồn'!H:H, 'Data nguồn'!D:D, $D88, 'Data nguồn'!F:F, $B$1, 'Data nguồn'!C:C, P$3)</f>
      </c>
      <c r="Q88" s="8">
        <f>SUMIFS('Data nguồn'!H:H, 'Data nguồn'!D:D, $D88, 'Data nguồn'!F:F, $B$1, 'Data nguồn'!C:C, Q$3)</f>
      </c>
      <c r="R88" s="8">
        <f>SUMIFS('Data nguồn'!H:H, 'Data nguồn'!D:D, $D88, 'Data nguồn'!F:F, $B$1, 'Data nguồn'!C:C, R$3)</f>
      </c>
      <c r="S88" s="8">
        <f>SUMIFS('Data nguồn'!H:H, 'Data nguồn'!D:D, $D88, 'Data nguồn'!F:F, $B$1, 'Data nguồn'!C:C, S$3)</f>
      </c>
      <c r="T88" s="8">
        <f>SUMIFS('Data nguồn'!H:H, 'Data nguồn'!D:D, $D88, 'Data nguồn'!F:F, $B$1, 'Data nguồn'!C:C, T$3)</f>
      </c>
      <c r="U88" s="8">
        <f>SUMIFS('Data nguồn'!H:H, 'Data nguồn'!D:D, $D88, 'Data nguồn'!F:F, $B$1, 'Data nguồn'!C:C, U$3)</f>
      </c>
      <c r="W88" s="8">
        <f>SUM(E88:P88)</f>
      </c>
      <c r="X88" s="8">
        <f>SUM(Q88:U88)</f>
      </c>
      <c r="Y88" s="8">
        <f>AVERAGE(S88:U88)</f>
      </c>
      <c r="Z88" s="8">
        <f>AVERAGE(P88:U88)</f>
      </c>
      <c r="AA88" s="8">
        <f>AVERAGE(M88:U88)</f>
      </c>
      <c r="AB88" s="4">
        <f>IFERROR((Y88*2)/(Z88+AA88), 0)</f>
      </c>
      <c r="AC88" s="4">
        <f>IFERROR(X88/SUM(E88:I88), 0)</f>
      </c>
      <c r="AD88" s="4">
        <f>IFERROR(X88/SUM(E88:I88), 0)</f>
      </c>
      <c r="AE88" s="4">
        <f>IFERROR(U88/I88, 0)</f>
      </c>
    </row>
    <row r="89" ht="20" customHeight="1" spans="1:31" x14ac:dyDescent="0.25">
      <c r="A89">
        <v>86</v>
      </c>
      <c r="B89" t="s">
        <v>89</v>
      </c>
      <c r="C89" t="s">
        <v>141</v>
      </c>
      <c r="D89" s="2" t="s">
        <v>89</v>
      </c>
      <c r="E89" s="8">
        <f>SUMIFS('Data nguồn'!H:H, 'Data nguồn'!D:D, $D89, 'Data nguồn'!F:F, $B$1, 'Data nguồn'!C:C, E$3)</f>
      </c>
      <c r="F89" s="8">
        <f>SUMIFS('Data nguồn'!H:H, 'Data nguồn'!D:D, $D89, 'Data nguồn'!F:F, $B$1, 'Data nguồn'!C:C, F$3)</f>
      </c>
      <c r="G89" s="8">
        <f>SUMIFS('Data nguồn'!H:H, 'Data nguồn'!D:D, $D89, 'Data nguồn'!F:F, $B$1, 'Data nguồn'!C:C, G$3)</f>
      </c>
      <c r="H89" s="8">
        <f>SUMIFS('Data nguồn'!H:H, 'Data nguồn'!D:D, $D89, 'Data nguồn'!F:F, $B$1, 'Data nguồn'!C:C, H$3)</f>
      </c>
      <c r="I89" s="8">
        <f>SUMIFS('Data nguồn'!H:H, 'Data nguồn'!D:D, $D89, 'Data nguồn'!F:F, $B$1, 'Data nguồn'!C:C, I$3)</f>
      </c>
      <c r="J89" s="8">
        <f>SUMIFS('Data nguồn'!H:H, 'Data nguồn'!D:D, $D89, 'Data nguồn'!F:F, $B$1, 'Data nguồn'!C:C, J$3)</f>
      </c>
      <c r="K89" s="8">
        <f>SUMIFS('Data nguồn'!H:H, 'Data nguồn'!D:D, $D89, 'Data nguồn'!F:F, $B$1, 'Data nguồn'!C:C, K$3)</f>
      </c>
      <c r="L89" s="8">
        <f>SUMIFS('Data nguồn'!H:H, 'Data nguồn'!D:D, $D89, 'Data nguồn'!F:F, $B$1, 'Data nguồn'!C:C, L$3)</f>
      </c>
      <c r="M89" s="8">
        <f>SUMIFS('Data nguồn'!H:H, 'Data nguồn'!D:D, $D89, 'Data nguồn'!F:F, $B$1, 'Data nguồn'!C:C, M$3)</f>
      </c>
      <c r="N89" s="8">
        <f>SUMIFS('Data nguồn'!H:H, 'Data nguồn'!D:D, $D89, 'Data nguồn'!F:F, $B$1, 'Data nguồn'!C:C, N$3)</f>
      </c>
      <c r="O89" s="8">
        <f>SUMIFS('Data nguồn'!H:H, 'Data nguồn'!D:D, $D89, 'Data nguồn'!F:F, $B$1, 'Data nguồn'!C:C, O$3)</f>
      </c>
      <c r="P89" s="8">
        <f>SUMIFS('Data nguồn'!H:H, 'Data nguồn'!D:D, $D89, 'Data nguồn'!F:F, $B$1, 'Data nguồn'!C:C, P$3)</f>
      </c>
      <c r="Q89" s="8">
        <f>SUMIFS('Data nguồn'!H:H, 'Data nguồn'!D:D, $D89, 'Data nguồn'!F:F, $B$1, 'Data nguồn'!C:C, Q$3)</f>
      </c>
      <c r="R89" s="8">
        <f>SUMIFS('Data nguồn'!H:H, 'Data nguồn'!D:D, $D89, 'Data nguồn'!F:F, $B$1, 'Data nguồn'!C:C, R$3)</f>
      </c>
      <c r="S89" s="8">
        <f>SUMIFS('Data nguồn'!H:H, 'Data nguồn'!D:D, $D89, 'Data nguồn'!F:F, $B$1, 'Data nguồn'!C:C, S$3)</f>
      </c>
      <c r="T89" s="8">
        <f>SUMIFS('Data nguồn'!H:H, 'Data nguồn'!D:D, $D89, 'Data nguồn'!F:F, $B$1, 'Data nguồn'!C:C, T$3)</f>
      </c>
      <c r="U89" s="8">
        <f>SUMIFS('Data nguồn'!H:H, 'Data nguồn'!D:D, $D89, 'Data nguồn'!F:F, $B$1, 'Data nguồn'!C:C, U$3)</f>
      </c>
      <c r="W89" s="8">
        <f>SUM(E89:P89)</f>
      </c>
      <c r="X89" s="8">
        <f>SUM(Q89:U89)</f>
      </c>
      <c r="Y89" s="8">
        <f>AVERAGE(S89:U89)</f>
      </c>
      <c r="Z89" s="8">
        <f>AVERAGE(P89:U89)</f>
      </c>
      <c r="AA89" s="8">
        <f>AVERAGE(M89:U89)</f>
      </c>
      <c r="AB89" s="4">
        <f>IFERROR((Y89*2)/(Z89+AA89), 0)</f>
      </c>
      <c r="AC89" s="4">
        <f>IFERROR(X89/SUM(E89:I89), 0)</f>
      </c>
      <c r="AD89" s="4">
        <f>IFERROR(X89/SUM(E89:I89), 0)</f>
      </c>
      <c r="AE89" s="4">
        <f>IFERROR(U89/I89, 0)</f>
      </c>
    </row>
    <row r="90" ht="20" customHeight="1" spans="1:31" x14ac:dyDescent="0.25">
      <c r="A90">
        <v>87</v>
      </c>
      <c r="B90" t="s">
        <v>90</v>
      </c>
      <c r="C90" t="s">
        <v>141</v>
      </c>
      <c r="D90" s="2" t="s">
        <v>90</v>
      </c>
      <c r="E90" s="8">
        <f>SUMIFS('Data nguồn'!H:H, 'Data nguồn'!D:D, $D90, 'Data nguồn'!F:F, $B$1, 'Data nguồn'!C:C, E$3)</f>
      </c>
      <c r="F90" s="8">
        <f>SUMIFS('Data nguồn'!H:H, 'Data nguồn'!D:D, $D90, 'Data nguồn'!F:F, $B$1, 'Data nguồn'!C:C, F$3)</f>
      </c>
      <c r="G90" s="8">
        <f>SUMIFS('Data nguồn'!H:H, 'Data nguồn'!D:D, $D90, 'Data nguồn'!F:F, $B$1, 'Data nguồn'!C:C, G$3)</f>
      </c>
      <c r="H90" s="8">
        <f>SUMIFS('Data nguồn'!H:H, 'Data nguồn'!D:D, $D90, 'Data nguồn'!F:F, $B$1, 'Data nguồn'!C:C, H$3)</f>
      </c>
      <c r="I90" s="8">
        <f>SUMIFS('Data nguồn'!H:H, 'Data nguồn'!D:D, $D90, 'Data nguồn'!F:F, $B$1, 'Data nguồn'!C:C, I$3)</f>
      </c>
      <c r="J90" s="8">
        <f>SUMIFS('Data nguồn'!H:H, 'Data nguồn'!D:D, $D90, 'Data nguồn'!F:F, $B$1, 'Data nguồn'!C:C, J$3)</f>
      </c>
      <c r="K90" s="8">
        <f>SUMIFS('Data nguồn'!H:H, 'Data nguồn'!D:D, $D90, 'Data nguồn'!F:F, $B$1, 'Data nguồn'!C:C, K$3)</f>
      </c>
      <c r="L90" s="8">
        <f>SUMIFS('Data nguồn'!H:H, 'Data nguồn'!D:D, $D90, 'Data nguồn'!F:F, $B$1, 'Data nguồn'!C:C, L$3)</f>
      </c>
      <c r="M90" s="8">
        <f>SUMIFS('Data nguồn'!H:H, 'Data nguồn'!D:D, $D90, 'Data nguồn'!F:F, $B$1, 'Data nguồn'!C:C, M$3)</f>
      </c>
      <c r="N90" s="8">
        <f>SUMIFS('Data nguồn'!H:H, 'Data nguồn'!D:D, $D90, 'Data nguồn'!F:F, $B$1, 'Data nguồn'!C:C, N$3)</f>
      </c>
      <c r="O90" s="8">
        <f>SUMIFS('Data nguồn'!H:H, 'Data nguồn'!D:D, $D90, 'Data nguồn'!F:F, $B$1, 'Data nguồn'!C:C, O$3)</f>
      </c>
      <c r="P90" s="8">
        <f>SUMIFS('Data nguồn'!H:H, 'Data nguồn'!D:D, $D90, 'Data nguồn'!F:F, $B$1, 'Data nguồn'!C:C, P$3)</f>
      </c>
      <c r="Q90" s="8">
        <f>SUMIFS('Data nguồn'!H:H, 'Data nguồn'!D:D, $D90, 'Data nguồn'!F:F, $B$1, 'Data nguồn'!C:C, Q$3)</f>
      </c>
      <c r="R90" s="8">
        <f>SUMIFS('Data nguồn'!H:H, 'Data nguồn'!D:D, $D90, 'Data nguồn'!F:F, $B$1, 'Data nguồn'!C:C, R$3)</f>
      </c>
      <c r="S90" s="8">
        <f>SUMIFS('Data nguồn'!H:H, 'Data nguồn'!D:D, $D90, 'Data nguồn'!F:F, $B$1, 'Data nguồn'!C:C, S$3)</f>
      </c>
      <c r="T90" s="8">
        <f>SUMIFS('Data nguồn'!H:H, 'Data nguồn'!D:D, $D90, 'Data nguồn'!F:F, $B$1, 'Data nguồn'!C:C, T$3)</f>
      </c>
      <c r="U90" s="8">
        <f>SUMIFS('Data nguồn'!H:H, 'Data nguồn'!D:D, $D90, 'Data nguồn'!F:F, $B$1, 'Data nguồn'!C:C, U$3)</f>
      </c>
      <c r="W90" s="8">
        <f>SUM(E90:P90)</f>
      </c>
      <c r="X90" s="8">
        <f>SUM(Q90:U90)</f>
      </c>
      <c r="Y90" s="8">
        <f>AVERAGE(S90:U90)</f>
      </c>
      <c r="Z90" s="8">
        <f>AVERAGE(P90:U90)</f>
      </c>
      <c r="AA90" s="8">
        <f>AVERAGE(M90:U90)</f>
      </c>
      <c r="AB90" s="4">
        <f>IFERROR((Y90*2)/(Z90+AA90), 0)</f>
      </c>
      <c r="AC90" s="4">
        <f>IFERROR(X90/SUM(E90:I90), 0)</f>
      </c>
      <c r="AD90" s="4">
        <f>IFERROR(X90/SUM(E90:I90), 0)</f>
      </c>
      <c r="AE90" s="4">
        <f>IFERROR(U90/I90, 0)</f>
      </c>
    </row>
    <row r="91" ht="20" customHeight="1" spans="1:31" x14ac:dyDescent="0.25">
      <c r="A91">
        <v>88</v>
      </c>
      <c r="B91" t="s">
        <v>91</v>
      </c>
      <c r="C91" t="s">
        <v>141</v>
      </c>
      <c r="D91" s="2" t="s">
        <v>91</v>
      </c>
      <c r="E91" s="8">
        <f>SUMIFS('Data nguồn'!H:H, 'Data nguồn'!D:D, $D91, 'Data nguồn'!F:F, $B$1, 'Data nguồn'!C:C, E$3)</f>
      </c>
      <c r="F91" s="8">
        <f>SUMIFS('Data nguồn'!H:H, 'Data nguồn'!D:D, $D91, 'Data nguồn'!F:F, $B$1, 'Data nguồn'!C:C, F$3)</f>
      </c>
      <c r="G91" s="8">
        <f>SUMIFS('Data nguồn'!H:H, 'Data nguồn'!D:D, $D91, 'Data nguồn'!F:F, $B$1, 'Data nguồn'!C:C, G$3)</f>
      </c>
      <c r="H91" s="8">
        <f>SUMIFS('Data nguồn'!H:H, 'Data nguồn'!D:D, $D91, 'Data nguồn'!F:F, $B$1, 'Data nguồn'!C:C, H$3)</f>
      </c>
      <c r="I91" s="8">
        <f>SUMIFS('Data nguồn'!H:H, 'Data nguồn'!D:D, $D91, 'Data nguồn'!F:F, $B$1, 'Data nguồn'!C:C, I$3)</f>
      </c>
      <c r="J91" s="8">
        <f>SUMIFS('Data nguồn'!H:H, 'Data nguồn'!D:D, $D91, 'Data nguồn'!F:F, $B$1, 'Data nguồn'!C:C, J$3)</f>
      </c>
      <c r="K91" s="8">
        <f>SUMIFS('Data nguồn'!H:H, 'Data nguồn'!D:D, $D91, 'Data nguồn'!F:F, $B$1, 'Data nguồn'!C:C, K$3)</f>
      </c>
      <c r="L91" s="8">
        <f>SUMIFS('Data nguồn'!H:H, 'Data nguồn'!D:D, $D91, 'Data nguồn'!F:F, $B$1, 'Data nguồn'!C:C, L$3)</f>
      </c>
      <c r="M91" s="8">
        <f>SUMIFS('Data nguồn'!H:H, 'Data nguồn'!D:D, $D91, 'Data nguồn'!F:F, $B$1, 'Data nguồn'!C:C, M$3)</f>
      </c>
      <c r="N91" s="8">
        <f>SUMIFS('Data nguồn'!H:H, 'Data nguồn'!D:D, $D91, 'Data nguồn'!F:F, $B$1, 'Data nguồn'!C:C, N$3)</f>
      </c>
      <c r="O91" s="8">
        <f>SUMIFS('Data nguồn'!H:H, 'Data nguồn'!D:D, $D91, 'Data nguồn'!F:F, $B$1, 'Data nguồn'!C:C, O$3)</f>
      </c>
      <c r="P91" s="8">
        <f>SUMIFS('Data nguồn'!H:H, 'Data nguồn'!D:D, $D91, 'Data nguồn'!F:F, $B$1, 'Data nguồn'!C:C, P$3)</f>
      </c>
      <c r="Q91" s="8">
        <f>SUMIFS('Data nguồn'!H:H, 'Data nguồn'!D:D, $D91, 'Data nguồn'!F:F, $B$1, 'Data nguồn'!C:C, Q$3)</f>
      </c>
      <c r="R91" s="8">
        <f>SUMIFS('Data nguồn'!H:H, 'Data nguồn'!D:D, $D91, 'Data nguồn'!F:F, $B$1, 'Data nguồn'!C:C, R$3)</f>
      </c>
      <c r="S91" s="8">
        <f>SUMIFS('Data nguồn'!H:H, 'Data nguồn'!D:D, $D91, 'Data nguồn'!F:F, $B$1, 'Data nguồn'!C:C, S$3)</f>
      </c>
      <c r="T91" s="8">
        <f>SUMIFS('Data nguồn'!H:H, 'Data nguồn'!D:D, $D91, 'Data nguồn'!F:F, $B$1, 'Data nguồn'!C:C, T$3)</f>
      </c>
      <c r="U91" s="8">
        <f>SUMIFS('Data nguồn'!H:H, 'Data nguồn'!D:D, $D91, 'Data nguồn'!F:F, $B$1, 'Data nguồn'!C:C, U$3)</f>
      </c>
      <c r="W91" s="8">
        <f>SUM(E91:P91)</f>
      </c>
      <c r="X91" s="8">
        <f>SUM(Q91:U91)</f>
      </c>
      <c r="Y91" s="8">
        <f>AVERAGE(S91:U91)</f>
      </c>
      <c r="Z91" s="8">
        <f>AVERAGE(P91:U91)</f>
      </c>
      <c r="AA91" s="8">
        <f>AVERAGE(M91:U91)</f>
      </c>
      <c r="AB91" s="4">
        <f>IFERROR((Y91*2)/(Z91+AA91), 0)</f>
      </c>
      <c r="AC91" s="4">
        <f>IFERROR(X91/SUM(E91:I91), 0)</f>
      </c>
      <c r="AD91" s="4">
        <f>IFERROR(X91/SUM(E91:I91), 0)</f>
      </c>
      <c r="AE91" s="4">
        <f>IFERROR(U91/I91, 0)</f>
      </c>
    </row>
    <row r="92" ht="20" customHeight="1" spans="1:31" x14ac:dyDescent="0.25">
      <c r="A92">
        <v>89</v>
      </c>
      <c r="B92" t="s">
        <v>93</v>
      </c>
      <c r="C92" t="s">
        <v>141</v>
      </c>
      <c r="D92" s="2" t="s">
        <v>93</v>
      </c>
      <c r="E92" s="8">
        <f>SUMIFS('Data nguồn'!H:H, 'Data nguồn'!D:D, $D92, 'Data nguồn'!F:F, $B$1, 'Data nguồn'!C:C, E$3)</f>
      </c>
      <c r="F92" s="8">
        <f>SUMIFS('Data nguồn'!H:H, 'Data nguồn'!D:D, $D92, 'Data nguồn'!F:F, $B$1, 'Data nguồn'!C:C, F$3)</f>
      </c>
      <c r="G92" s="8">
        <f>SUMIFS('Data nguồn'!H:H, 'Data nguồn'!D:D, $D92, 'Data nguồn'!F:F, $B$1, 'Data nguồn'!C:C, G$3)</f>
      </c>
      <c r="H92" s="8">
        <f>SUMIFS('Data nguồn'!H:H, 'Data nguồn'!D:D, $D92, 'Data nguồn'!F:F, $B$1, 'Data nguồn'!C:C, H$3)</f>
      </c>
      <c r="I92" s="8">
        <f>SUMIFS('Data nguồn'!H:H, 'Data nguồn'!D:D, $D92, 'Data nguồn'!F:F, $B$1, 'Data nguồn'!C:C, I$3)</f>
      </c>
      <c r="J92" s="8">
        <f>SUMIFS('Data nguồn'!H:H, 'Data nguồn'!D:D, $D92, 'Data nguồn'!F:F, $B$1, 'Data nguồn'!C:C, J$3)</f>
      </c>
      <c r="K92" s="8">
        <f>SUMIFS('Data nguồn'!H:H, 'Data nguồn'!D:D, $D92, 'Data nguồn'!F:F, $B$1, 'Data nguồn'!C:C, K$3)</f>
      </c>
      <c r="L92" s="8">
        <f>SUMIFS('Data nguồn'!H:H, 'Data nguồn'!D:D, $D92, 'Data nguồn'!F:F, $B$1, 'Data nguồn'!C:C, L$3)</f>
      </c>
      <c r="M92" s="8">
        <f>SUMIFS('Data nguồn'!H:H, 'Data nguồn'!D:D, $D92, 'Data nguồn'!F:F, $B$1, 'Data nguồn'!C:C, M$3)</f>
      </c>
      <c r="N92" s="8">
        <f>SUMIFS('Data nguồn'!H:H, 'Data nguồn'!D:D, $D92, 'Data nguồn'!F:F, $B$1, 'Data nguồn'!C:C, N$3)</f>
      </c>
      <c r="O92" s="8">
        <f>SUMIFS('Data nguồn'!H:H, 'Data nguồn'!D:D, $D92, 'Data nguồn'!F:F, $B$1, 'Data nguồn'!C:C, O$3)</f>
      </c>
      <c r="P92" s="8">
        <f>SUMIFS('Data nguồn'!H:H, 'Data nguồn'!D:D, $D92, 'Data nguồn'!F:F, $B$1, 'Data nguồn'!C:C, P$3)</f>
      </c>
      <c r="Q92" s="8">
        <f>SUMIFS('Data nguồn'!H:H, 'Data nguồn'!D:D, $D92, 'Data nguồn'!F:F, $B$1, 'Data nguồn'!C:C, Q$3)</f>
      </c>
      <c r="R92" s="8">
        <f>SUMIFS('Data nguồn'!H:H, 'Data nguồn'!D:D, $D92, 'Data nguồn'!F:F, $B$1, 'Data nguồn'!C:C, R$3)</f>
      </c>
      <c r="S92" s="8">
        <f>SUMIFS('Data nguồn'!H:H, 'Data nguồn'!D:D, $D92, 'Data nguồn'!F:F, $B$1, 'Data nguồn'!C:C, S$3)</f>
      </c>
      <c r="T92" s="8">
        <f>SUMIFS('Data nguồn'!H:H, 'Data nguồn'!D:D, $D92, 'Data nguồn'!F:F, $B$1, 'Data nguồn'!C:C, T$3)</f>
      </c>
      <c r="U92" s="8">
        <f>SUMIFS('Data nguồn'!H:H, 'Data nguồn'!D:D, $D92, 'Data nguồn'!F:F, $B$1, 'Data nguồn'!C:C, U$3)</f>
      </c>
      <c r="W92" s="8">
        <f>SUM(E92:P92)</f>
      </c>
      <c r="X92" s="8">
        <f>SUM(Q92:U92)</f>
      </c>
      <c r="Y92" s="8">
        <f>AVERAGE(S92:U92)</f>
      </c>
      <c r="Z92" s="8">
        <f>AVERAGE(P92:U92)</f>
      </c>
      <c r="AA92" s="8">
        <f>AVERAGE(M92:U92)</f>
      </c>
      <c r="AB92" s="4">
        <f>IFERROR((Y92*2)/(Z92+AA92), 0)</f>
      </c>
      <c r="AC92" s="4">
        <f>IFERROR(X92/SUM(E92:I92), 0)</f>
      </c>
      <c r="AD92" s="4">
        <f>IFERROR(X92/SUM(E92:I92), 0)</f>
      </c>
      <c r="AE92" s="4">
        <f>IFERROR(U92/I92, 0)</f>
      </c>
    </row>
    <row r="93" ht="20" customHeight="1" spans="1:31" x14ac:dyDescent="0.25">
      <c r="A93">
        <v>90</v>
      </c>
      <c r="B93" t="s">
        <v>94</v>
      </c>
      <c r="C93" t="s">
        <v>141</v>
      </c>
      <c r="D93" s="2" t="s">
        <v>94</v>
      </c>
      <c r="E93" s="8">
        <f>SUMIFS('Data nguồn'!H:H, 'Data nguồn'!D:D, $D93, 'Data nguồn'!F:F, $B$1, 'Data nguồn'!C:C, E$3)</f>
      </c>
      <c r="F93" s="8">
        <f>SUMIFS('Data nguồn'!H:H, 'Data nguồn'!D:D, $D93, 'Data nguồn'!F:F, $B$1, 'Data nguồn'!C:C, F$3)</f>
      </c>
      <c r="G93" s="8">
        <f>SUMIFS('Data nguồn'!H:H, 'Data nguồn'!D:D, $D93, 'Data nguồn'!F:F, $B$1, 'Data nguồn'!C:C, G$3)</f>
      </c>
      <c r="H93" s="8">
        <f>SUMIFS('Data nguồn'!H:H, 'Data nguồn'!D:D, $D93, 'Data nguồn'!F:F, $B$1, 'Data nguồn'!C:C, H$3)</f>
      </c>
      <c r="I93" s="8">
        <f>SUMIFS('Data nguồn'!H:H, 'Data nguồn'!D:D, $D93, 'Data nguồn'!F:F, $B$1, 'Data nguồn'!C:C, I$3)</f>
      </c>
      <c r="J93" s="8">
        <f>SUMIFS('Data nguồn'!H:H, 'Data nguồn'!D:D, $D93, 'Data nguồn'!F:F, $B$1, 'Data nguồn'!C:C, J$3)</f>
      </c>
      <c r="K93" s="8">
        <f>SUMIFS('Data nguồn'!H:H, 'Data nguồn'!D:D, $D93, 'Data nguồn'!F:F, $B$1, 'Data nguồn'!C:C, K$3)</f>
      </c>
      <c r="L93" s="8">
        <f>SUMIFS('Data nguồn'!H:H, 'Data nguồn'!D:D, $D93, 'Data nguồn'!F:F, $B$1, 'Data nguồn'!C:C, L$3)</f>
      </c>
      <c r="M93" s="8">
        <f>SUMIFS('Data nguồn'!H:H, 'Data nguồn'!D:D, $D93, 'Data nguồn'!F:F, $B$1, 'Data nguồn'!C:C, M$3)</f>
      </c>
      <c r="N93" s="8">
        <f>SUMIFS('Data nguồn'!H:H, 'Data nguồn'!D:D, $D93, 'Data nguồn'!F:F, $B$1, 'Data nguồn'!C:C, N$3)</f>
      </c>
      <c r="O93" s="8">
        <f>SUMIFS('Data nguồn'!H:H, 'Data nguồn'!D:D, $D93, 'Data nguồn'!F:F, $B$1, 'Data nguồn'!C:C, O$3)</f>
      </c>
      <c r="P93" s="8">
        <f>SUMIFS('Data nguồn'!H:H, 'Data nguồn'!D:D, $D93, 'Data nguồn'!F:F, $B$1, 'Data nguồn'!C:C, P$3)</f>
      </c>
      <c r="Q93" s="8">
        <f>SUMIFS('Data nguồn'!H:H, 'Data nguồn'!D:D, $D93, 'Data nguồn'!F:F, $B$1, 'Data nguồn'!C:C, Q$3)</f>
      </c>
      <c r="R93" s="8">
        <f>SUMIFS('Data nguồn'!H:H, 'Data nguồn'!D:D, $D93, 'Data nguồn'!F:F, $B$1, 'Data nguồn'!C:C, R$3)</f>
      </c>
      <c r="S93" s="8">
        <f>SUMIFS('Data nguồn'!H:H, 'Data nguồn'!D:D, $D93, 'Data nguồn'!F:F, $B$1, 'Data nguồn'!C:C, S$3)</f>
      </c>
      <c r="T93" s="8">
        <f>SUMIFS('Data nguồn'!H:H, 'Data nguồn'!D:D, $D93, 'Data nguồn'!F:F, $B$1, 'Data nguồn'!C:C, T$3)</f>
      </c>
      <c r="U93" s="8">
        <f>SUMIFS('Data nguồn'!H:H, 'Data nguồn'!D:D, $D93, 'Data nguồn'!F:F, $B$1, 'Data nguồn'!C:C, U$3)</f>
      </c>
      <c r="W93" s="8">
        <f>SUM(E93:P93)</f>
      </c>
      <c r="X93" s="8">
        <f>SUM(Q93:U93)</f>
      </c>
      <c r="Y93" s="8">
        <f>AVERAGE(S93:U93)</f>
      </c>
      <c r="Z93" s="8">
        <f>AVERAGE(P93:U93)</f>
      </c>
      <c r="AA93" s="8">
        <f>AVERAGE(M93:U93)</f>
      </c>
      <c r="AB93" s="4">
        <f>IFERROR((Y93*2)/(Z93+AA93), 0)</f>
      </c>
      <c r="AC93" s="4">
        <f>IFERROR(X93/SUM(E93:I93), 0)</f>
      </c>
      <c r="AD93" s="4">
        <f>IFERROR(X93/SUM(E93:I93), 0)</f>
      </c>
      <c r="AE93" s="4">
        <f>IFERROR(U93/I93, 0)</f>
      </c>
    </row>
    <row r="94" ht="20" customHeight="1" spans="1:31" x14ac:dyDescent="0.25">
      <c r="A94">
        <v>91</v>
      </c>
      <c r="B94" t="s">
        <v>95</v>
      </c>
      <c r="C94" t="s">
        <v>141</v>
      </c>
      <c r="D94" s="2" t="s">
        <v>95</v>
      </c>
      <c r="E94" s="8">
        <f>SUMIFS('Data nguồn'!H:H, 'Data nguồn'!D:D, $D94, 'Data nguồn'!F:F, $B$1, 'Data nguồn'!C:C, E$3)</f>
      </c>
      <c r="F94" s="8">
        <f>SUMIFS('Data nguồn'!H:H, 'Data nguồn'!D:D, $D94, 'Data nguồn'!F:F, $B$1, 'Data nguồn'!C:C, F$3)</f>
      </c>
      <c r="G94" s="8">
        <f>SUMIFS('Data nguồn'!H:H, 'Data nguồn'!D:D, $D94, 'Data nguồn'!F:F, $B$1, 'Data nguồn'!C:C, G$3)</f>
      </c>
      <c r="H94" s="8">
        <f>SUMIFS('Data nguồn'!H:H, 'Data nguồn'!D:D, $D94, 'Data nguồn'!F:F, $B$1, 'Data nguồn'!C:C, H$3)</f>
      </c>
      <c r="I94" s="8">
        <f>SUMIFS('Data nguồn'!H:H, 'Data nguồn'!D:D, $D94, 'Data nguồn'!F:F, $B$1, 'Data nguồn'!C:C, I$3)</f>
      </c>
      <c r="J94" s="8">
        <f>SUMIFS('Data nguồn'!H:H, 'Data nguồn'!D:D, $D94, 'Data nguồn'!F:F, $B$1, 'Data nguồn'!C:C, J$3)</f>
      </c>
      <c r="K94" s="8">
        <f>SUMIFS('Data nguồn'!H:H, 'Data nguồn'!D:D, $D94, 'Data nguồn'!F:F, $B$1, 'Data nguồn'!C:C, K$3)</f>
      </c>
      <c r="L94" s="8">
        <f>SUMIFS('Data nguồn'!H:H, 'Data nguồn'!D:D, $D94, 'Data nguồn'!F:F, $B$1, 'Data nguồn'!C:C, L$3)</f>
      </c>
      <c r="M94" s="8">
        <f>SUMIFS('Data nguồn'!H:H, 'Data nguồn'!D:D, $D94, 'Data nguồn'!F:F, $B$1, 'Data nguồn'!C:C, M$3)</f>
      </c>
      <c r="N94" s="8">
        <f>SUMIFS('Data nguồn'!H:H, 'Data nguồn'!D:D, $D94, 'Data nguồn'!F:F, $B$1, 'Data nguồn'!C:C, N$3)</f>
      </c>
      <c r="O94" s="8">
        <f>SUMIFS('Data nguồn'!H:H, 'Data nguồn'!D:D, $D94, 'Data nguồn'!F:F, $B$1, 'Data nguồn'!C:C, O$3)</f>
      </c>
      <c r="P94" s="8">
        <f>SUMIFS('Data nguồn'!H:H, 'Data nguồn'!D:D, $D94, 'Data nguồn'!F:F, $B$1, 'Data nguồn'!C:C, P$3)</f>
      </c>
      <c r="Q94" s="8">
        <f>SUMIFS('Data nguồn'!H:H, 'Data nguồn'!D:D, $D94, 'Data nguồn'!F:F, $B$1, 'Data nguồn'!C:C, Q$3)</f>
      </c>
      <c r="R94" s="8">
        <f>SUMIFS('Data nguồn'!H:H, 'Data nguồn'!D:D, $D94, 'Data nguồn'!F:F, $B$1, 'Data nguồn'!C:C, R$3)</f>
      </c>
      <c r="S94" s="8">
        <f>SUMIFS('Data nguồn'!H:H, 'Data nguồn'!D:D, $D94, 'Data nguồn'!F:F, $B$1, 'Data nguồn'!C:C, S$3)</f>
      </c>
      <c r="T94" s="8">
        <f>SUMIFS('Data nguồn'!H:H, 'Data nguồn'!D:D, $D94, 'Data nguồn'!F:F, $B$1, 'Data nguồn'!C:C, T$3)</f>
      </c>
      <c r="U94" s="8">
        <f>SUMIFS('Data nguồn'!H:H, 'Data nguồn'!D:D, $D94, 'Data nguồn'!F:F, $B$1, 'Data nguồn'!C:C, U$3)</f>
      </c>
      <c r="W94" s="8">
        <f>SUM(E94:P94)</f>
      </c>
      <c r="X94" s="8">
        <f>SUM(Q94:U94)</f>
      </c>
      <c r="Y94" s="8">
        <f>AVERAGE(S94:U94)</f>
      </c>
      <c r="Z94" s="8">
        <f>AVERAGE(P94:U94)</f>
      </c>
      <c r="AA94" s="8">
        <f>AVERAGE(M94:U94)</f>
      </c>
      <c r="AB94" s="4">
        <f>IFERROR((Y94*2)/(Z94+AA94), 0)</f>
      </c>
      <c r="AC94" s="4">
        <f>IFERROR(X94/SUM(E94:I94), 0)</f>
      </c>
      <c r="AD94" s="4">
        <f>IFERROR(X94/SUM(E94:I94), 0)</f>
      </c>
      <c r="AE94" s="4">
        <f>IFERROR(U94/I94, 0)</f>
      </c>
    </row>
    <row r="95" ht="20" customHeight="1" spans="1:31" x14ac:dyDescent="0.25">
      <c r="A95">
        <v>92</v>
      </c>
      <c r="B95" t="s">
        <v>96</v>
      </c>
      <c r="C95" t="s">
        <v>141</v>
      </c>
      <c r="D95" s="2" t="s">
        <v>96</v>
      </c>
      <c r="E95" s="8">
        <f>SUMIFS('Data nguồn'!H:H, 'Data nguồn'!D:D, $D95, 'Data nguồn'!F:F, $B$1, 'Data nguồn'!C:C, E$3)</f>
      </c>
      <c r="F95" s="8">
        <f>SUMIFS('Data nguồn'!H:H, 'Data nguồn'!D:D, $D95, 'Data nguồn'!F:F, $B$1, 'Data nguồn'!C:C, F$3)</f>
      </c>
      <c r="G95" s="8">
        <f>SUMIFS('Data nguồn'!H:H, 'Data nguồn'!D:D, $D95, 'Data nguồn'!F:F, $B$1, 'Data nguồn'!C:C, G$3)</f>
      </c>
      <c r="H95" s="8">
        <f>SUMIFS('Data nguồn'!H:H, 'Data nguồn'!D:D, $D95, 'Data nguồn'!F:F, $B$1, 'Data nguồn'!C:C, H$3)</f>
      </c>
      <c r="I95" s="8">
        <f>SUMIFS('Data nguồn'!H:H, 'Data nguồn'!D:D, $D95, 'Data nguồn'!F:F, $B$1, 'Data nguồn'!C:C, I$3)</f>
      </c>
      <c r="J95" s="8">
        <f>SUMIFS('Data nguồn'!H:H, 'Data nguồn'!D:D, $D95, 'Data nguồn'!F:F, $B$1, 'Data nguồn'!C:C, J$3)</f>
      </c>
      <c r="K95" s="8">
        <f>SUMIFS('Data nguồn'!H:H, 'Data nguồn'!D:D, $D95, 'Data nguồn'!F:F, $B$1, 'Data nguồn'!C:C, K$3)</f>
      </c>
      <c r="L95" s="8">
        <f>SUMIFS('Data nguồn'!H:H, 'Data nguồn'!D:D, $D95, 'Data nguồn'!F:F, $B$1, 'Data nguồn'!C:C, L$3)</f>
      </c>
      <c r="M95" s="8">
        <f>SUMIFS('Data nguồn'!H:H, 'Data nguồn'!D:D, $D95, 'Data nguồn'!F:F, $B$1, 'Data nguồn'!C:C, M$3)</f>
      </c>
      <c r="N95" s="8">
        <f>SUMIFS('Data nguồn'!H:H, 'Data nguồn'!D:D, $D95, 'Data nguồn'!F:F, $B$1, 'Data nguồn'!C:C, N$3)</f>
      </c>
      <c r="O95" s="8">
        <f>SUMIFS('Data nguồn'!H:H, 'Data nguồn'!D:D, $D95, 'Data nguồn'!F:F, $B$1, 'Data nguồn'!C:C, O$3)</f>
      </c>
      <c r="P95" s="8">
        <f>SUMIFS('Data nguồn'!H:H, 'Data nguồn'!D:D, $D95, 'Data nguồn'!F:F, $B$1, 'Data nguồn'!C:C, P$3)</f>
      </c>
      <c r="Q95" s="8">
        <f>SUMIFS('Data nguồn'!H:H, 'Data nguồn'!D:D, $D95, 'Data nguồn'!F:F, $B$1, 'Data nguồn'!C:C, Q$3)</f>
      </c>
      <c r="R95" s="8">
        <f>SUMIFS('Data nguồn'!H:H, 'Data nguồn'!D:D, $D95, 'Data nguồn'!F:F, $B$1, 'Data nguồn'!C:C, R$3)</f>
      </c>
      <c r="S95" s="8">
        <f>SUMIFS('Data nguồn'!H:H, 'Data nguồn'!D:D, $D95, 'Data nguồn'!F:F, $B$1, 'Data nguồn'!C:C, S$3)</f>
      </c>
      <c r="T95" s="8">
        <f>SUMIFS('Data nguồn'!H:H, 'Data nguồn'!D:D, $D95, 'Data nguồn'!F:F, $B$1, 'Data nguồn'!C:C, T$3)</f>
      </c>
      <c r="U95" s="8">
        <f>SUMIFS('Data nguồn'!H:H, 'Data nguồn'!D:D, $D95, 'Data nguồn'!F:F, $B$1, 'Data nguồn'!C:C, U$3)</f>
      </c>
      <c r="W95" s="8">
        <f>SUM(E95:P95)</f>
      </c>
      <c r="X95" s="8">
        <f>SUM(Q95:U95)</f>
      </c>
      <c r="Y95" s="8">
        <f>AVERAGE(S95:U95)</f>
      </c>
      <c r="Z95" s="8">
        <f>AVERAGE(P95:U95)</f>
      </c>
      <c r="AA95" s="8">
        <f>AVERAGE(M95:U95)</f>
      </c>
      <c r="AB95" s="4">
        <f>IFERROR((Y95*2)/(Z95+AA95), 0)</f>
      </c>
      <c r="AC95" s="4">
        <f>IFERROR(X95/SUM(E95:I95), 0)</f>
      </c>
      <c r="AD95" s="4">
        <f>IFERROR(X95/SUM(E95:I95), 0)</f>
      </c>
      <c r="AE95" s="4">
        <f>IFERROR(U95/I95, 0)</f>
      </c>
    </row>
    <row r="96" ht="20" customHeight="1" spans="1:31" x14ac:dyDescent="0.25">
      <c r="A96">
        <v>93</v>
      </c>
      <c r="B96" t="s">
        <v>97</v>
      </c>
      <c r="C96" t="s">
        <v>141</v>
      </c>
      <c r="D96" s="2" t="s">
        <v>97</v>
      </c>
      <c r="E96" s="8">
        <f>SUMIFS('Data nguồn'!H:H, 'Data nguồn'!D:D, $D96, 'Data nguồn'!F:F, $B$1, 'Data nguồn'!C:C, E$3)</f>
      </c>
      <c r="F96" s="8">
        <f>SUMIFS('Data nguồn'!H:H, 'Data nguồn'!D:D, $D96, 'Data nguồn'!F:F, $B$1, 'Data nguồn'!C:C, F$3)</f>
      </c>
      <c r="G96" s="8">
        <f>SUMIFS('Data nguồn'!H:H, 'Data nguồn'!D:D, $D96, 'Data nguồn'!F:F, $B$1, 'Data nguồn'!C:C, G$3)</f>
      </c>
      <c r="H96" s="8">
        <f>SUMIFS('Data nguồn'!H:H, 'Data nguồn'!D:D, $D96, 'Data nguồn'!F:F, $B$1, 'Data nguồn'!C:C, H$3)</f>
      </c>
      <c r="I96" s="8">
        <f>SUMIFS('Data nguồn'!H:H, 'Data nguồn'!D:D, $D96, 'Data nguồn'!F:F, $B$1, 'Data nguồn'!C:C, I$3)</f>
      </c>
      <c r="J96" s="8">
        <f>SUMIFS('Data nguồn'!H:H, 'Data nguồn'!D:D, $D96, 'Data nguồn'!F:F, $B$1, 'Data nguồn'!C:C, J$3)</f>
      </c>
      <c r="K96" s="8">
        <f>SUMIFS('Data nguồn'!H:H, 'Data nguồn'!D:D, $D96, 'Data nguồn'!F:F, $B$1, 'Data nguồn'!C:C, K$3)</f>
      </c>
      <c r="L96" s="8">
        <f>SUMIFS('Data nguồn'!H:H, 'Data nguồn'!D:D, $D96, 'Data nguồn'!F:F, $B$1, 'Data nguồn'!C:C, L$3)</f>
      </c>
      <c r="M96" s="8">
        <f>SUMIFS('Data nguồn'!H:H, 'Data nguồn'!D:D, $D96, 'Data nguồn'!F:F, $B$1, 'Data nguồn'!C:C, M$3)</f>
      </c>
      <c r="N96" s="8">
        <f>SUMIFS('Data nguồn'!H:H, 'Data nguồn'!D:D, $D96, 'Data nguồn'!F:F, $B$1, 'Data nguồn'!C:C, N$3)</f>
      </c>
      <c r="O96" s="8">
        <f>SUMIFS('Data nguồn'!H:H, 'Data nguồn'!D:D, $D96, 'Data nguồn'!F:F, $B$1, 'Data nguồn'!C:C, O$3)</f>
      </c>
      <c r="P96" s="8">
        <f>SUMIFS('Data nguồn'!H:H, 'Data nguồn'!D:D, $D96, 'Data nguồn'!F:F, $B$1, 'Data nguồn'!C:C, P$3)</f>
      </c>
      <c r="Q96" s="8">
        <f>SUMIFS('Data nguồn'!H:H, 'Data nguồn'!D:D, $D96, 'Data nguồn'!F:F, $B$1, 'Data nguồn'!C:C, Q$3)</f>
      </c>
      <c r="R96" s="8">
        <f>SUMIFS('Data nguồn'!H:H, 'Data nguồn'!D:D, $D96, 'Data nguồn'!F:F, $B$1, 'Data nguồn'!C:C, R$3)</f>
      </c>
      <c r="S96" s="8">
        <f>SUMIFS('Data nguồn'!H:H, 'Data nguồn'!D:D, $D96, 'Data nguồn'!F:F, $B$1, 'Data nguồn'!C:C, S$3)</f>
      </c>
      <c r="T96" s="8">
        <f>SUMIFS('Data nguồn'!H:H, 'Data nguồn'!D:D, $D96, 'Data nguồn'!F:F, $B$1, 'Data nguồn'!C:C, T$3)</f>
      </c>
      <c r="U96" s="8">
        <f>SUMIFS('Data nguồn'!H:H, 'Data nguồn'!D:D, $D96, 'Data nguồn'!F:F, $B$1, 'Data nguồn'!C:C, U$3)</f>
      </c>
      <c r="W96" s="8">
        <f>SUM(E96:P96)</f>
      </c>
      <c r="X96" s="8">
        <f>SUM(Q96:U96)</f>
      </c>
      <c r="Y96" s="8">
        <f>AVERAGE(S96:U96)</f>
      </c>
      <c r="Z96" s="8">
        <f>AVERAGE(P96:U96)</f>
      </c>
      <c r="AA96" s="8">
        <f>AVERAGE(M96:U96)</f>
      </c>
      <c r="AB96" s="4">
        <f>IFERROR((Y96*2)/(Z96+AA96), 0)</f>
      </c>
      <c r="AC96" s="4">
        <f>IFERROR(X96/SUM(E96:I96), 0)</f>
      </c>
      <c r="AD96" s="4">
        <f>IFERROR(X96/SUM(E96:I96), 0)</f>
      </c>
      <c r="AE96" s="4">
        <f>IFERROR(U96/I96, 0)</f>
      </c>
    </row>
    <row r="97" ht="20" customHeight="1" spans="1:31" x14ac:dyDescent="0.25">
      <c r="A97">
        <v>94</v>
      </c>
      <c r="B97" t="s">
        <v>98</v>
      </c>
      <c r="C97" t="s">
        <v>141</v>
      </c>
      <c r="D97" s="2" t="s">
        <v>98</v>
      </c>
      <c r="E97" s="8">
        <f>SUMIFS('Data nguồn'!H:H, 'Data nguồn'!D:D, $D97, 'Data nguồn'!F:F, $B$1, 'Data nguồn'!C:C, E$3)</f>
      </c>
      <c r="F97" s="8">
        <f>SUMIFS('Data nguồn'!H:H, 'Data nguồn'!D:D, $D97, 'Data nguồn'!F:F, $B$1, 'Data nguồn'!C:C, F$3)</f>
      </c>
      <c r="G97" s="8">
        <f>SUMIFS('Data nguồn'!H:H, 'Data nguồn'!D:D, $D97, 'Data nguồn'!F:F, $B$1, 'Data nguồn'!C:C, G$3)</f>
      </c>
      <c r="H97" s="8">
        <f>SUMIFS('Data nguồn'!H:H, 'Data nguồn'!D:D, $D97, 'Data nguồn'!F:F, $B$1, 'Data nguồn'!C:C, H$3)</f>
      </c>
      <c r="I97" s="8">
        <f>SUMIFS('Data nguồn'!H:H, 'Data nguồn'!D:D, $D97, 'Data nguồn'!F:F, $B$1, 'Data nguồn'!C:C, I$3)</f>
      </c>
      <c r="J97" s="8">
        <f>SUMIFS('Data nguồn'!H:H, 'Data nguồn'!D:D, $D97, 'Data nguồn'!F:F, $B$1, 'Data nguồn'!C:C, J$3)</f>
      </c>
      <c r="K97" s="8">
        <f>SUMIFS('Data nguồn'!H:H, 'Data nguồn'!D:D, $D97, 'Data nguồn'!F:F, $B$1, 'Data nguồn'!C:C, K$3)</f>
      </c>
      <c r="L97" s="8">
        <f>SUMIFS('Data nguồn'!H:H, 'Data nguồn'!D:D, $D97, 'Data nguồn'!F:F, $B$1, 'Data nguồn'!C:C, L$3)</f>
      </c>
      <c r="M97" s="8">
        <f>SUMIFS('Data nguồn'!H:H, 'Data nguồn'!D:D, $D97, 'Data nguồn'!F:F, $B$1, 'Data nguồn'!C:C, M$3)</f>
      </c>
      <c r="N97" s="8">
        <f>SUMIFS('Data nguồn'!H:H, 'Data nguồn'!D:D, $D97, 'Data nguồn'!F:F, $B$1, 'Data nguồn'!C:C, N$3)</f>
      </c>
      <c r="O97" s="8">
        <f>SUMIFS('Data nguồn'!H:H, 'Data nguồn'!D:D, $D97, 'Data nguồn'!F:F, $B$1, 'Data nguồn'!C:C, O$3)</f>
      </c>
      <c r="P97" s="8">
        <f>SUMIFS('Data nguồn'!H:H, 'Data nguồn'!D:D, $D97, 'Data nguồn'!F:F, $B$1, 'Data nguồn'!C:C, P$3)</f>
      </c>
      <c r="Q97" s="8">
        <f>SUMIFS('Data nguồn'!H:H, 'Data nguồn'!D:D, $D97, 'Data nguồn'!F:F, $B$1, 'Data nguồn'!C:C, Q$3)</f>
      </c>
      <c r="R97" s="8">
        <f>SUMIFS('Data nguồn'!H:H, 'Data nguồn'!D:D, $D97, 'Data nguồn'!F:F, $B$1, 'Data nguồn'!C:C, R$3)</f>
      </c>
      <c r="S97" s="8">
        <f>SUMIFS('Data nguồn'!H:H, 'Data nguồn'!D:D, $D97, 'Data nguồn'!F:F, $B$1, 'Data nguồn'!C:C, S$3)</f>
      </c>
      <c r="T97" s="8">
        <f>SUMIFS('Data nguồn'!H:H, 'Data nguồn'!D:D, $D97, 'Data nguồn'!F:F, $B$1, 'Data nguồn'!C:C, T$3)</f>
      </c>
      <c r="U97" s="8">
        <f>SUMIFS('Data nguồn'!H:H, 'Data nguồn'!D:D, $D97, 'Data nguồn'!F:F, $B$1, 'Data nguồn'!C:C, U$3)</f>
      </c>
      <c r="W97" s="8">
        <f>SUM(E97:P97)</f>
      </c>
      <c r="X97" s="8">
        <f>SUM(Q97:U97)</f>
      </c>
      <c r="Y97" s="8">
        <f>AVERAGE(S97:U97)</f>
      </c>
      <c r="Z97" s="8">
        <f>AVERAGE(P97:U97)</f>
      </c>
      <c r="AA97" s="8">
        <f>AVERAGE(M97:U97)</f>
      </c>
      <c r="AB97" s="4">
        <f>IFERROR((Y97*2)/(Z97+AA97), 0)</f>
      </c>
      <c r="AC97" s="4">
        <f>IFERROR(X97/SUM(E97:I97), 0)</f>
      </c>
      <c r="AD97" s="4">
        <f>IFERROR(X97/SUM(E97:I97), 0)</f>
      </c>
      <c r="AE97" s="4">
        <f>IFERROR(U97/I97, 0)</f>
      </c>
    </row>
    <row r="98" ht="20" customHeight="1" spans="1:31" x14ac:dyDescent="0.25">
      <c r="A98">
        <v>95</v>
      </c>
      <c r="B98" t="s">
        <v>99</v>
      </c>
      <c r="C98" t="s">
        <v>141</v>
      </c>
      <c r="D98" s="2" t="s">
        <v>99</v>
      </c>
      <c r="E98" s="8">
        <f>SUMIFS('Data nguồn'!H:H, 'Data nguồn'!D:D, $D98, 'Data nguồn'!F:F, $B$1, 'Data nguồn'!C:C, E$3)</f>
      </c>
      <c r="F98" s="8">
        <f>SUMIFS('Data nguồn'!H:H, 'Data nguồn'!D:D, $D98, 'Data nguồn'!F:F, $B$1, 'Data nguồn'!C:C, F$3)</f>
      </c>
      <c r="G98" s="8">
        <f>SUMIFS('Data nguồn'!H:H, 'Data nguồn'!D:D, $D98, 'Data nguồn'!F:F, $B$1, 'Data nguồn'!C:C, G$3)</f>
      </c>
      <c r="H98" s="8">
        <f>SUMIFS('Data nguồn'!H:H, 'Data nguồn'!D:D, $D98, 'Data nguồn'!F:F, $B$1, 'Data nguồn'!C:C, H$3)</f>
      </c>
      <c r="I98" s="8">
        <f>SUMIFS('Data nguồn'!H:H, 'Data nguồn'!D:D, $D98, 'Data nguồn'!F:F, $B$1, 'Data nguồn'!C:C, I$3)</f>
      </c>
      <c r="J98" s="8">
        <f>SUMIFS('Data nguồn'!H:H, 'Data nguồn'!D:D, $D98, 'Data nguồn'!F:F, $B$1, 'Data nguồn'!C:C, J$3)</f>
      </c>
      <c r="K98" s="8">
        <f>SUMIFS('Data nguồn'!H:H, 'Data nguồn'!D:D, $D98, 'Data nguồn'!F:F, $B$1, 'Data nguồn'!C:C, K$3)</f>
      </c>
      <c r="L98" s="8">
        <f>SUMIFS('Data nguồn'!H:H, 'Data nguồn'!D:D, $D98, 'Data nguồn'!F:F, $B$1, 'Data nguồn'!C:C, L$3)</f>
      </c>
      <c r="M98" s="8">
        <f>SUMIFS('Data nguồn'!H:H, 'Data nguồn'!D:D, $D98, 'Data nguồn'!F:F, $B$1, 'Data nguồn'!C:C, M$3)</f>
      </c>
      <c r="N98" s="8">
        <f>SUMIFS('Data nguồn'!H:H, 'Data nguồn'!D:D, $D98, 'Data nguồn'!F:F, $B$1, 'Data nguồn'!C:C, N$3)</f>
      </c>
      <c r="O98" s="8">
        <f>SUMIFS('Data nguồn'!H:H, 'Data nguồn'!D:D, $D98, 'Data nguồn'!F:F, $B$1, 'Data nguồn'!C:C, O$3)</f>
      </c>
      <c r="P98" s="8">
        <f>SUMIFS('Data nguồn'!H:H, 'Data nguồn'!D:D, $D98, 'Data nguồn'!F:F, $B$1, 'Data nguồn'!C:C, P$3)</f>
      </c>
      <c r="Q98" s="8">
        <f>SUMIFS('Data nguồn'!H:H, 'Data nguồn'!D:D, $D98, 'Data nguồn'!F:F, $B$1, 'Data nguồn'!C:C, Q$3)</f>
      </c>
      <c r="R98" s="8">
        <f>SUMIFS('Data nguồn'!H:H, 'Data nguồn'!D:D, $D98, 'Data nguồn'!F:F, $B$1, 'Data nguồn'!C:C, R$3)</f>
      </c>
      <c r="S98" s="8">
        <f>SUMIFS('Data nguồn'!H:H, 'Data nguồn'!D:D, $D98, 'Data nguồn'!F:F, $B$1, 'Data nguồn'!C:C, S$3)</f>
      </c>
      <c r="T98" s="8">
        <f>SUMIFS('Data nguồn'!H:H, 'Data nguồn'!D:D, $D98, 'Data nguồn'!F:F, $B$1, 'Data nguồn'!C:C, T$3)</f>
      </c>
      <c r="U98" s="8">
        <f>SUMIFS('Data nguồn'!H:H, 'Data nguồn'!D:D, $D98, 'Data nguồn'!F:F, $B$1, 'Data nguồn'!C:C, U$3)</f>
      </c>
      <c r="W98" s="8">
        <f>SUM(E98:P98)</f>
      </c>
      <c r="X98" s="8">
        <f>SUM(Q98:U98)</f>
      </c>
      <c r="Y98" s="8">
        <f>AVERAGE(S98:U98)</f>
      </c>
      <c r="Z98" s="8">
        <f>AVERAGE(P98:U98)</f>
      </c>
      <c r="AA98" s="8">
        <f>AVERAGE(M98:U98)</f>
      </c>
      <c r="AB98" s="4">
        <f>IFERROR((Y98*2)/(Z98+AA98), 0)</f>
      </c>
      <c r="AC98" s="4">
        <f>IFERROR(X98/SUM(E98:I98), 0)</f>
      </c>
      <c r="AD98" s="4">
        <f>IFERROR(X98/SUM(E98:I98), 0)</f>
      </c>
      <c r="AE98" s="4">
        <f>IFERROR(U98/I98, 0)</f>
      </c>
    </row>
    <row r="99" ht="20" customHeight="1" spans="1:31" x14ac:dyDescent="0.25">
      <c r="A99">
        <v>96</v>
      </c>
      <c r="B99" t="s">
        <v>100</v>
      </c>
      <c r="C99" t="s">
        <v>141</v>
      </c>
      <c r="D99" s="2" t="s">
        <v>100</v>
      </c>
      <c r="E99" s="8">
        <f>SUMIFS('Data nguồn'!H:H, 'Data nguồn'!D:D, $D99, 'Data nguồn'!F:F, $B$1, 'Data nguồn'!C:C, E$3)</f>
      </c>
      <c r="F99" s="8">
        <f>SUMIFS('Data nguồn'!H:H, 'Data nguồn'!D:D, $D99, 'Data nguồn'!F:F, $B$1, 'Data nguồn'!C:C, F$3)</f>
      </c>
      <c r="G99" s="8">
        <f>SUMIFS('Data nguồn'!H:H, 'Data nguồn'!D:D, $D99, 'Data nguồn'!F:F, $B$1, 'Data nguồn'!C:C, G$3)</f>
      </c>
      <c r="H99" s="8">
        <f>SUMIFS('Data nguồn'!H:H, 'Data nguồn'!D:D, $D99, 'Data nguồn'!F:F, $B$1, 'Data nguồn'!C:C, H$3)</f>
      </c>
      <c r="I99" s="8">
        <f>SUMIFS('Data nguồn'!H:H, 'Data nguồn'!D:D, $D99, 'Data nguồn'!F:F, $B$1, 'Data nguồn'!C:C, I$3)</f>
      </c>
      <c r="J99" s="8">
        <f>SUMIFS('Data nguồn'!H:H, 'Data nguồn'!D:D, $D99, 'Data nguồn'!F:F, $B$1, 'Data nguồn'!C:C, J$3)</f>
      </c>
      <c r="K99" s="8">
        <f>SUMIFS('Data nguồn'!H:H, 'Data nguồn'!D:D, $D99, 'Data nguồn'!F:F, $B$1, 'Data nguồn'!C:C, K$3)</f>
      </c>
      <c r="L99" s="8">
        <f>SUMIFS('Data nguồn'!H:H, 'Data nguồn'!D:D, $D99, 'Data nguồn'!F:F, $B$1, 'Data nguồn'!C:C, L$3)</f>
      </c>
      <c r="M99" s="8">
        <f>SUMIFS('Data nguồn'!H:H, 'Data nguồn'!D:D, $D99, 'Data nguồn'!F:F, $B$1, 'Data nguồn'!C:C, M$3)</f>
      </c>
      <c r="N99" s="8">
        <f>SUMIFS('Data nguồn'!H:H, 'Data nguồn'!D:D, $D99, 'Data nguồn'!F:F, $B$1, 'Data nguồn'!C:C, N$3)</f>
      </c>
      <c r="O99" s="8">
        <f>SUMIFS('Data nguồn'!H:H, 'Data nguồn'!D:D, $D99, 'Data nguồn'!F:F, $B$1, 'Data nguồn'!C:C, O$3)</f>
      </c>
      <c r="P99" s="8">
        <f>SUMIFS('Data nguồn'!H:H, 'Data nguồn'!D:D, $D99, 'Data nguồn'!F:F, $B$1, 'Data nguồn'!C:C, P$3)</f>
      </c>
      <c r="Q99" s="8">
        <f>SUMIFS('Data nguồn'!H:H, 'Data nguồn'!D:D, $D99, 'Data nguồn'!F:F, $B$1, 'Data nguồn'!C:C, Q$3)</f>
      </c>
      <c r="R99" s="8">
        <f>SUMIFS('Data nguồn'!H:H, 'Data nguồn'!D:D, $D99, 'Data nguồn'!F:F, $B$1, 'Data nguồn'!C:C, R$3)</f>
      </c>
      <c r="S99" s="8">
        <f>SUMIFS('Data nguồn'!H:H, 'Data nguồn'!D:D, $D99, 'Data nguồn'!F:F, $B$1, 'Data nguồn'!C:C, S$3)</f>
      </c>
      <c r="T99" s="8">
        <f>SUMIFS('Data nguồn'!H:H, 'Data nguồn'!D:D, $D99, 'Data nguồn'!F:F, $B$1, 'Data nguồn'!C:C, T$3)</f>
      </c>
      <c r="U99" s="8">
        <f>SUMIFS('Data nguồn'!H:H, 'Data nguồn'!D:D, $D99, 'Data nguồn'!F:F, $B$1, 'Data nguồn'!C:C, U$3)</f>
      </c>
      <c r="W99" s="8">
        <f>SUM(E99:P99)</f>
      </c>
      <c r="X99" s="8">
        <f>SUM(Q99:U99)</f>
      </c>
      <c r="Y99" s="8">
        <f>AVERAGE(S99:U99)</f>
      </c>
      <c r="Z99" s="8">
        <f>AVERAGE(P99:U99)</f>
      </c>
      <c r="AA99" s="8">
        <f>AVERAGE(M99:U99)</f>
      </c>
      <c r="AB99" s="4">
        <f>IFERROR((Y99*2)/(Z99+AA99), 0)</f>
      </c>
      <c r="AC99" s="4">
        <f>IFERROR(X99/SUM(E99:I99), 0)</f>
      </c>
      <c r="AD99" s="4">
        <f>IFERROR(X99/SUM(E99:I99), 0)</f>
      </c>
      <c r="AE99" s="4">
        <f>IFERROR(U99/I99, 0)</f>
      </c>
    </row>
    <row r="100" ht="20" customHeight="1" spans="1:31" x14ac:dyDescent="0.25">
      <c r="A100">
        <v>97</v>
      </c>
      <c r="B100" t="s">
        <v>101</v>
      </c>
      <c r="C100" t="s">
        <v>141</v>
      </c>
      <c r="D100" s="2" t="s">
        <v>101</v>
      </c>
      <c r="E100" s="8">
        <f>SUMIFS('Data nguồn'!H:H, 'Data nguồn'!D:D, $D100, 'Data nguồn'!F:F, $B$1, 'Data nguồn'!C:C, E$3)</f>
      </c>
      <c r="F100" s="8">
        <f>SUMIFS('Data nguồn'!H:H, 'Data nguồn'!D:D, $D100, 'Data nguồn'!F:F, $B$1, 'Data nguồn'!C:C, F$3)</f>
      </c>
      <c r="G100" s="8">
        <f>SUMIFS('Data nguồn'!H:H, 'Data nguồn'!D:D, $D100, 'Data nguồn'!F:F, $B$1, 'Data nguồn'!C:C, G$3)</f>
      </c>
      <c r="H100" s="8">
        <f>SUMIFS('Data nguồn'!H:H, 'Data nguồn'!D:D, $D100, 'Data nguồn'!F:F, $B$1, 'Data nguồn'!C:C, H$3)</f>
      </c>
      <c r="I100" s="8">
        <f>SUMIFS('Data nguồn'!H:H, 'Data nguồn'!D:D, $D100, 'Data nguồn'!F:F, $B$1, 'Data nguồn'!C:C, I$3)</f>
      </c>
      <c r="J100" s="8">
        <f>SUMIFS('Data nguồn'!H:H, 'Data nguồn'!D:D, $D100, 'Data nguồn'!F:F, $B$1, 'Data nguồn'!C:C, J$3)</f>
      </c>
      <c r="K100" s="8">
        <f>SUMIFS('Data nguồn'!H:H, 'Data nguồn'!D:D, $D100, 'Data nguồn'!F:F, $B$1, 'Data nguồn'!C:C, K$3)</f>
      </c>
      <c r="L100" s="8">
        <f>SUMIFS('Data nguồn'!H:H, 'Data nguồn'!D:D, $D100, 'Data nguồn'!F:F, $B$1, 'Data nguồn'!C:C, L$3)</f>
      </c>
      <c r="M100" s="8">
        <f>SUMIFS('Data nguồn'!H:H, 'Data nguồn'!D:D, $D100, 'Data nguồn'!F:F, $B$1, 'Data nguồn'!C:C, M$3)</f>
      </c>
      <c r="N100" s="8">
        <f>SUMIFS('Data nguồn'!H:H, 'Data nguồn'!D:D, $D100, 'Data nguồn'!F:F, $B$1, 'Data nguồn'!C:C, N$3)</f>
      </c>
      <c r="O100" s="8">
        <f>SUMIFS('Data nguồn'!H:H, 'Data nguồn'!D:D, $D100, 'Data nguồn'!F:F, $B$1, 'Data nguồn'!C:C, O$3)</f>
      </c>
      <c r="P100" s="8">
        <f>SUMIFS('Data nguồn'!H:H, 'Data nguồn'!D:D, $D100, 'Data nguồn'!F:F, $B$1, 'Data nguồn'!C:C, P$3)</f>
      </c>
      <c r="Q100" s="8">
        <f>SUMIFS('Data nguồn'!H:H, 'Data nguồn'!D:D, $D100, 'Data nguồn'!F:F, $B$1, 'Data nguồn'!C:C, Q$3)</f>
      </c>
      <c r="R100" s="8">
        <f>SUMIFS('Data nguồn'!H:H, 'Data nguồn'!D:D, $D100, 'Data nguồn'!F:F, $B$1, 'Data nguồn'!C:C, R$3)</f>
      </c>
      <c r="S100" s="8">
        <f>SUMIFS('Data nguồn'!H:H, 'Data nguồn'!D:D, $D100, 'Data nguồn'!F:F, $B$1, 'Data nguồn'!C:C, S$3)</f>
      </c>
      <c r="T100" s="8">
        <f>SUMIFS('Data nguồn'!H:H, 'Data nguồn'!D:D, $D100, 'Data nguồn'!F:F, $B$1, 'Data nguồn'!C:C, T$3)</f>
      </c>
      <c r="U100" s="8">
        <f>SUMIFS('Data nguồn'!H:H, 'Data nguồn'!D:D, $D100, 'Data nguồn'!F:F, $B$1, 'Data nguồn'!C:C, U$3)</f>
      </c>
      <c r="W100" s="8">
        <f>SUM(E100:P100)</f>
      </c>
      <c r="X100" s="8">
        <f>SUM(Q100:U100)</f>
      </c>
      <c r="Y100" s="8">
        <f>AVERAGE(S100:U100)</f>
      </c>
      <c r="Z100" s="8">
        <f>AVERAGE(P100:U100)</f>
      </c>
      <c r="AA100" s="8">
        <f>AVERAGE(M100:U100)</f>
      </c>
      <c r="AB100" s="4">
        <f>IFERROR((Y100*2)/(Z100+AA100), 0)</f>
      </c>
      <c r="AC100" s="4">
        <f>IFERROR(X100/SUM(E100:I100), 0)</f>
      </c>
      <c r="AD100" s="4">
        <f>IFERROR(X100/SUM(E100:I100), 0)</f>
      </c>
      <c r="AE100" s="4">
        <f>IFERROR(U100/I100, 0)</f>
      </c>
    </row>
    <row r="101" ht="20" customHeight="1" spans="1:31" x14ac:dyDescent="0.25">
      <c r="A101">
        <v>98</v>
      </c>
      <c r="B101" t="s">
        <v>102</v>
      </c>
      <c r="C101" t="s">
        <v>141</v>
      </c>
      <c r="D101" s="2" t="s">
        <v>102</v>
      </c>
      <c r="E101" s="8">
        <f>SUMIFS('Data nguồn'!H:H, 'Data nguồn'!D:D, $D101, 'Data nguồn'!F:F, $B$1, 'Data nguồn'!C:C, E$3)</f>
      </c>
      <c r="F101" s="8">
        <f>SUMIFS('Data nguồn'!H:H, 'Data nguồn'!D:D, $D101, 'Data nguồn'!F:F, $B$1, 'Data nguồn'!C:C, F$3)</f>
      </c>
      <c r="G101" s="8">
        <f>SUMIFS('Data nguồn'!H:H, 'Data nguồn'!D:D, $D101, 'Data nguồn'!F:F, $B$1, 'Data nguồn'!C:C, G$3)</f>
      </c>
      <c r="H101" s="8">
        <f>SUMIFS('Data nguồn'!H:H, 'Data nguồn'!D:D, $D101, 'Data nguồn'!F:F, $B$1, 'Data nguồn'!C:C, H$3)</f>
      </c>
      <c r="I101" s="8">
        <f>SUMIFS('Data nguồn'!H:H, 'Data nguồn'!D:D, $D101, 'Data nguồn'!F:F, $B$1, 'Data nguồn'!C:C, I$3)</f>
      </c>
      <c r="J101" s="8">
        <f>SUMIFS('Data nguồn'!H:H, 'Data nguồn'!D:D, $D101, 'Data nguồn'!F:F, $B$1, 'Data nguồn'!C:C, J$3)</f>
      </c>
      <c r="K101" s="8">
        <f>SUMIFS('Data nguồn'!H:H, 'Data nguồn'!D:D, $D101, 'Data nguồn'!F:F, $B$1, 'Data nguồn'!C:C, K$3)</f>
      </c>
      <c r="L101" s="8">
        <f>SUMIFS('Data nguồn'!H:H, 'Data nguồn'!D:D, $D101, 'Data nguồn'!F:F, $B$1, 'Data nguồn'!C:C, L$3)</f>
      </c>
      <c r="M101" s="8">
        <f>SUMIFS('Data nguồn'!H:H, 'Data nguồn'!D:D, $D101, 'Data nguồn'!F:F, $B$1, 'Data nguồn'!C:C, M$3)</f>
      </c>
      <c r="N101" s="8">
        <f>SUMIFS('Data nguồn'!H:H, 'Data nguồn'!D:D, $D101, 'Data nguồn'!F:F, $B$1, 'Data nguồn'!C:C, N$3)</f>
      </c>
      <c r="O101" s="8">
        <f>SUMIFS('Data nguồn'!H:H, 'Data nguồn'!D:D, $D101, 'Data nguồn'!F:F, $B$1, 'Data nguồn'!C:C, O$3)</f>
      </c>
      <c r="P101" s="8">
        <f>SUMIFS('Data nguồn'!H:H, 'Data nguồn'!D:D, $D101, 'Data nguồn'!F:F, $B$1, 'Data nguồn'!C:C, P$3)</f>
      </c>
      <c r="Q101" s="8">
        <f>SUMIFS('Data nguồn'!H:H, 'Data nguồn'!D:D, $D101, 'Data nguồn'!F:F, $B$1, 'Data nguồn'!C:C, Q$3)</f>
      </c>
      <c r="R101" s="8">
        <f>SUMIFS('Data nguồn'!H:H, 'Data nguồn'!D:D, $D101, 'Data nguồn'!F:F, $B$1, 'Data nguồn'!C:C, R$3)</f>
      </c>
      <c r="S101" s="8">
        <f>SUMIFS('Data nguồn'!H:H, 'Data nguồn'!D:D, $D101, 'Data nguồn'!F:F, $B$1, 'Data nguồn'!C:C, S$3)</f>
      </c>
      <c r="T101" s="8">
        <f>SUMIFS('Data nguồn'!H:H, 'Data nguồn'!D:D, $D101, 'Data nguồn'!F:F, $B$1, 'Data nguồn'!C:C, T$3)</f>
      </c>
      <c r="U101" s="8">
        <f>SUMIFS('Data nguồn'!H:H, 'Data nguồn'!D:D, $D101, 'Data nguồn'!F:F, $B$1, 'Data nguồn'!C:C, U$3)</f>
      </c>
      <c r="W101" s="8">
        <f>SUM(E101:P101)</f>
      </c>
      <c r="X101" s="8">
        <f>SUM(Q101:U101)</f>
      </c>
      <c r="Y101" s="8">
        <f>AVERAGE(S101:U101)</f>
      </c>
      <c r="Z101" s="8">
        <f>AVERAGE(P101:U101)</f>
      </c>
      <c r="AA101" s="8">
        <f>AVERAGE(M101:U101)</f>
      </c>
      <c r="AB101" s="4">
        <f>IFERROR((Y101*2)/(Z101+AA101), 0)</f>
      </c>
      <c r="AC101" s="4">
        <f>IFERROR(X101/SUM(E101:I101), 0)</f>
      </c>
      <c r="AD101" s="4">
        <f>IFERROR(X101/SUM(E101:I101), 0)</f>
      </c>
      <c r="AE101" s="4">
        <f>IFERROR(U101/I101, 0)</f>
      </c>
    </row>
    <row r="102" ht="20" customHeight="1" spans="1:31" x14ac:dyDescent="0.25">
      <c r="A102">
        <v>99</v>
      </c>
      <c r="B102" t="s">
        <v>103</v>
      </c>
      <c r="C102" t="s">
        <v>141</v>
      </c>
      <c r="D102" s="2" t="s">
        <v>103</v>
      </c>
      <c r="E102" s="8">
        <f>SUMIFS('Data nguồn'!H:H, 'Data nguồn'!D:D, $D102, 'Data nguồn'!F:F, $B$1, 'Data nguồn'!C:C, E$3)</f>
      </c>
      <c r="F102" s="8">
        <f>SUMIFS('Data nguồn'!H:H, 'Data nguồn'!D:D, $D102, 'Data nguồn'!F:F, $B$1, 'Data nguồn'!C:C, F$3)</f>
      </c>
      <c r="G102" s="8">
        <f>SUMIFS('Data nguồn'!H:H, 'Data nguồn'!D:D, $D102, 'Data nguồn'!F:F, $B$1, 'Data nguồn'!C:C, G$3)</f>
      </c>
      <c r="H102" s="8">
        <f>SUMIFS('Data nguồn'!H:H, 'Data nguồn'!D:D, $D102, 'Data nguồn'!F:F, $B$1, 'Data nguồn'!C:C, H$3)</f>
      </c>
      <c r="I102" s="8">
        <f>SUMIFS('Data nguồn'!H:H, 'Data nguồn'!D:D, $D102, 'Data nguồn'!F:F, $B$1, 'Data nguồn'!C:C, I$3)</f>
      </c>
      <c r="J102" s="8">
        <f>SUMIFS('Data nguồn'!H:H, 'Data nguồn'!D:D, $D102, 'Data nguồn'!F:F, $B$1, 'Data nguồn'!C:C, J$3)</f>
      </c>
      <c r="K102" s="8">
        <f>SUMIFS('Data nguồn'!H:H, 'Data nguồn'!D:D, $D102, 'Data nguồn'!F:F, $B$1, 'Data nguồn'!C:C, K$3)</f>
      </c>
      <c r="L102" s="8">
        <f>SUMIFS('Data nguồn'!H:H, 'Data nguồn'!D:D, $D102, 'Data nguồn'!F:F, $B$1, 'Data nguồn'!C:C, L$3)</f>
      </c>
      <c r="M102" s="8">
        <f>SUMIFS('Data nguồn'!H:H, 'Data nguồn'!D:D, $D102, 'Data nguồn'!F:F, $B$1, 'Data nguồn'!C:C, M$3)</f>
      </c>
      <c r="N102" s="8">
        <f>SUMIFS('Data nguồn'!H:H, 'Data nguồn'!D:D, $D102, 'Data nguồn'!F:F, $B$1, 'Data nguồn'!C:C, N$3)</f>
      </c>
      <c r="O102" s="8">
        <f>SUMIFS('Data nguồn'!H:H, 'Data nguồn'!D:D, $D102, 'Data nguồn'!F:F, $B$1, 'Data nguồn'!C:C, O$3)</f>
      </c>
      <c r="P102" s="8">
        <f>SUMIFS('Data nguồn'!H:H, 'Data nguồn'!D:D, $D102, 'Data nguồn'!F:F, $B$1, 'Data nguồn'!C:C, P$3)</f>
      </c>
      <c r="Q102" s="8">
        <f>SUMIFS('Data nguồn'!H:H, 'Data nguồn'!D:D, $D102, 'Data nguồn'!F:F, $B$1, 'Data nguồn'!C:C, Q$3)</f>
      </c>
      <c r="R102" s="8">
        <f>SUMIFS('Data nguồn'!H:H, 'Data nguồn'!D:D, $D102, 'Data nguồn'!F:F, $B$1, 'Data nguồn'!C:C, R$3)</f>
      </c>
      <c r="S102" s="8">
        <f>SUMIFS('Data nguồn'!H:H, 'Data nguồn'!D:D, $D102, 'Data nguồn'!F:F, $B$1, 'Data nguồn'!C:C, S$3)</f>
      </c>
      <c r="T102" s="8">
        <f>SUMIFS('Data nguồn'!H:H, 'Data nguồn'!D:D, $D102, 'Data nguồn'!F:F, $B$1, 'Data nguồn'!C:C, T$3)</f>
      </c>
      <c r="U102" s="8">
        <f>SUMIFS('Data nguồn'!H:H, 'Data nguồn'!D:D, $D102, 'Data nguồn'!F:F, $B$1, 'Data nguồn'!C:C, U$3)</f>
      </c>
      <c r="W102" s="8">
        <f>SUM(E102:P102)</f>
      </c>
      <c r="X102" s="8">
        <f>SUM(Q102:U102)</f>
      </c>
      <c r="Y102" s="8">
        <f>AVERAGE(S102:U102)</f>
      </c>
      <c r="Z102" s="8">
        <f>AVERAGE(P102:U102)</f>
      </c>
      <c r="AA102" s="8">
        <f>AVERAGE(M102:U102)</f>
      </c>
      <c r="AB102" s="4">
        <f>IFERROR((Y102*2)/(Z102+AA102), 0)</f>
      </c>
      <c r="AC102" s="4">
        <f>IFERROR(X102/SUM(E102:I102), 0)</f>
      </c>
      <c r="AD102" s="4">
        <f>IFERROR(X102/SUM(E102:I102), 0)</f>
      </c>
      <c r="AE102" s="4">
        <f>IFERROR(U102/I102, 0)</f>
      </c>
    </row>
    <row r="103" ht="20" customHeight="1" spans="1:31" x14ac:dyDescent="0.25">
      <c r="A103">
        <v>100</v>
      </c>
      <c r="B103" t="s">
        <v>104</v>
      </c>
      <c r="C103" t="s">
        <v>141</v>
      </c>
      <c r="D103" s="2" t="s">
        <v>104</v>
      </c>
      <c r="E103" s="8">
        <f>SUMIFS('Data nguồn'!H:H, 'Data nguồn'!D:D, $D103, 'Data nguồn'!F:F, $B$1, 'Data nguồn'!C:C, E$3)</f>
      </c>
      <c r="F103" s="8">
        <f>SUMIFS('Data nguồn'!H:H, 'Data nguồn'!D:D, $D103, 'Data nguồn'!F:F, $B$1, 'Data nguồn'!C:C, F$3)</f>
      </c>
      <c r="G103" s="8">
        <f>SUMIFS('Data nguồn'!H:H, 'Data nguồn'!D:D, $D103, 'Data nguồn'!F:F, $B$1, 'Data nguồn'!C:C, G$3)</f>
      </c>
      <c r="H103" s="8">
        <f>SUMIFS('Data nguồn'!H:H, 'Data nguồn'!D:D, $D103, 'Data nguồn'!F:F, $B$1, 'Data nguồn'!C:C, H$3)</f>
      </c>
      <c r="I103" s="8">
        <f>SUMIFS('Data nguồn'!H:H, 'Data nguồn'!D:D, $D103, 'Data nguồn'!F:F, $B$1, 'Data nguồn'!C:C, I$3)</f>
      </c>
      <c r="J103" s="8">
        <f>SUMIFS('Data nguồn'!H:H, 'Data nguồn'!D:D, $D103, 'Data nguồn'!F:F, $B$1, 'Data nguồn'!C:C, J$3)</f>
      </c>
      <c r="K103" s="8">
        <f>SUMIFS('Data nguồn'!H:H, 'Data nguồn'!D:D, $D103, 'Data nguồn'!F:F, $B$1, 'Data nguồn'!C:C, K$3)</f>
      </c>
      <c r="L103" s="8">
        <f>SUMIFS('Data nguồn'!H:H, 'Data nguồn'!D:D, $D103, 'Data nguồn'!F:F, $B$1, 'Data nguồn'!C:C, L$3)</f>
      </c>
      <c r="M103" s="8">
        <f>SUMIFS('Data nguồn'!H:H, 'Data nguồn'!D:D, $D103, 'Data nguồn'!F:F, $B$1, 'Data nguồn'!C:C, M$3)</f>
      </c>
      <c r="N103" s="8">
        <f>SUMIFS('Data nguồn'!H:H, 'Data nguồn'!D:D, $D103, 'Data nguồn'!F:F, $B$1, 'Data nguồn'!C:C, N$3)</f>
      </c>
      <c r="O103" s="8">
        <f>SUMIFS('Data nguồn'!H:H, 'Data nguồn'!D:D, $D103, 'Data nguồn'!F:F, $B$1, 'Data nguồn'!C:C, O$3)</f>
      </c>
      <c r="P103" s="8">
        <f>SUMIFS('Data nguồn'!H:H, 'Data nguồn'!D:D, $D103, 'Data nguồn'!F:F, $B$1, 'Data nguồn'!C:C, P$3)</f>
      </c>
      <c r="Q103" s="8">
        <f>SUMIFS('Data nguồn'!H:H, 'Data nguồn'!D:D, $D103, 'Data nguồn'!F:F, $B$1, 'Data nguồn'!C:C, Q$3)</f>
      </c>
      <c r="R103" s="8">
        <f>SUMIFS('Data nguồn'!H:H, 'Data nguồn'!D:D, $D103, 'Data nguồn'!F:F, $B$1, 'Data nguồn'!C:C, R$3)</f>
      </c>
      <c r="S103" s="8">
        <f>SUMIFS('Data nguồn'!H:H, 'Data nguồn'!D:D, $D103, 'Data nguồn'!F:F, $B$1, 'Data nguồn'!C:C, S$3)</f>
      </c>
      <c r="T103" s="8">
        <f>SUMIFS('Data nguồn'!H:H, 'Data nguồn'!D:D, $D103, 'Data nguồn'!F:F, $B$1, 'Data nguồn'!C:C, T$3)</f>
      </c>
      <c r="U103" s="8">
        <f>SUMIFS('Data nguồn'!H:H, 'Data nguồn'!D:D, $D103, 'Data nguồn'!F:F, $B$1, 'Data nguồn'!C:C, U$3)</f>
      </c>
      <c r="W103" s="8">
        <f>SUM(E103:P103)</f>
      </c>
      <c r="X103" s="8">
        <f>SUM(Q103:U103)</f>
      </c>
      <c r="Y103" s="8">
        <f>AVERAGE(S103:U103)</f>
      </c>
      <c r="Z103" s="8">
        <f>AVERAGE(P103:U103)</f>
      </c>
      <c r="AA103" s="8">
        <f>AVERAGE(M103:U103)</f>
      </c>
      <c r="AB103" s="4">
        <f>IFERROR((Y103*2)/(Z103+AA103), 0)</f>
      </c>
      <c r="AC103" s="4">
        <f>IFERROR(X103/SUM(E103:I103), 0)</f>
      </c>
      <c r="AD103" s="4">
        <f>IFERROR(X103/SUM(E103:I103), 0)</f>
      </c>
      <c r="AE103" s="4">
        <f>IFERROR(U103/I103, 0)</f>
      </c>
    </row>
    <row r="104" ht="20" customHeight="1" spans="1:31" x14ac:dyDescent="0.25">
      <c r="A104">
        <v>101</v>
      </c>
      <c r="B104" t="s">
        <v>105</v>
      </c>
      <c r="C104" t="s">
        <v>141</v>
      </c>
      <c r="D104" s="2" t="s">
        <v>105</v>
      </c>
      <c r="E104" s="8">
        <f>SUMIFS('Data nguồn'!H:H, 'Data nguồn'!D:D, $D104, 'Data nguồn'!F:F, $B$1, 'Data nguồn'!C:C, E$3)</f>
      </c>
      <c r="F104" s="8">
        <f>SUMIFS('Data nguồn'!H:H, 'Data nguồn'!D:D, $D104, 'Data nguồn'!F:F, $B$1, 'Data nguồn'!C:C, F$3)</f>
      </c>
      <c r="G104" s="8">
        <f>SUMIFS('Data nguồn'!H:H, 'Data nguồn'!D:D, $D104, 'Data nguồn'!F:F, $B$1, 'Data nguồn'!C:C, G$3)</f>
      </c>
      <c r="H104" s="8">
        <f>SUMIFS('Data nguồn'!H:H, 'Data nguồn'!D:D, $D104, 'Data nguồn'!F:F, $B$1, 'Data nguồn'!C:C, H$3)</f>
      </c>
      <c r="I104" s="8">
        <f>SUMIFS('Data nguồn'!H:H, 'Data nguồn'!D:D, $D104, 'Data nguồn'!F:F, $B$1, 'Data nguồn'!C:C, I$3)</f>
      </c>
      <c r="J104" s="8">
        <f>SUMIFS('Data nguồn'!H:H, 'Data nguồn'!D:D, $D104, 'Data nguồn'!F:F, $B$1, 'Data nguồn'!C:C, J$3)</f>
      </c>
      <c r="K104" s="8">
        <f>SUMIFS('Data nguồn'!H:H, 'Data nguồn'!D:D, $D104, 'Data nguồn'!F:F, $B$1, 'Data nguồn'!C:C, K$3)</f>
      </c>
      <c r="L104" s="8">
        <f>SUMIFS('Data nguồn'!H:H, 'Data nguồn'!D:D, $D104, 'Data nguồn'!F:F, $B$1, 'Data nguồn'!C:C, L$3)</f>
      </c>
      <c r="M104" s="8">
        <f>SUMIFS('Data nguồn'!H:H, 'Data nguồn'!D:D, $D104, 'Data nguồn'!F:F, $B$1, 'Data nguồn'!C:C, M$3)</f>
      </c>
      <c r="N104" s="8">
        <f>SUMIFS('Data nguồn'!H:H, 'Data nguồn'!D:D, $D104, 'Data nguồn'!F:F, $B$1, 'Data nguồn'!C:C, N$3)</f>
      </c>
      <c r="O104" s="8">
        <f>SUMIFS('Data nguồn'!H:H, 'Data nguồn'!D:D, $D104, 'Data nguồn'!F:F, $B$1, 'Data nguồn'!C:C, O$3)</f>
      </c>
      <c r="P104" s="8">
        <f>SUMIFS('Data nguồn'!H:H, 'Data nguồn'!D:D, $D104, 'Data nguồn'!F:F, $B$1, 'Data nguồn'!C:C, P$3)</f>
      </c>
      <c r="Q104" s="8">
        <f>SUMIFS('Data nguồn'!H:H, 'Data nguồn'!D:D, $D104, 'Data nguồn'!F:F, $B$1, 'Data nguồn'!C:C, Q$3)</f>
      </c>
      <c r="R104" s="8">
        <f>SUMIFS('Data nguồn'!H:H, 'Data nguồn'!D:D, $D104, 'Data nguồn'!F:F, $B$1, 'Data nguồn'!C:C, R$3)</f>
      </c>
      <c r="S104" s="8">
        <f>SUMIFS('Data nguồn'!H:H, 'Data nguồn'!D:D, $D104, 'Data nguồn'!F:F, $B$1, 'Data nguồn'!C:C, S$3)</f>
      </c>
      <c r="T104" s="8">
        <f>SUMIFS('Data nguồn'!H:H, 'Data nguồn'!D:D, $D104, 'Data nguồn'!F:F, $B$1, 'Data nguồn'!C:C, T$3)</f>
      </c>
      <c r="U104" s="8">
        <f>SUMIFS('Data nguồn'!H:H, 'Data nguồn'!D:D, $D104, 'Data nguồn'!F:F, $B$1, 'Data nguồn'!C:C, U$3)</f>
      </c>
      <c r="W104" s="8">
        <f>SUM(E104:P104)</f>
      </c>
      <c r="X104" s="8">
        <f>SUM(Q104:U104)</f>
      </c>
      <c r="Y104" s="8">
        <f>AVERAGE(S104:U104)</f>
      </c>
      <c r="Z104" s="8">
        <f>AVERAGE(P104:U104)</f>
      </c>
      <c r="AA104" s="8">
        <f>AVERAGE(M104:U104)</f>
      </c>
      <c r="AB104" s="4">
        <f>IFERROR((Y104*2)/(Z104+AA104), 0)</f>
      </c>
      <c r="AC104" s="4">
        <f>IFERROR(X104/SUM(E104:I104), 0)</f>
      </c>
      <c r="AD104" s="4">
        <f>IFERROR(X104/SUM(E104:I104), 0)</f>
      </c>
      <c r="AE104" s="4">
        <f>IFERROR(U104/I104, 0)</f>
      </c>
    </row>
    <row r="105" ht="20" customHeight="1" spans="1:31" x14ac:dyDescent="0.25">
      <c r="A105">
        <v>102</v>
      </c>
      <c r="B105" t="s">
        <v>106</v>
      </c>
      <c r="C105" t="s">
        <v>141</v>
      </c>
      <c r="D105" s="2" t="s">
        <v>106</v>
      </c>
      <c r="E105" s="8">
        <f>SUMIFS('Data nguồn'!H:H, 'Data nguồn'!D:D, $D105, 'Data nguồn'!F:F, $B$1, 'Data nguồn'!C:C, E$3)</f>
      </c>
      <c r="F105" s="8">
        <f>SUMIFS('Data nguồn'!H:H, 'Data nguồn'!D:D, $D105, 'Data nguồn'!F:F, $B$1, 'Data nguồn'!C:C, F$3)</f>
      </c>
      <c r="G105" s="8">
        <f>SUMIFS('Data nguồn'!H:H, 'Data nguồn'!D:D, $D105, 'Data nguồn'!F:F, $B$1, 'Data nguồn'!C:C, G$3)</f>
      </c>
      <c r="H105" s="8">
        <f>SUMIFS('Data nguồn'!H:H, 'Data nguồn'!D:D, $D105, 'Data nguồn'!F:F, $B$1, 'Data nguồn'!C:C, H$3)</f>
      </c>
      <c r="I105" s="8">
        <f>SUMIFS('Data nguồn'!H:H, 'Data nguồn'!D:D, $D105, 'Data nguồn'!F:F, $B$1, 'Data nguồn'!C:C, I$3)</f>
      </c>
      <c r="J105" s="8">
        <f>SUMIFS('Data nguồn'!H:H, 'Data nguồn'!D:D, $D105, 'Data nguồn'!F:F, $B$1, 'Data nguồn'!C:C, J$3)</f>
      </c>
      <c r="K105" s="8">
        <f>SUMIFS('Data nguồn'!H:H, 'Data nguồn'!D:D, $D105, 'Data nguồn'!F:F, $B$1, 'Data nguồn'!C:C, K$3)</f>
      </c>
      <c r="L105" s="8">
        <f>SUMIFS('Data nguồn'!H:H, 'Data nguồn'!D:D, $D105, 'Data nguồn'!F:F, $B$1, 'Data nguồn'!C:C, L$3)</f>
      </c>
      <c r="M105" s="8">
        <f>SUMIFS('Data nguồn'!H:H, 'Data nguồn'!D:D, $D105, 'Data nguồn'!F:F, $B$1, 'Data nguồn'!C:C, M$3)</f>
      </c>
      <c r="N105" s="8">
        <f>SUMIFS('Data nguồn'!H:H, 'Data nguồn'!D:D, $D105, 'Data nguồn'!F:F, $B$1, 'Data nguồn'!C:C, N$3)</f>
      </c>
      <c r="O105" s="8">
        <f>SUMIFS('Data nguồn'!H:H, 'Data nguồn'!D:D, $D105, 'Data nguồn'!F:F, $B$1, 'Data nguồn'!C:C, O$3)</f>
      </c>
      <c r="P105" s="8">
        <f>SUMIFS('Data nguồn'!H:H, 'Data nguồn'!D:D, $D105, 'Data nguồn'!F:F, $B$1, 'Data nguồn'!C:C, P$3)</f>
      </c>
      <c r="Q105" s="8">
        <f>SUMIFS('Data nguồn'!H:H, 'Data nguồn'!D:D, $D105, 'Data nguồn'!F:F, $B$1, 'Data nguồn'!C:C, Q$3)</f>
      </c>
      <c r="R105" s="8">
        <f>SUMIFS('Data nguồn'!H:H, 'Data nguồn'!D:D, $D105, 'Data nguồn'!F:F, $B$1, 'Data nguồn'!C:C, R$3)</f>
      </c>
      <c r="S105" s="8">
        <f>SUMIFS('Data nguồn'!H:H, 'Data nguồn'!D:D, $D105, 'Data nguồn'!F:F, $B$1, 'Data nguồn'!C:C, S$3)</f>
      </c>
      <c r="T105" s="8">
        <f>SUMIFS('Data nguồn'!H:H, 'Data nguồn'!D:D, $D105, 'Data nguồn'!F:F, $B$1, 'Data nguồn'!C:C, T$3)</f>
      </c>
      <c r="U105" s="8">
        <f>SUMIFS('Data nguồn'!H:H, 'Data nguồn'!D:D, $D105, 'Data nguồn'!F:F, $B$1, 'Data nguồn'!C:C, U$3)</f>
      </c>
      <c r="W105" s="8">
        <f>SUM(E105:P105)</f>
      </c>
      <c r="X105" s="8">
        <f>SUM(Q105:U105)</f>
      </c>
      <c r="Y105" s="8">
        <f>AVERAGE(S105:U105)</f>
      </c>
      <c r="Z105" s="8">
        <f>AVERAGE(P105:U105)</f>
      </c>
      <c r="AA105" s="8">
        <f>AVERAGE(M105:U105)</f>
      </c>
      <c r="AB105" s="4">
        <f>IFERROR((Y105*2)/(Z105+AA105), 0)</f>
      </c>
      <c r="AC105" s="4">
        <f>IFERROR(X105/SUM(E105:I105), 0)</f>
      </c>
      <c r="AD105" s="4">
        <f>IFERROR(X105/SUM(E105:I105), 0)</f>
      </c>
      <c r="AE105" s="4">
        <f>IFERROR(U105/I105, 0)</f>
      </c>
    </row>
    <row r="106" ht="22" customHeight="1" spans="4:31" x14ac:dyDescent="0.25">
      <c r="D106" s="5" t="s">
        <v>160</v>
      </c>
      <c r="E106" s="9">
        <f>SUM(E4:E105)</f>
      </c>
      <c r="F106" s="9">
        <f>SUM(F4:F105)</f>
      </c>
      <c r="G106" s="9">
        <f>SUM(G4:G105)</f>
      </c>
      <c r="H106" s="9">
        <f>SUM(H4:H105)</f>
      </c>
      <c r="I106" s="9">
        <f>SUM(I4:I105)</f>
      </c>
      <c r="J106" s="9">
        <f>SUM(J4:J105)</f>
      </c>
      <c r="K106" s="9">
        <f>SUM(K4:K105)</f>
      </c>
      <c r="L106" s="9">
        <f>SUM(L4:L105)</f>
      </c>
      <c r="M106" s="9">
        <f>SUM(M4:M105)</f>
      </c>
      <c r="N106" s="9">
        <f>SUM(N4:N105)</f>
      </c>
      <c r="O106" s="9">
        <f>SUM(O4:O105)</f>
      </c>
      <c r="P106" s="9">
        <f>SUM(P4:P105)</f>
      </c>
      <c r="Q106" s="9">
        <f>SUM(Q4:Q105)</f>
      </c>
      <c r="R106" s="9">
        <f>SUM(R4:R105)</f>
      </c>
      <c r="S106" s="9">
        <f>SUM(S4:S105)</f>
      </c>
      <c r="T106" s="9">
        <f>SUM(T4:T105)</f>
      </c>
      <c r="U106" s="9">
        <f>SUM(U4:U105)</f>
      </c>
      <c r="W106" s="9">
        <f>SUM(W4:W105)</f>
      </c>
      <c r="X106" s="9">
        <f>SUM(X4:X105)</f>
      </c>
      <c r="Y106" s="9">
        <f>SUM(Y4:Y105)</f>
      </c>
      <c r="Z106" s="9">
        <f>SUM(Z4:Z105)</f>
      </c>
      <c r="AA106" s="9">
        <f>SUM(AA4:AA105)</f>
      </c>
      <c r="AB106" s="7">
        <f>IFERROR((Y106*2)/(Z106+AA106), 0)</f>
      </c>
      <c r="AC106" s="7">
        <f>IFERROR(X106/SUM(E106:I106), 0)</f>
      </c>
      <c r="AD106" s="7">
        <f>IFERROR(X106/SUM(E106:I106), 0)</f>
      </c>
      <c r="AE106" s="7">
        <f>IFERROR(U106/I106, 0)</f>
      </c>
    </row>
  </sheetData>
  <dataValidations count="1">
    <dataValidation type="list" allowBlank="1" sqref="B1">
      <formula1>Config!$B$2:$B$2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style="12" customWidth="1"/>
    <col min="3" max="3" width="10" customWidth="1"/>
    <col min="4" max="4" width="48" customWidth="1"/>
    <col min="5" max="5" width="10" customWidth="1"/>
    <col min="6" max="6" width="18" customWidth="1"/>
    <col min="7" max="7" width="10" style="13" customWidth="1"/>
    <col min="8" max="8" width="15" style="14" customWidth="1"/>
    <col min="9" max="10" width="12" style="13" customWidth="1"/>
  </cols>
  <sheetData>
    <row r="1" ht="24" customHeight="1" spans="1:10" x14ac:dyDescent="0.25">
      <c r="A1" s="1" t="s">
        <v>172</v>
      </c>
      <c r="B1" s="15" t="s">
        <v>173</v>
      </c>
      <c r="C1" s="1" t="s">
        <v>174</v>
      </c>
      <c r="D1" s="1" t="s">
        <v>175</v>
      </c>
      <c r="E1" s="1" t="s">
        <v>107</v>
      </c>
      <c r="F1" s="1" t="s">
        <v>176</v>
      </c>
      <c r="G1" s="16" t="s">
        <v>177</v>
      </c>
      <c r="H1" s="17" t="s">
        <v>178</v>
      </c>
      <c r="I1" s="16" t="s">
        <v>179</v>
      </c>
      <c r="J1" s="16" t="s">
        <v>180</v>
      </c>
    </row>
    <row r="2" spans="1:10" x14ac:dyDescent="0.25">
      <c r="A2" s="2">
        <v>2</v>
      </c>
      <c r="B2" s="18">
        <v>46163.074435057875</v>
      </c>
      <c r="C2" s="2" t="s">
        <v>124</v>
      </c>
      <c r="D2" s="2" t="s">
        <v>36</v>
      </c>
      <c r="E2" s="2" t="s">
        <v>141</v>
      </c>
      <c r="F2" s="2" t="s">
        <v>3</v>
      </c>
      <c r="G2" s="3">
        <v>0</v>
      </c>
      <c r="H2" s="8">
        <v>24</v>
      </c>
      <c r="I2" s="3">
        <v>20160000</v>
      </c>
      <c r="J2" s="3">
        <v>20160000</v>
      </c>
    </row>
    <row r="3" spans="1:10" x14ac:dyDescent="0.25">
      <c r="A3" s="2">
        <v>3</v>
      </c>
      <c r="B3" s="18">
        <v>46163.074435057875</v>
      </c>
      <c r="C3" s="2" t="s">
        <v>124</v>
      </c>
      <c r="D3" s="2" t="s">
        <v>36</v>
      </c>
      <c r="E3" s="2" t="s">
        <v>141</v>
      </c>
      <c r="F3" s="2" t="s">
        <v>3</v>
      </c>
      <c r="G3" s="3">
        <v>0</v>
      </c>
      <c r="H3" s="8">
        <v>4</v>
      </c>
      <c r="I3" s="3">
        <v>3360000</v>
      </c>
      <c r="J3" s="3">
        <v>0</v>
      </c>
    </row>
    <row r="4" spans="1:10" x14ac:dyDescent="0.25">
      <c r="A4" s="2">
        <v>4</v>
      </c>
      <c r="B4" s="18">
        <v>46162.39062881944</v>
      </c>
      <c r="C4" s="2" t="s">
        <v>124</v>
      </c>
      <c r="D4" s="2" t="s">
        <v>36</v>
      </c>
      <c r="E4" s="2" t="s">
        <v>141</v>
      </c>
      <c r="F4" s="2" t="s">
        <v>3</v>
      </c>
      <c r="G4" s="3">
        <v>0</v>
      </c>
      <c r="H4" s="8">
        <v>12</v>
      </c>
      <c r="I4" s="3">
        <v>10080000</v>
      </c>
      <c r="J4" s="3">
        <v>10080000</v>
      </c>
    </row>
    <row r="5" spans="1:10" x14ac:dyDescent="0.25">
      <c r="A5" s="2">
        <v>5</v>
      </c>
      <c r="B5" s="18">
        <v>46162.39062881944</v>
      </c>
      <c r="C5" s="2" t="s">
        <v>124</v>
      </c>
      <c r="D5" s="2" t="s">
        <v>36</v>
      </c>
      <c r="E5" s="2" t="s">
        <v>141</v>
      </c>
      <c r="F5" s="2" t="s">
        <v>3</v>
      </c>
      <c r="G5" s="3">
        <v>0</v>
      </c>
      <c r="H5" s="8">
        <v>2</v>
      </c>
      <c r="I5" s="3">
        <v>1680000</v>
      </c>
      <c r="J5" s="3">
        <v>0</v>
      </c>
    </row>
    <row r="6" spans="1:10" x14ac:dyDescent="0.25">
      <c r="A6" s="2">
        <v>6</v>
      </c>
      <c r="B6" s="18">
        <v>46162.14632546296</v>
      </c>
      <c r="C6" s="2" t="s">
        <v>124</v>
      </c>
      <c r="D6" s="2" t="s">
        <v>16</v>
      </c>
      <c r="E6" s="2" t="s">
        <v>141</v>
      </c>
      <c r="F6" s="2" t="s">
        <v>3</v>
      </c>
      <c r="G6" s="3">
        <v>0</v>
      </c>
      <c r="H6" s="8">
        <v>128</v>
      </c>
      <c r="I6" s="3">
        <v>107520000</v>
      </c>
      <c r="J6" s="3">
        <v>107520000</v>
      </c>
    </row>
    <row r="7" spans="1:10" x14ac:dyDescent="0.25">
      <c r="A7" s="2">
        <v>7</v>
      </c>
      <c r="B7" s="18">
        <v>46162.14632546296</v>
      </c>
      <c r="C7" s="2" t="s">
        <v>124</v>
      </c>
      <c r="D7" s="2" t="s">
        <v>16</v>
      </c>
      <c r="E7" s="2" t="s">
        <v>141</v>
      </c>
      <c r="F7" s="2" t="s">
        <v>3</v>
      </c>
      <c r="G7" s="3">
        <v>0</v>
      </c>
      <c r="H7" s="8">
        <v>32</v>
      </c>
      <c r="I7" s="3">
        <v>26880000</v>
      </c>
      <c r="J7" s="3">
        <v>0</v>
      </c>
    </row>
    <row r="8" spans="1:10" x14ac:dyDescent="0.25">
      <c r="A8" s="2">
        <v>8</v>
      </c>
      <c r="B8" s="18">
        <v>46161.36079255787</v>
      </c>
      <c r="C8" s="2" t="s">
        <v>124</v>
      </c>
      <c r="D8" s="2" t="s">
        <v>32</v>
      </c>
      <c r="E8" s="2" t="s">
        <v>141</v>
      </c>
      <c r="F8" s="2" t="s">
        <v>3</v>
      </c>
      <c r="G8" s="3">
        <v>0</v>
      </c>
      <c r="H8" s="8">
        <v>192</v>
      </c>
      <c r="I8" s="3">
        <v>161280000</v>
      </c>
      <c r="J8" s="3">
        <v>153216000</v>
      </c>
    </row>
    <row r="9" spans="1:10" x14ac:dyDescent="0.25">
      <c r="A9" s="2">
        <v>9</v>
      </c>
      <c r="B9" s="18">
        <v>46161.36079255787</v>
      </c>
      <c r="C9" s="2" t="s">
        <v>124</v>
      </c>
      <c r="D9" s="2" t="s">
        <v>32</v>
      </c>
      <c r="E9" s="2" t="s">
        <v>141</v>
      </c>
      <c r="F9" s="2" t="s">
        <v>3</v>
      </c>
      <c r="G9" s="3">
        <v>0</v>
      </c>
      <c r="H9" s="8">
        <v>48</v>
      </c>
      <c r="I9" s="3">
        <v>40320000</v>
      </c>
      <c r="J9" s="3">
        <v>0</v>
      </c>
    </row>
    <row r="10" spans="1:10" x14ac:dyDescent="0.25">
      <c r="A10" s="2">
        <v>10</v>
      </c>
      <c r="B10" s="18">
        <v>46161.157550069445</v>
      </c>
      <c r="C10" s="2" t="s">
        <v>124</v>
      </c>
      <c r="D10" s="2" t="s">
        <v>4</v>
      </c>
      <c r="E10" s="2" t="s">
        <v>141</v>
      </c>
      <c r="F10" s="2" t="s">
        <v>3</v>
      </c>
      <c r="G10" s="3">
        <v>0</v>
      </c>
      <c r="H10" s="8">
        <v>18</v>
      </c>
      <c r="I10" s="3">
        <v>15120000</v>
      </c>
      <c r="J10" s="3">
        <v>15120000</v>
      </c>
    </row>
    <row r="11" spans="1:10" x14ac:dyDescent="0.25">
      <c r="A11" s="2">
        <v>11</v>
      </c>
      <c r="B11" s="18">
        <v>46161.157550069445</v>
      </c>
      <c r="C11" s="2" t="s">
        <v>124</v>
      </c>
      <c r="D11" s="2" t="s">
        <v>4</v>
      </c>
      <c r="E11" s="2" t="s">
        <v>141</v>
      </c>
      <c r="F11" s="2" t="s">
        <v>3</v>
      </c>
      <c r="G11" s="3">
        <v>0</v>
      </c>
      <c r="H11" s="8">
        <v>3</v>
      </c>
      <c r="I11" s="3">
        <v>2520000</v>
      </c>
      <c r="J11" s="3">
        <v>0</v>
      </c>
    </row>
    <row r="12" spans="1:10" x14ac:dyDescent="0.25">
      <c r="A12" s="2">
        <v>12</v>
      </c>
      <c r="B12" s="18">
        <v>46161.071862233795</v>
      </c>
      <c r="C12" s="2" t="s">
        <v>124</v>
      </c>
      <c r="D12" s="2" t="s">
        <v>67</v>
      </c>
      <c r="E12" s="2" t="s">
        <v>141</v>
      </c>
      <c r="F12" s="2" t="s">
        <v>3</v>
      </c>
      <c r="G12" s="3">
        <v>0</v>
      </c>
      <c r="H12" s="8">
        <v>64</v>
      </c>
      <c r="I12" s="3">
        <v>53760000</v>
      </c>
      <c r="J12" s="3">
        <v>53760000</v>
      </c>
    </row>
    <row r="13" spans="1:10" x14ac:dyDescent="0.25">
      <c r="A13" s="2">
        <v>13</v>
      </c>
      <c r="B13" s="18">
        <v>46161.071862233795</v>
      </c>
      <c r="C13" s="2" t="s">
        <v>124</v>
      </c>
      <c r="D13" s="2" t="s">
        <v>67</v>
      </c>
      <c r="E13" s="2" t="s">
        <v>141</v>
      </c>
      <c r="F13" s="2" t="s">
        <v>3</v>
      </c>
      <c r="G13" s="3">
        <v>0</v>
      </c>
      <c r="H13" s="8">
        <v>16</v>
      </c>
      <c r="I13" s="3">
        <v>13440000</v>
      </c>
      <c r="J13" s="3">
        <v>0</v>
      </c>
    </row>
    <row r="14" spans="1:10" x14ac:dyDescent="0.25">
      <c r="A14" s="2">
        <v>14</v>
      </c>
      <c r="B14" s="18">
        <v>46160.336745740744</v>
      </c>
      <c r="C14" s="2" t="s">
        <v>124</v>
      </c>
      <c r="D14" s="2" t="s">
        <v>58</v>
      </c>
      <c r="E14" s="2" t="s">
        <v>141</v>
      </c>
      <c r="F14" s="2" t="s">
        <v>3</v>
      </c>
      <c r="G14" s="3">
        <v>0</v>
      </c>
      <c r="H14" s="8">
        <v>256</v>
      </c>
      <c r="I14" s="3">
        <v>215040000</v>
      </c>
      <c r="J14" s="3">
        <v>215040000</v>
      </c>
    </row>
    <row r="15" spans="1:10" x14ac:dyDescent="0.25">
      <c r="A15" s="2">
        <v>15</v>
      </c>
      <c r="B15" s="18">
        <v>46160.336745740744</v>
      </c>
      <c r="C15" s="2" t="s">
        <v>124</v>
      </c>
      <c r="D15" s="2" t="s">
        <v>58</v>
      </c>
      <c r="E15" s="2" t="s">
        <v>141</v>
      </c>
      <c r="F15" s="2" t="s">
        <v>3</v>
      </c>
      <c r="G15" s="3">
        <v>0</v>
      </c>
      <c r="H15" s="8">
        <v>64</v>
      </c>
      <c r="I15" s="3">
        <v>53760000</v>
      </c>
      <c r="J15" s="3">
        <v>0</v>
      </c>
    </row>
    <row r="16" spans="1:10" x14ac:dyDescent="0.25">
      <c r="A16" s="2">
        <v>16</v>
      </c>
      <c r="B16" s="18">
        <v>46157.31466395833</v>
      </c>
      <c r="C16" s="2" t="s">
        <v>124</v>
      </c>
      <c r="D16" s="2" t="s">
        <v>76</v>
      </c>
      <c r="E16" s="2" t="s">
        <v>141</v>
      </c>
      <c r="F16" s="2" t="s">
        <v>3</v>
      </c>
      <c r="G16" s="3">
        <v>0</v>
      </c>
      <c r="H16" s="8">
        <v>18</v>
      </c>
      <c r="I16" s="3">
        <v>15120000</v>
      </c>
      <c r="J16" s="3">
        <v>14869337</v>
      </c>
    </row>
    <row r="17" spans="1:10" x14ac:dyDescent="0.25">
      <c r="A17" s="2">
        <v>17</v>
      </c>
      <c r="B17" s="18">
        <v>46157.31466395833</v>
      </c>
      <c r="C17" s="2" t="s">
        <v>124</v>
      </c>
      <c r="D17" s="2" t="s">
        <v>76</v>
      </c>
      <c r="E17" s="2" t="s">
        <v>141</v>
      </c>
      <c r="F17" s="2" t="s">
        <v>3</v>
      </c>
      <c r="G17" s="3">
        <v>0</v>
      </c>
      <c r="H17" s="8">
        <v>3</v>
      </c>
      <c r="I17" s="3">
        <v>2520000</v>
      </c>
      <c r="J17" s="3">
        <v>0</v>
      </c>
    </row>
    <row r="18" spans="1:10" x14ac:dyDescent="0.25">
      <c r="A18" s="2">
        <v>18</v>
      </c>
      <c r="B18" s="18">
        <v>46157.31383549768</v>
      </c>
      <c r="C18" s="2" t="s">
        <v>124</v>
      </c>
      <c r="D18" s="2" t="s">
        <v>74</v>
      </c>
      <c r="E18" s="2" t="s">
        <v>141</v>
      </c>
      <c r="F18" s="2" t="s">
        <v>3</v>
      </c>
      <c r="G18" s="3">
        <v>0</v>
      </c>
      <c r="H18" s="8">
        <v>12</v>
      </c>
      <c r="I18" s="3">
        <v>10080000</v>
      </c>
      <c r="J18" s="3">
        <v>10080000</v>
      </c>
    </row>
    <row r="19" spans="1:10" x14ac:dyDescent="0.25">
      <c r="A19" s="2">
        <v>19</v>
      </c>
      <c r="B19" s="18">
        <v>46157.31383549768</v>
      </c>
      <c r="C19" s="2" t="s">
        <v>124</v>
      </c>
      <c r="D19" s="2" t="s">
        <v>74</v>
      </c>
      <c r="E19" s="2" t="s">
        <v>141</v>
      </c>
      <c r="F19" s="2" t="s">
        <v>3</v>
      </c>
      <c r="G19" s="3">
        <v>0</v>
      </c>
      <c r="H19" s="8">
        <v>2</v>
      </c>
      <c r="I19" s="3">
        <v>1680000</v>
      </c>
      <c r="J19" s="3">
        <v>0</v>
      </c>
    </row>
    <row r="20" spans="1:10" x14ac:dyDescent="0.25">
      <c r="A20" s="2">
        <v>20</v>
      </c>
      <c r="B20" s="18">
        <v>46157.19239733796</v>
      </c>
      <c r="C20" s="2" t="s">
        <v>124</v>
      </c>
      <c r="D20" s="2" t="s">
        <v>20</v>
      </c>
      <c r="E20" s="2" t="s">
        <v>141</v>
      </c>
      <c r="F20" s="2" t="s">
        <v>3</v>
      </c>
      <c r="G20" s="3">
        <v>0</v>
      </c>
      <c r="H20" s="8">
        <v>36</v>
      </c>
      <c r="I20" s="3">
        <v>30240000</v>
      </c>
      <c r="J20" s="3">
        <v>30240000</v>
      </c>
    </row>
    <row r="21" spans="1:10" x14ac:dyDescent="0.25">
      <c r="A21" s="2">
        <v>21</v>
      </c>
      <c r="B21" s="18">
        <v>46157.19239733796</v>
      </c>
      <c r="C21" s="2" t="s">
        <v>124</v>
      </c>
      <c r="D21" s="2" t="s">
        <v>20</v>
      </c>
      <c r="E21" s="2" t="s">
        <v>141</v>
      </c>
      <c r="F21" s="2" t="s">
        <v>3</v>
      </c>
      <c r="G21" s="3">
        <v>0</v>
      </c>
      <c r="H21" s="8">
        <v>6</v>
      </c>
      <c r="I21" s="3">
        <v>5040000</v>
      </c>
      <c r="J21" s="3">
        <v>0</v>
      </c>
    </row>
    <row r="22" spans="1:10" x14ac:dyDescent="0.25">
      <c r="A22" s="2">
        <v>22</v>
      </c>
      <c r="B22" s="18">
        <v>46157.07758460648</v>
      </c>
      <c r="C22" s="2" t="s">
        <v>124</v>
      </c>
      <c r="D22" s="2" t="s">
        <v>36</v>
      </c>
      <c r="E22" s="2" t="s">
        <v>141</v>
      </c>
      <c r="F22" s="2" t="s">
        <v>3</v>
      </c>
      <c r="G22" s="3">
        <v>0</v>
      </c>
      <c r="H22" s="8">
        <v>12</v>
      </c>
      <c r="I22" s="3">
        <v>10080000</v>
      </c>
      <c r="J22" s="3">
        <v>10080000</v>
      </c>
    </row>
    <row r="23" spans="1:10" x14ac:dyDescent="0.25">
      <c r="A23" s="2">
        <v>23</v>
      </c>
      <c r="B23" s="18">
        <v>46157.07758460648</v>
      </c>
      <c r="C23" s="2" t="s">
        <v>124</v>
      </c>
      <c r="D23" s="2" t="s">
        <v>36</v>
      </c>
      <c r="E23" s="2" t="s">
        <v>141</v>
      </c>
      <c r="F23" s="2" t="s">
        <v>3</v>
      </c>
      <c r="G23" s="3">
        <v>0</v>
      </c>
      <c r="H23" s="8">
        <v>2</v>
      </c>
      <c r="I23" s="3">
        <v>1680000</v>
      </c>
      <c r="J23" s="3">
        <v>0</v>
      </c>
    </row>
    <row r="24" spans="1:10" x14ac:dyDescent="0.25">
      <c r="A24" s="2">
        <v>24</v>
      </c>
      <c r="B24" s="18">
        <v>46156.36699293982</v>
      </c>
      <c r="C24" s="2" t="s">
        <v>124</v>
      </c>
      <c r="D24" s="2" t="s">
        <v>92</v>
      </c>
      <c r="E24" s="2" t="s">
        <v>141</v>
      </c>
      <c r="F24" s="2" t="s">
        <v>3</v>
      </c>
      <c r="G24" s="3">
        <v>0</v>
      </c>
      <c r="H24" s="8">
        <v>1</v>
      </c>
      <c r="I24" s="3">
        <v>840000</v>
      </c>
      <c r="J24" s="3">
        <v>0</v>
      </c>
    </row>
    <row r="25" spans="1:10" x14ac:dyDescent="0.25">
      <c r="A25" s="2">
        <v>25</v>
      </c>
      <c r="B25" s="18">
        <v>46156.332303738425</v>
      </c>
      <c r="C25" s="2" t="s">
        <v>124</v>
      </c>
      <c r="D25" s="2" t="s">
        <v>24</v>
      </c>
      <c r="E25" s="2" t="s">
        <v>141</v>
      </c>
      <c r="F25" s="2" t="s">
        <v>3</v>
      </c>
      <c r="G25" s="3">
        <v>0</v>
      </c>
      <c r="H25" s="8">
        <v>64</v>
      </c>
      <c r="I25" s="3">
        <v>53760000</v>
      </c>
      <c r="J25" s="3">
        <v>51072000</v>
      </c>
    </row>
    <row r="26" spans="1:10" x14ac:dyDescent="0.25">
      <c r="A26" s="2">
        <v>26</v>
      </c>
      <c r="B26" s="18">
        <v>46156.332303738425</v>
      </c>
      <c r="C26" s="2" t="s">
        <v>124</v>
      </c>
      <c r="D26" s="2" t="s">
        <v>24</v>
      </c>
      <c r="E26" s="2" t="s">
        <v>141</v>
      </c>
      <c r="F26" s="2" t="s">
        <v>3</v>
      </c>
      <c r="G26" s="3">
        <v>0</v>
      </c>
      <c r="H26" s="8">
        <v>16</v>
      </c>
      <c r="I26" s="3">
        <v>13440000</v>
      </c>
      <c r="J26" s="3">
        <v>0</v>
      </c>
    </row>
    <row r="27" spans="1:10" x14ac:dyDescent="0.25">
      <c r="A27" s="2">
        <v>27</v>
      </c>
      <c r="B27" s="18">
        <v>46156.14437337963</v>
      </c>
      <c r="C27" s="2" t="s">
        <v>124</v>
      </c>
      <c r="D27" s="2" t="s">
        <v>85</v>
      </c>
      <c r="E27" s="2" t="s">
        <v>141</v>
      </c>
      <c r="F27" s="2" t="s">
        <v>3</v>
      </c>
      <c r="G27" s="3">
        <v>0</v>
      </c>
      <c r="H27" s="8">
        <v>64</v>
      </c>
      <c r="I27" s="3">
        <v>53760000</v>
      </c>
      <c r="J27" s="3">
        <v>53760000</v>
      </c>
    </row>
    <row r="28" spans="1:10" x14ac:dyDescent="0.25">
      <c r="A28" s="2">
        <v>28</v>
      </c>
      <c r="B28" s="18">
        <v>46156.14437337963</v>
      </c>
      <c r="C28" s="2" t="s">
        <v>124</v>
      </c>
      <c r="D28" s="2" t="s">
        <v>85</v>
      </c>
      <c r="E28" s="2" t="s">
        <v>141</v>
      </c>
      <c r="F28" s="2" t="s">
        <v>3</v>
      </c>
      <c r="G28" s="3">
        <v>0</v>
      </c>
      <c r="H28" s="8">
        <v>16</v>
      </c>
      <c r="I28" s="3">
        <v>13440000</v>
      </c>
      <c r="J28" s="3">
        <v>0</v>
      </c>
    </row>
    <row r="29" spans="1:10" x14ac:dyDescent="0.25">
      <c r="A29" s="2">
        <v>29</v>
      </c>
      <c r="B29" s="18">
        <v>46155.27855204861</v>
      </c>
      <c r="C29" s="2" t="s">
        <v>124</v>
      </c>
      <c r="D29" s="2" t="s">
        <v>75</v>
      </c>
      <c r="E29" s="2" t="s">
        <v>141</v>
      </c>
      <c r="F29" s="2" t="s">
        <v>3</v>
      </c>
      <c r="G29" s="3">
        <v>0</v>
      </c>
      <c r="H29" s="8">
        <v>64</v>
      </c>
      <c r="I29" s="3">
        <v>53760000</v>
      </c>
      <c r="J29" s="3">
        <v>53760000</v>
      </c>
    </row>
    <row r="30" spans="1:10" x14ac:dyDescent="0.25">
      <c r="A30" s="2">
        <v>30</v>
      </c>
      <c r="B30" s="18">
        <v>46155.27855204861</v>
      </c>
      <c r="C30" s="2" t="s">
        <v>124</v>
      </c>
      <c r="D30" s="2" t="s">
        <v>75</v>
      </c>
      <c r="E30" s="2" t="s">
        <v>141</v>
      </c>
      <c r="F30" s="2" t="s">
        <v>3</v>
      </c>
      <c r="G30" s="3">
        <v>0</v>
      </c>
      <c r="H30" s="8">
        <v>16</v>
      </c>
      <c r="I30" s="3">
        <v>13440000</v>
      </c>
      <c r="J30" s="3">
        <v>0</v>
      </c>
    </row>
    <row r="31" spans="1:10" x14ac:dyDescent="0.25">
      <c r="A31" s="2">
        <v>31</v>
      </c>
      <c r="B31" s="18">
        <v>46155.188071331024</v>
      </c>
      <c r="C31" s="2" t="s">
        <v>124</v>
      </c>
      <c r="D31" s="2" t="s">
        <v>58</v>
      </c>
      <c r="E31" s="2" t="s">
        <v>141</v>
      </c>
      <c r="F31" s="2" t="s">
        <v>3</v>
      </c>
      <c r="G31" s="3">
        <v>0</v>
      </c>
      <c r="H31" s="8">
        <v>256</v>
      </c>
      <c r="I31" s="3">
        <v>215040000</v>
      </c>
      <c r="J31" s="3">
        <v>215040000</v>
      </c>
    </row>
    <row r="32" spans="1:10" x14ac:dyDescent="0.25">
      <c r="A32" s="2">
        <v>32</v>
      </c>
      <c r="B32" s="18">
        <v>46155.188071331024</v>
      </c>
      <c r="C32" s="2" t="s">
        <v>124</v>
      </c>
      <c r="D32" s="2" t="s">
        <v>58</v>
      </c>
      <c r="E32" s="2" t="s">
        <v>141</v>
      </c>
      <c r="F32" s="2" t="s">
        <v>3</v>
      </c>
      <c r="G32" s="3">
        <v>0</v>
      </c>
      <c r="H32" s="8">
        <v>64</v>
      </c>
      <c r="I32" s="3">
        <v>53760000</v>
      </c>
      <c r="J32" s="3">
        <v>0</v>
      </c>
    </row>
    <row r="33" spans="1:10" x14ac:dyDescent="0.25">
      <c r="A33" s="2">
        <v>33</v>
      </c>
      <c r="B33" s="18">
        <v>46155.07338391204</v>
      </c>
      <c r="C33" s="2" t="s">
        <v>124</v>
      </c>
      <c r="D33" s="2" t="s">
        <v>13</v>
      </c>
      <c r="E33" s="2" t="s">
        <v>141</v>
      </c>
      <c r="F33" s="2" t="s">
        <v>3</v>
      </c>
      <c r="G33" s="3">
        <v>0</v>
      </c>
      <c r="H33" s="8">
        <v>128</v>
      </c>
      <c r="I33" s="3">
        <v>107520000</v>
      </c>
      <c r="J33" s="3">
        <v>102144000</v>
      </c>
    </row>
    <row r="34" spans="1:10" x14ac:dyDescent="0.25">
      <c r="A34" s="2">
        <v>34</v>
      </c>
      <c r="B34" s="18">
        <v>46155.07338391204</v>
      </c>
      <c r="C34" s="2" t="s">
        <v>124</v>
      </c>
      <c r="D34" s="2" t="s">
        <v>13</v>
      </c>
      <c r="E34" s="2" t="s">
        <v>141</v>
      </c>
      <c r="F34" s="2" t="s">
        <v>3</v>
      </c>
      <c r="G34" s="3">
        <v>0</v>
      </c>
      <c r="H34" s="8">
        <v>32</v>
      </c>
      <c r="I34" s="3">
        <v>26880000</v>
      </c>
      <c r="J34" s="3">
        <v>0</v>
      </c>
    </row>
    <row r="35" spans="1:10" x14ac:dyDescent="0.25">
      <c r="A35" s="2">
        <v>35</v>
      </c>
      <c r="B35" s="18">
        <v>46154.21465592593</v>
      </c>
      <c r="C35" s="2" t="s">
        <v>124</v>
      </c>
      <c r="D35" s="2" t="s">
        <v>96</v>
      </c>
      <c r="E35" s="2" t="s">
        <v>141</v>
      </c>
      <c r="F35" s="2" t="s">
        <v>3</v>
      </c>
      <c r="G35" s="3">
        <v>0</v>
      </c>
      <c r="H35" s="8">
        <v>128</v>
      </c>
      <c r="I35" s="3">
        <v>107520000</v>
      </c>
      <c r="J35" s="3">
        <v>107520000</v>
      </c>
    </row>
    <row r="36" spans="1:10" x14ac:dyDescent="0.25">
      <c r="A36" s="2">
        <v>36</v>
      </c>
      <c r="B36" s="18">
        <v>46154.21465592593</v>
      </c>
      <c r="C36" s="2" t="s">
        <v>124</v>
      </c>
      <c r="D36" s="2" t="s">
        <v>96</v>
      </c>
      <c r="E36" s="2" t="s">
        <v>141</v>
      </c>
      <c r="F36" s="2" t="s">
        <v>3</v>
      </c>
      <c r="G36" s="3">
        <v>0</v>
      </c>
      <c r="H36" s="8">
        <v>32</v>
      </c>
      <c r="I36" s="3">
        <v>26880000</v>
      </c>
      <c r="J36" s="3">
        <v>0</v>
      </c>
    </row>
    <row r="37" spans="1:10" x14ac:dyDescent="0.25">
      <c r="A37" s="2">
        <v>37</v>
      </c>
      <c r="B37" s="18">
        <v>46154.15707421296</v>
      </c>
      <c r="C37" s="2" t="s">
        <v>124</v>
      </c>
      <c r="D37" s="2" t="s">
        <v>28</v>
      </c>
      <c r="E37" s="2" t="s">
        <v>141</v>
      </c>
      <c r="F37" s="2" t="s">
        <v>3</v>
      </c>
      <c r="G37" s="3">
        <v>0</v>
      </c>
      <c r="H37" s="8">
        <v>64</v>
      </c>
      <c r="I37" s="3">
        <v>53760000</v>
      </c>
      <c r="J37" s="3">
        <v>53760000</v>
      </c>
    </row>
    <row r="38" spans="1:10" x14ac:dyDescent="0.25">
      <c r="A38" s="2">
        <v>38</v>
      </c>
      <c r="B38" s="18">
        <v>46154.15707421296</v>
      </c>
      <c r="C38" s="2" t="s">
        <v>124</v>
      </c>
      <c r="D38" s="2" t="s">
        <v>28</v>
      </c>
      <c r="E38" s="2" t="s">
        <v>141</v>
      </c>
      <c r="F38" s="2" t="s">
        <v>3</v>
      </c>
      <c r="G38" s="3">
        <v>0</v>
      </c>
      <c r="H38" s="8">
        <v>16</v>
      </c>
      <c r="I38" s="3">
        <v>13440000</v>
      </c>
      <c r="J38" s="3">
        <v>0</v>
      </c>
    </row>
    <row r="39" spans="1:10" x14ac:dyDescent="0.25">
      <c r="A39" s="2">
        <v>39</v>
      </c>
      <c r="B39" s="18">
        <v>46154.06844456018</v>
      </c>
      <c r="C39" s="2" t="s">
        <v>124</v>
      </c>
      <c r="D39" s="2" t="s">
        <v>36</v>
      </c>
      <c r="E39" s="2" t="s">
        <v>141</v>
      </c>
      <c r="F39" s="2" t="s">
        <v>3</v>
      </c>
      <c r="G39" s="3">
        <v>0</v>
      </c>
      <c r="H39" s="8">
        <v>12</v>
      </c>
      <c r="I39" s="3">
        <v>10080000</v>
      </c>
      <c r="J39" s="3">
        <v>10080000</v>
      </c>
    </row>
    <row r="40" spans="1:10" x14ac:dyDescent="0.25">
      <c r="A40" s="2">
        <v>40</v>
      </c>
      <c r="B40" s="18">
        <v>46154.06844456018</v>
      </c>
      <c r="C40" s="2" t="s">
        <v>124</v>
      </c>
      <c r="D40" s="2" t="s">
        <v>36</v>
      </c>
      <c r="E40" s="2" t="s">
        <v>141</v>
      </c>
      <c r="F40" s="2" t="s">
        <v>3</v>
      </c>
      <c r="G40" s="3">
        <v>0</v>
      </c>
      <c r="H40" s="8">
        <v>2</v>
      </c>
      <c r="I40" s="3">
        <v>1680000</v>
      </c>
      <c r="J40" s="3">
        <v>0</v>
      </c>
    </row>
    <row r="41" spans="1:10" x14ac:dyDescent="0.25">
      <c r="A41" s="2">
        <v>41</v>
      </c>
      <c r="B41" s="18">
        <v>46150.169153703704</v>
      </c>
      <c r="C41" s="2" t="s">
        <v>124</v>
      </c>
      <c r="D41" s="2" t="s">
        <v>66</v>
      </c>
      <c r="E41" s="2" t="s">
        <v>141</v>
      </c>
      <c r="F41" s="2" t="s">
        <v>3</v>
      </c>
      <c r="G41" s="3">
        <v>0</v>
      </c>
      <c r="H41" s="8">
        <v>32</v>
      </c>
      <c r="I41" s="3">
        <v>26880000</v>
      </c>
      <c r="J41" s="3">
        <v>0</v>
      </c>
    </row>
    <row r="42" spans="1:10" x14ac:dyDescent="0.25">
      <c r="A42" s="2">
        <v>42</v>
      </c>
      <c r="B42" s="18">
        <v>46150.169153703704</v>
      </c>
      <c r="C42" s="2" t="s">
        <v>124</v>
      </c>
      <c r="D42" s="2" t="s">
        <v>66</v>
      </c>
      <c r="E42" s="2" t="s">
        <v>141</v>
      </c>
      <c r="F42" s="2" t="s">
        <v>3</v>
      </c>
      <c r="G42" s="3">
        <v>0</v>
      </c>
      <c r="H42" s="8">
        <v>128</v>
      </c>
      <c r="I42" s="3">
        <v>107520000</v>
      </c>
      <c r="J42" s="3">
        <v>107520000</v>
      </c>
    </row>
    <row r="43" spans="1:10" x14ac:dyDescent="0.25">
      <c r="A43" s="2">
        <v>43</v>
      </c>
      <c r="B43" s="18">
        <v>46148.2625587963</v>
      </c>
      <c r="C43" s="2" t="s">
        <v>124</v>
      </c>
      <c r="D43" s="2" t="s">
        <v>91</v>
      </c>
      <c r="E43" s="2" t="s">
        <v>141</v>
      </c>
      <c r="F43" s="2" t="s">
        <v>3</v>
      </c>
      <c r="G43" s="3">
        <v>0</v>
      </c>
      <c r="H43" s="8">
        <v>12</v>
      </c>
      <c r="I43" s="3">
        <v>10080000</v>
      </c>
      <c r="J43" s="3">
        <v>10080000</v>
      </c>
    </row>
    <row r="44" spans="1:10" x14ac:dyDescent="0.25">
      <c r="A44" s="2">
        <v>44</v>
      </c>
      <c r="B44" s="18">
        <v>46148.2625587963</v>
      </c>
      <c r="C44" s="2" t="s">
        <v>124</v>
      </c>
      <c r="D44" s="2" t="s">
        <v>91</v>
      </c>
      <c r="E44" s="2" t="s">
        <v>141</v>
      </c>
      <c r="F44" s="2" t="s">
        <v>3</v>
      </c>
      <c r="G44" s="3">
        <v>0</v>
      </c>
      <c r="H44" s="8">
        <v>2</v>
      </c>
      <c r="I44" s="3">
        <v>1680000</v>
      </c>
      <c r="J44" s="3">
        <v>0</v>
      </c>
    </row>
    <row r="45" spans="1:10" x14ac:dyDescent="0.25">
      <c r="A45" s="2">
        <v>45</v>
      </c>
      <c r="B45" s="18">
        <v>46148.2528628125</v>
      </c>
      <c r="C45" s="2" t="s">
        <v>124</v>
      </c>
      <c r="D45" s="2" t="s">
        <v>12</v>
      </c>
      <c r="E45" s="2" t="s">
        <v>141</v>
      </c>
      <c r="F45" s="2" t="s">
        <v>3</v>
      </c>
      <c r="G45" s="3">
        <v>0</v>
      </c>
      <c r="H45" s="8">
        <v>128</v>
      </c>
      <c r="I45" s="3">
        <v>107520000</v>
      </c>
      <c r="J45" s="3">
        <v>107520000</v>
      </c>
    </row>
    <row r="46" spans="1:10" x14ac:dyDescent="0.25">
      <c r="A46" s="2">
        <v>46</v>
      </c>
      <c r="B46" s="18">
        <v>46148.2528628125</v>
      </c>
      <c r="C46" s="2" t="s">
        <v>124</v>
      </c>
      <c r="D46" s="2" t="s">
        <v>12</v>
      </c>
      <c r="E46" s="2" t="s">
        <v>141</v>
      </c>
      <c r="F46" s="2" t="s">
        <v>3</v>
      </c>
      <c r="G46" s="3">
        <v>0</v>
      </c>
      <c r="H46" s="8">
        <v>32</v>
      </c>
      <c r="I46" s="3">
        <v>26880000</v>
      </c>
      <c r="J46" s="3">
        <v>0</v>
      </c>
    </row>
    <row r="47" spans="1:10" x14ac:dyDescent="0.25">
      <c r="A47" s="2">
        <v>47</v>
      </c>
      <c r="B47" s="18">
        <v>46148.10022490741</v>
      </c>
      <c r="C47" s="2" t="s">
        <v>124</v>
      </c>
      <c r="D47" s="2" t="s">
        <v>43</v>
      </c>
      <c r="E47" s="2" t="s">
        <v>141</v>
      </c>
      <c r="F47" s="2" t="s">
        <v>3</v>
      </c>
      <c r="G47" s="3">
        <v>0</v>
      </c>
      <c r="H47" s="8">
        <v>64</v>
      </c>
      <c r="I47" s="3">
        <v>53760000</v>
      </c>
      <c r="J47" s="3">
        <v>53760000</v>
      </c>
    </row>
    <row r="48" spans="1:10" x14ac:dyDescent="0.25">
      <c r="A48" s="2">
        <v>48</v>
      </c>
      <c r="B48" s="18">
        <v>46148.10022490741</v>
      </c>
      <c r="C48" s="2" t="s">
        <v>124</v>
      </c>
      <c r="D48" s="2" t="s">
        <v>43</v>
      </c>
      <c r="E48" s="2" t="s">
        <v>141</v>
      </c>
      <c r="F48" s="2" t="s">
        <v>3</v>
      </c>
      <c r="G48" s="3">
        <v>0</v>
      </c>
      <c r="H48" s="8">
        <v>16</v>
      </c>
      <c r="I48" s="3">
        <v>13440000</v>
      </c>
      <c r="J48" s="3">
        <v>0</v>
      </c>
    </row>
    <row r="49" spans="1:10" x14ac:dyDescent="0.25">
      <c r="A49" s="2">
        <v>49</v>
      </c>
      <c r="B49" s="18">
        <v>46148.07421226852</v>
      </c>
      <c r="C49" s="2" t="s">
        <v>124</v>
      </c>
      <c r="D49" s="2" t="s">
        <v>58</v>
      </c>
      <c r="E49" s="2" t="s">
        <v>141</v>
      </c>
      <c r="F49" s="2" t="s">
        <v>3</v>
      </c>
      <c r="G49" s="3">
        <v>0</v>
      </c>
      <c r="H49" s="8">
        <v>256</v>
      </c>
      <c r="I49" s="3">
        <v>215040000</v>
      </c>
      <c r="J49" s="3">
        <v>215040000</v>
      </c>
    </row>
    <row r="50" spans="1:10" x14ac:dyDescent="0.25">
      <c r="A50" s="2">
        <v>50</v>
      </c>
      <c r="B50" s="18">
        <v>46148.07421226852</v>
      </c>
      <c r="C50" s="2" t="s">
        <v>124</v>
      </c>
      <c r="D50" s="2" t="s">
        <v>58</v>
      </c>
      <c r="E50" s="2" t="s">
        <v>141</v>
      </c>
      <c r="F50" s="2" t="s">
        <v>3</v>
      </c>
      <c r="G50" s="3">
        <v>0</v>
      </c>
      <c r="H50" s="8">
        <v>64</v>
      </c>
      <c r="I50" s="3">
        <v>53760000</v>
      </c>
      <c r="J50" s="3">
        <v>0</v>
      </c>
    </row>
    <row r="51" spans="1:10" x14ac:dyDescent="0.25">
      <c r="A51" s="2">
        <v>51</v>
      </c>
      <c r="B51" s="18">
        <v>46147.38919884259</v>
      </c>
      <c r="C51" s="2" t="s">
        <v>124</v>
      </c>
      <c r="D51" s="2" t="s">
        <v>9</v>
      </c>
      <c r="E51" s="2" t="s">
        <v>141</v>
      </c>
      <c r="F51" s="2" t="s">
        <v>3</v>
      </c>
      <c r="G51" s="3">
        <v>0</v>
      </c>
      <c r="H51" s="8">
        <v>320</v>
      </c>
      <c r="I51" s="3">
        <v>268800000</v>
      </c>
      <c r="J51" s="3">
        <v>263424000</v>
      </c>
    </row>
    <row r="52" spans="1:10" x14ac:dyDescent="0.25">
      <c r="A52" s="2">
        <v>52</v>
      </c>
      <c r="B52" s="18">
        <v>46147.38919884259</v>
      </c>
      <c r="C52" s="2" t="s">
        <v>124</v>
      </c>
      <c r="D52" s="2" t="s">
        <v>9</v>
      </c>
      <c r="E52" s="2" t="s">
        <v>141</v>
      </c>
      <c r="F52" s="2" t="s">
        <v>3</v>
      </c>
      <c r="G52" s="3">
        <v>0</v>
      </c>
      <c r="H52" s="8">
        <v>80</v>
      </c>
      <c r="I52" s="3">
        <v>67200000</v>
      </c>
      <c r="J52" s="3">
        <v>0</v>
      </c>
    </row>
    <row r="53" spans="1:10" x14ac:dyDescent="0.25">
      <c r="A53" s="2">
        <v>53</v>
      </c>
      <c r="B53" s="18">
        <v>46147.15999050926</v>
      </c>
      <c r="C53" s="2" t="s">
        <v>124</v>
      </c>
      <c r="D53" s="2" t="s">
        <v>96</v>
      </c>
      <c r="E53" s="2" t="s">
        <v>141</v>
      </c>
      <c r="F53" s="2" t="s">
        <v>3</v>
      </c>
      <c r="G53" s="3">
        <v>0</v>
      </c>
      <c r="H53" s="8">
        <v>128</v>
      </c>
      <c r="I53" s="3">
        <v>107520000</v>
      </c>
      <c r="J53" s="3">
        <v>107520000</v>
      </c>
    </row>
    <row r="54" spans="1:10" x14ac:dyDescent="0.25">
      <c r="A54" s="2">
        <v>54</v>
      </c>
      <c r="B54" s="18">
        <v>46147.15999050926</v>
      </c>
      <c r="C54" s="2" t="s">
        <v>124</v>
      </c>
      <c r="D54" s="2" t="s">
        <v>96</v>
      </c>
      <c r="E54" s="2" t="s">
        <v>141</v>
      </c>
      <c r="F54" s="2" t="s">
        <v>3</v>
      </c>
      <c r="G54" s="3">
        <v>0</v>
      </c>
      <c r="H54" s="8">
        <v>32</v>
      </c>
      <c r="I54" s="3">
        <v>26880000</v>
      </c>
      <c r="J54" s="3">
        <v>0</v>
      </c>
    </row>
    <row r="55" spans="1:10" x14ac:dyDescent="0.25">
      <c r="A55" s="2">
        <v>55</v>
      </c>
      <c r="B55" s="18">
        <v>46147.07172515047</v>
      </c>
      <c r="C55" s="2" t="s">
        <v>124</v>
      </c>
      <c r="D55" s="2" t="s">
        <v>18</v>
      </c>
      <c r="E55" s="2" t="s">
        <v>141</v>
      </c>
      <c r="F55" s="2" t="s">
        <v>3</v>
      </c>
      <c r="G55" s="3">
        <v>0</v>
      </c>
      <c r="H55" s="8">
        <v>18</v>
      </c>
      <c r="I55" s="3">
        <v>15120000</v>
      </c>
      <c r="J55" s="3">
        <v>15120000</v>
      </c>
    </row>
    <row r="56" spans="1:10" x14ac:dyDescent="0.25">
      <c r="A56" s="2">
        <v>56</v>
      </c>
      <c r="B56" s="18">
        <v>46147.07172515047</v>
      </c>
      <c r="C56" s="2" t="s">
        <v>124</v>
      </c>
      <c r="D56" s="2" t="s">
        <v>18</v>
      </c>
      <c r="E56" s="2" t="s">
        <v>141</v>
      </c>
      <c r="F56" s="2" t="s">
        <v>3</v>
      </c>
      <c r="G56" s="3">
        <v>0</v>
      </c>
      <c r="H56" s="8">
        <v>3</v>
      </c>
      <c r="I56" s="3">
        <v>2520000</v>
      </c>
      <c r="J56" s="3">
        <v>0</v>
      </c>
    </row>
    <row r="57" spans="1:10" x14ac:dyDescent="0.25">
      <c r="A57" s="2">
        <v>57</v>
      </c>
      <c r="B57" s="18">
        <v>46146.3491840625</v>
      </c>
      <c r="C57" s="2" t="s">
        <v>124</v>
      </c>
      <c r="D57" s="2" t="s">
        <v>36</v>
      </c>
      <c r="E57" s="2" t="s">
        <v>141</v>
      </c>
      <c r="F57" s="2" t="s">
        <v>3</v>
      </c>
      <c r="G57" s="3">
        <v>0</v>
      </c>
      <c r="H57" s="8">
        <v>12</v>
      </c>
      <c r="I57" s="3">
        <v>10080000</v>
      </c>
      <c r="J57" s="3">
        <v>10080000</v>
      </c>
    </row>
    <row r="58" spans="1:10" x14ac:dyDescent="0.25">
      <c r="A58" s="2">
        <v>58</v>
      </c>
      <c r="B58" s="18">
        <v>46146.3491840625</v>
      </c>
      <c r="C58" s="2" t="s">
        <v>124</v>
      </c>
      <c r="D58" s="2" t="s">
        <v>36</v>
      </c>
      <c r="E58" s="2" t="s">
        <v>141</v>
      </c>
      <c r="F58" s="2" t="s">
        <v>3</v>
      </c>
      <c r="G58" s="3">
        <v>0</v>
      </c>
      <c r="H58" s="8">
        <v>2</v>
      </c>
      <c r="I58" s="3">
        <v>1680000</v>
      </c>
      <c r="J58" s="3">
        <v>0</v>
      </c>
    </row>
    <row r="59" spans="1:10" x14ac:dyDescent="0.25">
      <c r="A59" s="2">
        <v>59</v>
      </c>
      <c r="B59" s="18">
        <v>46146.344204016204</v>
      </c>
      <c r="C59" s="2" t="s">
        <v>124</v>
      </c>
      <c r="D59" s="2" t="s">
        <v>36</v>
      </c>
      <c r="E59" s="2" t="s">
        <v>141</v>
      </c>
      <c r="F59" s="2" t="s">
        <v>3</v>
      </c>
      <c r="G59" s="3">
        <v>0</v>
      </c>
      <c r="H59" s="8">
        <v>12</v>
      </c>
      <c r="I59" s="3">
        <v>10080000</v>
      </c>
      <c r="J59" s="3">
        <v>10080000</v>
      </c>
    </row>
    <row r="60" spans="1:10" x14ac:dyDescent="0.25">
      <c r="A60" s="2">
        <v>60</v>
      </c>
      <c r="B60" s="18">
        <v>46146.344204016204</v>
      </c>
      <c r="C60" s="2" t="s">
        <v>124</v>
      </c>
      <c r="D60" s="2" t="s">
        <v>36</v>
      </c>
      <c r="E60" s="2" t="s">
        <v>141</v>
      </c>
      <c r="F60" s="2" t="s">
        <v>3</v>
      </c>
      <c r="G60" s="3">
        <v>0</v>
      </c>
      <c r="H60" s="8">
        <v>2</v>
      </c>
      <c r="I60" s="3">
        <v>1680000</v>
      </c>
      <c r="J60" s="3">
        <v>0</v>
      </c>
    </row>
    <row r="61" spans="1:10" x14ac:dyDescent="0.25">
      <c r="A61" s="2">
        <v>61</v>
      </c>
      <c r="B61" s="18">
        <v>46146.20233865741</v>
      </c>
      <c r="C61" s="2" t="s">
        <v>124</v>
      </c>
      <c r="D61" s="2" t="s">
        <v>50</v>
      </c>
      <c r="E61" s="2" t="s">
        <v>141</v>
      </c>
      <c r="F61" s="2" t="s">
        <v>3</v>
      </c>
      <c r="G61" s="3">
        <v>0</v>
      </c>
      <c r="H61" s="8">
        <v>18</v>
      </c>
      <c r="I61" s="3">
        <v>15120000</v>
      </c>
      <c r="J61" s="3">
        <v>15072658</v>
      </c>
    </row>
    <row r="62" spans="1:10" x14ac:dyDescent="0.25">
      <c r="A62" s="2">
        <v>62</v>
      </c>
      <c r="B62" s="18">
        <v>46146.20233865741</v>
      </c>
      <c r="C62" s="2" t="s">
        <v>124</v>
      </c>
      <c r="D62" s="2" t="s">
        <v>50</v>
      </c>
      <c r="E62" s="2" t="s">
        <v>141</v>
      </c>
      <c r="F62" s="2" t="s">
        <v>3</v>
      </c>
      <c r="G62" s="3">
        <v>0</v>
      </c>
      <c r="H62" s="8">
        <v>3</v>
      </c>
      <c r="I62" s="3">
        <v>2520000</v>
      </c>
      <c r="J62" s="3">
        <v>0</v>
      </c>
    </row>
    <row r="63" spans="1:10" x14ac:dyDescent="0.25">
      <c r="A63" s="2">
        <v>63</v>
      </c>
      <c r="B63" s="18">
        <v>46146.13962230324</v>
      </c>
      <c r="C63" s="2" t="s">
        <v>124</v>
      </c>
      <c r="D63" s="2" t="s">
        <v>57</v>
      </c>
      <c r="E63" s="2" t="s">
        <v>141</v>
      </c>
      <c r="F63" s="2" t="s">
        <v>3</v>
      </c>
      <c r="G63" s="3">
        <v>0</v>
      </c>
      <c r="H63" s="8">
        <v>64</v>
      </c>
      <c r="I63" s="3">
        <v>53760000</v>
      </c>
      <c r="J63" s="3">
        <v>53760000</v>
      </c>
    </row>
    <row r="64" spans="1:10" x14ac:dyDescent="0.25">
      <c r="A64" s="2">
        <v>64</v>
      </c>
      <c r="B64" s="18">
        <v>46146.13962230324</v>
      </c>
      <c r="C64" s="2" t="s">
        <v>124</v>
      </c>
      <c r="D64" s="2" t="s">
        <v>57</v>
      </c>
      <c r="E64" s="2" t="s">
        <v>141</v>
      </c>
      <c r="F64" s="2" t="s">
        <v>3</v>
      </c>
      <c r="G64" s="3">
        <v>0</v>
      </c>
      <c r="H64" s="8">
        <v>16</v>
      </c>
      <c r="I64" s="3">
        <v>13440000</v>
      </c>
      <c r="J64" s="3">
        <v>0</v>
      </c>
    </row>
    <row r="65" spans="1:10" x14ac:dyDescent="0.25">
      <c r="A65" s="2">
        <v>65</v>
      </c>
      <c r="B65" s="18">
        <v>46146.096840625</v>
      </c>
      <c r="C65" s="2" t="s">
        <v>124</v>
      </c>
      <c r="D65" s="2" t="s">
        <v>29</v>
      </c>
      <c r="E65" s="2" t="s">
        <v>141</v>
      </c>
      <c r="F65" s="2" t="s">
        <v>3</v>
      </c>
      <c r="G65" s="3">
        <v>0</v>
      </c>
      <c r="H65" s="8">
        <v>960</v>
      </c>
      <c r="I65" s="3">
        <v>806400000</v>
      </c>
      <c r="J65" s="3">
        <v>575017065</v>
      </c>
    </row>
    <row r="66" spans="1:10" x14ac:dyDescent="0.25">
      <c r="A66" s="2">
        <v>66</v>
      </c>
      <c r="B66" s="18">
        <v>46141.383291307866</v>
      </c>
      <c r="C66" s="2" t="s">
        <v>123</v>
      </c>
      <c r="D66" s="2" t="s">
        <v>63</v>
      </c>
      <c r="E66" s="2" t="s">
        <v>141</v>
      </c>
      <c r="F66" s="2" t="s">
        <v>3</v>
      </c>
      <c r="G66" s="3">
        <v>0</v>
      </c>
      <c r="H66" s="8">
        <v>18</v>
      </c>
      <c r="I66" s="3">
        <v>15120000</v>
      </c>
      <c r="J66" s="3">
        <v>15120000</v>
      </c>
    </row>
    <row r="67" spans="1:10" x14ac:dyDescent="0.25">
      <c r="A67" s="2">
        <v>67</v>
      </c>
      <c r="B67" s="18">
        <v>46141.383291307866</v>
      </c>
      <c r="C67" s="2" t="s">
        <v>123</v>
      </c>
      <c r="D67" s="2" t="s">
        <v>63</v>
      </c>
      <c r="E67" s="2" t="s">
        <v>141</v>
      </c>
      <c r="F67" s="2" t="s">
        <v>3</v>
      </c>
      <c r="G67" s="3">
        <v>0</v>
      </c>
      <c r="H67" s="8">
        <v>3</v>
      </c>
      <c r="I67" s="3">
        <v>2520000</v>
      </c>
      <c r="J67" s="3">
        <v>0</v>
      </c>
    </row>
    <row r="68" spans="1:10" x14ac:dyDescent="0.25">
      <c r="A68" s="2">
        <v>68</v>
      </c>
      <c r="B68" s="18">
        <v>46141.37596385417</v>
      </c>
      <c r="C68" s="2" t="s">
        <v>123</v>
      </c>
      <c r="D68" s="2" t="s">
        <v>45</v>
      </c>
      <c r="E68" s="2" t="s">
        <v>141</v>
      </c>
      <c r="F68" s="2" t="s">
        <v>3</v>
      </c>
      <c r="G68" s="3">
        <v>0</v>
      </c>
      <c r="H68" s="8">
        <v>64</v>
      </c>
      <c r="I68" s="3">
        <v>53760000</v>
      </c>
      <c r="J68" s="3">
        <v>53760000</v>
      </c>
    </row>
    <row r="69" spans="1:10" x14ac:dyDescent="0.25">
      <c r="A69" s="2">
        <v>69</v>
      </c>
      <c r="B69" s="18">
        <v>46141.37596385417</v>
      </c>
      <c r="C69" s="2" t="s">
        <v>123</v>
      </c>
      <c r="D69" s="2" t="s">
        <v>45</v>
      </c>
      <c r="E69" s="2" t="s">
        <v>141</v>
      </c>
      <c r="F69" s="2" t="s">
        <v>3</v>
      </c>
      <c r="G69" s="3">
        <v>0</v>
      </c>
      <c r="H69" s="8">
        <v>16</v>
      </c>
      <c r="I69" s="3">
        <v>13440000</v>
      </c>
      <c r="J69" s="3">
        <v>0</v>
      </c>
    </row>
    <row r="70" spans="1:10" x14ac:dyDescent="0.25">
      <c r="A70" s="2">
        <v>70</v>
      </c>
      <c r="B70" s="18">
        <v>46141.16015523148</v>
      </c>
      <c r="C70" s="2" t="s">
        <v>123</v>
      </c>
      <c r="D70" s="2" t="s">
        <v>19</v>
      </c>
      <c r="E70" s="2" t="s">
        <v>141</v>
      </c>
      <c r="F70" s="2" t="s">
        <v>3</v>
      </c>
      <c r="G70" s="3">
        <v>0</v>
      </c>
      <c r="H70" s="8">
        <v>128</v>
      </c>
      <c r="I70" s="3">
        <v>107520000</v>
      </c>
      <c r="J70" s="3">
        <v>107520000</v>
      </c>
    </row>
    <row r="71" spans="1:10" x14ac:dyDescent="0.25">
      <c r="A71" s="2">
        <v>71</v>
      </c>
      <c r="B71" s="18">
        <v>46141.16015523148</v>
      </c>
      <c r="C71" s="2" t="s">
        <v>123</v>
      </c>
      <c r="D71" s="2" t="s">
        <v>19</v>
      </c>
      <c r="E71" s="2" t="s">
        <v>141</v>
      </c>
      <c r="F71" s="2" t="s">
        <v>3</v>
      </c>
      <c r="G71" s="3">
        <v>0</v>
      </c>
      <c r="H71" s="8">
        <v>32</v>
      </c>
      <c r="I71" s="3">
        <v>26880000</v>
      </c>
      <c r="J71" s="3">
        <v>0</v>
      </c>
    </row>
    <row r="72" spans="1:10" x14ac:dyDescent="0.25">
      <c r="A72" s="2">
        <v>72</v>
      </c>
      <c r="B72" s="18">
        <v>46141.09513302083</v>
      </c>
      <c r="C72" s="2" t="s">
        <v>123</v>
      </c>
      <c r="D72" s="2" t="s">
        <v>89</v>
      </c>
      <c r="E72" s="2" t="s">
        <v>141</v>
      </c>
      <c r="F72" s="2" t="s">
        <v>3</v>
      </c>
      <c r="G72" s="3">
        <v>0</v>
      </c>
      <c r="H72" s="8">
        <v>1</v>
      </c>
      <c r="I72" s="3">
        <v>840000</v>
      </c>
      <c r="J72" s="3">
        <v>672000</v>
      </c>
    </row>
    <row r="73" spans="1:10" x14ac:dyDescent="0.25">
      <c r="A73" s="2">
        <v>73</v>
      </c>
      <c r="B73" s="18">
        <v>46141.094183298614</v>
      </c>
      <c r="C73" s="2" t="s">
        <v>123</v>
      </c>
      <c r="D73" s="2" t="s">
        <v>67</v>
      </c>
      <c r="E73" s="2" t="s">
        <v>141</v>
      </c>
      <c r="F73" s="2" t="s">
        <v>3</v>
      </c>
      <c r="G73" s="3">
        <v>0</v>
      </c>
      <c r="H73" s="8">
        <v>64</v>
      </c>
      <c r="I73" s="3">
        <v>53760000</v>
      </c>
      <c r="J73" s="3">
        <v>53760000</v>
      </c>
    </row>
    <row r="74" spans="1:10" x14ac:dyDescent="0.25">
      <c r="A74" s="2">
        <v>74</v>
      </c>
      <c r="B74" s="18">
        <v>46141.094183298614</v>
      </c>
      <c r="C74" s="2" t="s">
        <v>123</v>
      </c>
      <c r="D74" s="2" t="s">
        <v>67</v>
      </c>
      <c r="E74" s="2" t="s">
        <v>141</v>
      </c>
      <c r="F74" s="2" t="s">
        <v>3</v>
      </c>
      <c r="G74" s="3">
        <v>0</v>
      </c>
      <c r="H74" s="8">
        <v>16</v>
      </c>
      <c r="I74" s="3">
        <v>13440000</v>
      </c>
      <c r="J74" s="3">
        <v>0</v>
      </c>
    </row>
    <row r="75" spans="1:10" x14ac:dyDescent="0.25">
      <c r="A75" s="2">
        <v>75</v>
      </c>
      <c r="B75" s="18">
        <v>46141.07313715278</v>
      </c>
      <c r="C75" s="2" t="s">
        <v>123</v>
      </c>
      <c r="D75" s="2" t="s">
        <v>100</v>
      </c>
      <c r="E75" s="2" t="s">
        <v>141</v>
      </c>
      <c r="F75" s="2" t="s">
        <v>3</v>
      </c>
      <c r="G75" s="3">
        <v>0</v>
      </c>
      <c r="H75" s="8">
        <v>64</v>
      </c>
      <c r="I75" s="3">
        <v>53760000</v>
      </c>
      <c r="J75" s="3">
        <v>53760000</v>
      </c>
    </row>
    <row r="76" spans="1:10" x14ac:dyDescent="0.25">
      <c r="A76" s="2">
        <v>76</v>
      </c>
      <c r="B76" s="18">
        <v>46141.07313715278</v>
      </c>
      <c r="C76" s="2" t="s">
        <v>123</v>
      </c>
      <c r="D76" s="2" t="s">
        <v>100</v>
      </c>
      <c r="E76" s="2" t="s">
        <v>141</v>
      </c>
      <c r="F76" s="2" t="s">
        <v>3</v>
      </c>
      <c r="G76" s="3">
        <v>0</v>
      </c>
      <c r="H76" s="8">
        <v>16</v>
      </c>
      <c r="I76" s="3">
        <v>13440000</v>
      </c>
      <c r="J76" s="3">
        <v>0</v>
      </c>
    </row>
    <row r="77" spans="1:10" x14ac:dyDescent="0.25">
      <c r="A77" s="2">
        <v>77</v>
      </c>
      <c r="B77" s="18">
        <v>46140.31034597222</v>
      </c>
      <c r="C77" s="2" t="s">
        <v>123</v>
      </c>
      <c r="D77" s="2" t="s">
        <v>58</v>
      </c>
      <c r="E77" s="2" t="s">
        <v>141</v>
      </c>
      <c r="F77" s="2" t="s">
        <v>3</v>
      </c>
      <c r="G77" s="3">
        <v>0</v>
      </c>
      <c r="H77" s="8">
        <v>256</v>
      </c>
      <c r="I77" s="3">
        <v>215040000</v>
      </c>
      <c r="J77" s="3">
        <v>215040000</v>
      </c>
    </row>
    <row r="78" spans="1:10" x14ac:dyDescent="0.25">
      <c r="A78" s="2">
        <v>78</v>
      </c>
      <c r="B78" s="18">
        <v>46140.31034597222</v>
      </c>
      <c r="C78" s="2" t="s">
        <v>123</v>
      </c>
      <c r="D78" s="2" t="s">
        <v>58</v>
      </c>
      <c r="E78" s="2" t="s">
        <v>141</v>
      </c>
      <c r="F78" s="2" t="s">
        <v>3</v>
      </c>
      <c r="G78" s="3">
        <v>0</v>
      </c>
      <c r="H78" s="8">
        <v>64</v>
      </c>
      <c r="I78" s="3">
        <v>53760000</v>
      </c>
      <c r="J78" s="3">
        <v>0</v>
      </c>
    </row>
    <row r="79" spans="1:10" x14ac:dyDescent="0.25">
      <c r="A79" s="2">
        <v>79</v>
      </c>
      <c r="B79" s="18">
        <v>46140.13492318287</v>
      </c>
      <c r="C79" s="2" t="s">
        <v>123</v>
      </c>
      <c r="D79" s="2" t="s">
        <v>80</v>
      </c>
      <c r="E79" s="2" t="s">
        <v>141</v>
      </c>
      <c r="F79" s="2" t="s">
        <v>3</v>
      </c>
      <c r="G79" s="3">
        <v>0</v>
      </c>
      <c r="H79" s="8">
        <v>64</v>
      </c>
      <c r="I79" s="3">
        <v>53760000</v>
      </c>
      <c r="J79" s="3">
        <v>53760000</v>
      </c>
    </row>
    <row r="80" spans="1:10" x14ac:dyDescent="0.25">
      <c r="A80" s="2">
        <v>80</v>
      </c>
      <c r="B80" s="18">
        <v>46140.13492318287</v>
      </c>
      <c r="C80" s="2" t="s">
        <v>123</v>
      </c>
      <c r="D80" s="2" t="s">
        <v>80</v>
      </c>
      <c r="E80" s="2" t="s">
        <v>141</v>
      </c>
      <c r="F80" s="2" t="s">
        <v>3</v>
      </c>
      <c r="G80" s="3">
        <v>0</v>
      </c>
      <c r="H80" s="8">
        <v>16</v>
      </c>
      <c r="I80" s="3">
        <v>13440000</v>
      </c>
      <c r="J80" s="3">
        <v>0</v>
      </c>
    </row>
    <row r="81" spans="1:10" x14ac:dyDescent="0.25">
      <c r="A81" s="2">
        <v>81</v>
      </c>
      <c r="B81" s="18">
        <v>46140.114273865736</v>
      </c>
      <c r="C81" s="2" t="s">
        <v>123</v>
      </c>
      <c r="D81" s="2" t="s">
        <v>80</v>
      </c>
      <c r="E81" s="2" t="s">
        <v>141</v>
      </c>
      <c r="F81" s="2" t="s">
        <v>3</v>
      </c>
      <c r="G81" s="3">
        <v>0</v>
      </c>
      <c r="H81" s="8">
        <v>18</v>
      </c>
      <c r="I81" s="3">
        <v>15120000</v>
      </c>
      <c r="J81" s="3">
        <v>15120000</v>
      </c>
    </row>
    <row r="82" spans="1:10" x14ac:dyDescent="0.25">
      <c r="A82" s="2">
        <v>82</v>
      </c>
      <c r="B82" s="18">
        <v>46140.114273865736</v>
      </c>
      <c r="C82" s="2" t="s">
        <v>123</v>
      </c>
      <c r="D82" s="2" t="s">
        <v>80</v>
      </c>
      <c r="E82" s="2" t="s">
        <v>141</v>
      </c>
      <c r="F82" s="2" t="s">
        <v>3</v>
      </c>
      <c r="G82" s="3">
        <v>0</v>
      </c>
      <c r="H82" s="8">
        <v>3</v>
      </c>
      <c r="I82" s="3">
        <v>2520000</v>
      </c>
      <c r="J82" s="3">
        <v>0</v>
      </c>
    </row>
    <row r="83" spans="1:10" x14ac:dyDescent="0.25">
      <c r="A83" s="2">
        <v>83</v>
      </c>
      <c r="B83" s="18">
        <v>46137.10767091435</v>
      </c>
      <c r="C83" s="2" t="s">
        <v>123</v>
      </c>
      <c r="D83" s="2" t="s">
        <v>15</v>
      </c>
      <c r="E83" s="2" t="s">
        <v>141</v>
      </c>
      <c r="F83" s="2" t="s">
        <v>3</v>
      </c>
      <c r="G83" s="3">
        <v>0</v>
      </c>
      <c r="H83" s="8">
        <v>12</v>
      </c>
      <c r="I83" s="3">
        <v>10080000</v>
      </c>
      <c r="J83" s="3">
        <v>10080000</v>
      </c>
    </row>
    <row r="84" spans="1:10" x14ac:dyDescent="0.25">
      <c r="A84" s="2">
        <v>84</v>
      </c>
      <c r="B84" s="18">
        <v>46137.10767091435</v>
      </c>
      <c r="C84" s="2" t="s">
        <v>123</v>
      </c>
      <c r="D84" s="2" t="s">
        <v>15</v>
      </c>
      <c r="E84" s="2" t="s">
        <v>141</v>
      </c>
      <c r="F84" s="2" t="s">
        <v>3</v>
      </c>
      <c r="G84" s="3">
        <v>0</v>
      </c>
      <c r="H84" s="8">
        <v>2</v>
      </c>
      <c r="I84" s="3">
        <v>1680000</v>
      </c>
      <c r="J84" s="3">
        <v>0</v>
      </c>
    </row>
    <row r="85" spans="1:10" x14ac:dyDescent="0.25">
      <c r="A85" s="2">
        <v>85</v>
      </c>
      <c r="B85" s="18">
        <v>46136.17110782408</v>
      </c>
      <c r="C85" s="2" t="s">
        <v>123</v>
      </c>
      <c r="D85" s="2" t="s">
        <v>64</v>
      </c>
      <c r="E85" s="2" t="s">
        <v>141</v>
      </c>
      <c r="F85" s="2" t="s">
        <v>3</v>
      </c>
      <c r="G85" s="3">
        <v>0</v>
      </c>
      <c r="H85" s="8">
        <v>128</v>
      </c>
      <c r="I85" s="3">
        <v>107520000</v>
      </c>
      <c r="J85" s="3">
        <v>107520000</v>
      </c>
    </row>
    <row r="86" spans="1:10" x14ac:dyDescent="0.25">
      <c r="A86" s="2">
        <v>86</v>
      </c>
      <c r="B86" s="18">
        <v>46136.17110782408</v>
      </c>
      <c r="C86" s="2" t="s">
        <v>123</v>
      </c>
      <c r="D86" s="2" t="s">
        <v>64</v>
      </c>
      <c r="E86" s="2" t="s">
        <v>141</v>
      </c>
      <c r="F86" s="2" t="s">
        <v>3</v>
      </c>
      <c r="G86" s="3">
        <v>0</v>
      </c>
      <c r="H86" s="8">
        <v>32</v>
      </c>
      <c r="I86" s="3">
        <v>26880000</v>
      </c>
      <c r="J86" s="3">
        <v>0</v>
      </c>
    </row>
    <row r="87" spans="1:10" x14ac:dyDescent="0.25">
      <c r="A87" s="2">
        <v>87</v>
      </c>
      <c r="B87" s="18">
        <v>46135.29078283565</v>
      </c>
      <c r="C87" s="2" t="s">
        <v>123</v>
      </c>
      <c r="D87" s="2" t="s">
        <v>36</v>
      </c>
      <c r="E87" s="2" t="s">
        <v>141</v>
      </c>
      <c r="F87" s="2" t="s">
        <v>3</v>
      </c>
      <c r="G87" s="3">
        <v>0</v>
      </c>
      <c r="H87" s="8">
        <v>30</v>
      </c>
      <c r="I87" s="3">
        <v>25200000</v>
      </c>
      <c r="J87" s="3">
        <v>25200000</v>
      </c>
    </row>
    <row r="88" spans="1:10" x14ac:dyDescent="0.25">
      <c r="A88" s="2">
        <v>88</v>
      </c>
      <c r="B88" s="18">
        <v>46135.29078283565</v>
      </c>
      <c r="C88" s="2" t="s">
        <v>123</v>
      </c>
      <c r="D88" s="2" t="s">
        <v>36</v>
      </c>
      <c r="E88" s="2" t="s">
        <v>141</v>
      </c>
      <c r="F88" s="2" t="s">
        <v>3</v>
      </c>
      <c r="G88" s="3">
        <v>0</v>
      </c>
      <c r="H88" s="8">
        <v>5</v>
      </c>
      <c r="I88" s="3">
        <v>4200000</v>
      </c>
      <c r="J88" s="3">
        <v>0</v>
      </c>
    </row>
    <row r="89" spans="1:10" x14ac:dyDescent="0.25">
      <c r="A89" s="2">
        <v>89</v>
      </c>
      <c r="B89" s="18">
        <v>46135.17318961806</v>
      </c>
      <c r="C89" s="2" t="s">
        <v>123</v>
      </c>
      <c r="D89" s="2" t="s">
        <v>48</v>
      </c>
      <c r="E89" s="2" t="s">
        <v>141</v>
      </c>
      <c r="F89" s="2" t="s">
        <v>3</v>
      </c>
      <c r="G89" s="3">
        <v>0</v>
      </c>
      <c r="H89" s="8">
        <v>12</v>
      </c>
      <c r="I89" s="3">
        <v>10080000</v>
      </c>
      <c r="J89" s="3">
        <v>10080000</v>
      </c>
    </row>
    <row r="90" spans="1:10" x14ac:dyDescent="0.25">
      <c r="A90" s="2">
        <v>90</v>
      </c>
      <c r="B90" s="18">
        <v>46135.17318961806</v>
      </c>
      <c r="C90" s="2" t="s">
        <v>123</v>
      </c>
      <c r="D90" s="2" t="s">
        <v>48</v>
      </c>
      <c r="E90" s="2" t="s">
        <v>141</v>
      </c>
      <c r="F90" s="2" t="s">
        <v>3</v>
      </c>
      <c r="G90" s="3">
        <v>0</v>
      </c>
      <c r="H90" s="8">
        <v>2</v>
      </c>
      <c r="I90" s="3">
        <v>1680000</v>
      </c>
      <c r="J90" s="3">
        <v>0</v>
      </c>
    </row>
    <row r="91" spans="1:10" x14ac:dyDescent="0.25">
      <c r="A91" s="2">
        <v>91</v>
      </c>
      <c r="B91" s="18">
        <v>46133.45162835648</v>
      </c>
      <c r="C91" s="2" t="s">
        <v>123</v>
      </c>
      <c r="D91" s="2" t="s">
        <v>89</v>
      </c>
      <c r="E91" s="2" t="s">
        <v>141</v>
      </c>
      <c r="F91" s="2" t="s">
        <v>3</v>
      </c>
      <c r="G91" s="3">
        <v>0</v>
      </c>
      <c r="H91" s="8">
        <v>2</v>
      </c>
      <c r="I91" s="3">
        <v>1680000</v>
      </c>
      <c r="J91" s="3">
        <v>1344000</v>
      </c>
    </row>
    <row r="92" spans="1:10" x14ac:dyDescent="0.25">
      <c r="A92" s="2">
        <v>92</v>
      </c>
      <c r="B92" s="18">
        <v>46133.34678092593</v>
      </c>
      <c r="C92" s="2" t="s">
        <v>123</v>
      </c>
      <c r="D92" s="2" t="s">
        <v>76</v>
      </c>
      <c r="E92" s="2" t="s">
        <v>141</v>
      </c>
      <c r="F92" s="2" t="s">
        <v>3</v>
      </c>
      <c r="G92" s="3">
        <v>0</v>
      </c>
      <c r="H92" s="8">
        <v>18</v>
      </c>
      <c r="I92" s="3">
        <v>15120000</v>
      </c>
      <c r="J92" s="3">
        <v>15120000</v>
      </c>
    </row>
    <row r="93" spans="1:10" x14ac:dyDescent="0.25">
      <c r="A93" s="2">
        <v>93</v>
      </c>
      <c r="B93" s="18">
        <v>46133.34678092593</v>
      </c>
      <c r="C93" s="2" t="s">
        <v>123</v>
      </c>
      <c r="D93" s="2" t="s">
        <v>76</v>
      </c>
      <c r="E93" s="2" t="s">
        <v>141</v>
      </c>
      <c r="F93" s="2" t="s">
        <v>3</v>
      </c>
      <c r="G93" s="3">
        <v>0</v>
      </c>
      <c r="H93" s="8">
        <v>3</v>
      </c>
      <c r="I93" s="3">
        <v>2520000</v>
      </c>
      <c r="J93" s="3">
        <v>0</v>
      </c>
    </row>
    <row r="94" spans="1:10" x14ac:dyDescent="0.25">
      <c r="A94" s="2">
        <v>94</v>
      </c>
      <c r="B94" s="18">
        <v>46133.24447024305</v>
      </c>
      <c r="C94" s="2" t="s">
        <v>123</v>
      </c>
      <c r="D94" s="2" t="s">
        <v>56</v>
      </c>
      <c r="E94" s="2" t="s">
        <v>141</v>
      </c>
      <c r="F94" s="2" t="s">
        <v>3</v>
      </c>
      <c r="G94" s="3">
        <v>0</v>
      </c>
      <c r="H94" s="8">
        <v>64</v>
      </c>
      <c r="I94" s="3">
        <v>53760000</v>
      </c>
      <c r="J94" s="3">
        <v>53760000</v>
      </c>
    </row>
    <row r="95" spans="1:10" x14ac:dyDescent="0.25">
      <c r="A95" s="2">
        <v>95</v>
      </c>
      <c r="B95" s="18">
        <v>46133.24447024305</v>
      </c>
      <c r="C95" s="2" t="s">
        <v>123</v>
      </c>
      <c r="D95" s="2" t="s">
        <v>56</v>
      </c>
      <c r="E95" s="2" t="s">
        <v>141</v>
      </c>
      <c r="F95" s="2" t="s">
        <v>3</v>
      </c>
      <c r="G95" s="3">
        <v>0</v>
      </c>
      <c r="H95" s="8">
        <v>16</v>
      </c>
      <c r="I95" s="3">
        <v>13440000</v>
      </c>
      <c r="J95" s="3">
        <v>0</v>
      </c>
    </row>
    <row r="96" spans="1:10" x14ac:dyDescent="0.25">
      <c r="A96" s="2">
        <v>96</v>
      </c>
      <c r="B96" s="18">
        <v>46133.18368267361</v>
      </c>
      <c r="C96" s="2" t="s">
        <v>123</v>
      </c>
      <c r="D96" s="2" t="s">
        <v>35</v>
      </c>
      <c r="E96" s="2" t="s">
        <v>141</v>
      </c>
      <c r="F96" s="2" t="s">
        <v>3</v>
      </c>
      <c r="G96" s="3">
        <v>0</v>
      </c>
      <c r="H96" s="8">
        <v>64</v>
      </c>
      <c r="I96" s="3">
        <v>53760000</v>
      </c>
      <c r="J96" s="3">
        <v>53760000</v>
      </c>
    </row>
    <row r="97" spans="1:10" x14ac:dyDescent="0.25">
      <c r="A97" s="2">
        <v>97</v>
      </c>
      <c r="B97" s="18">
        <v>46133.18368267361</v>
      </c>
      <c r="C97" s="2" t="s">
        <v>123</v>
      </c>
      <c r="D97" s="2" t="s">
        <v>35</v>
      </c>
      <c r="E97" s="2" t="s">
        <v>141</v>
      </c>
      <c r="F97" s="2" t="s">
        <v>3</v>
      </c>
      <c r="G97" s="3">
        <v>0</v>
      </c>
      <c r="H97" s="8">
        <v>16</v>
      </c>
      <c r="I97" s="3">
        <v>13440000</v>
      </c>
      <c r="J97" s="3">
        <v>0</v>
      </c>
    </row>
    <row r="98" spans="1:10" x14ac:dyDescent="0.25">
      <c r="A98" s="2">
        <v>98</v>
      </c>
      <c r="B98" s="18">
        <v>46129.268372210645</v>
      </c>
      <c r="C98" s="2" t="s">
        <v>123</v>
      </c>
      <c r="D98" s="2" t="s">
        <v>103</v>
      </c>
      <c r="E98" s="2" t="s">
        <v>141</v>
      </c>
      <c r="F98" s="2" t="s">
        <v>3</v>
      </c>
      <c r="G98" s="3">
        <v>0</v>
      </c>
      <c r="H98" s="8">
        <v>12</v>
      </c>
      <c r="I98" s="3">
        <v>10080000</v>
      </c>
      <c r="J98" s="3">
        <v>10080000</v>
      </c>
    </row>
    <row r="99" spans="1:10" x14ac:dyDescent="0.25">
      <c r="A99" s="2">
        <v>99</v>
      </c>
      <c r="B99" s="18">
        <v>46129.268372210645</v>
      </c>
      <c r="C99" s="2" t="s">
        <v>123</v>
      </c>
      <c r="D99" s="2" t="s">
        <v>103</v>
      </c>
      <c r="E99" s="2" t="s">
        <v>141</v>
      </c>
      <c r="F99" s="2" t="s">
        <v>3</v>
      </c>
      <c r="G99" s="3">
        <v>0</v>
      </c>
      <c r="H99" s="8">
        <v>2</v>
      </c>
      <c r="I99" s="3">
        <v>1680000</v>
      </c>
      <c r="J99" s="3">
        <v>0</v>
      </c>
    </row>
    <row r="100" spans="1:10" x14ac:dyDescent="0.25">
      <c r="A100" s="2">
        <v>100</v>
      </c>
      <c r="B100" s="18">
        <v>46129.12093949074</v>
      </c>
      <c r="C100" s="2" t="s">
        <v>123</v>
      </c>
      <c r="D100" s="2" t="s">
        <v>30</v>
      </c>
      <c r="E100" s="2" t="s">
        <v>141</v>
      </c>
      <c r="F100" s="2" t="s">
        <v>3</v>
      </c>
      <c r="G100" s="3">
        <v>0</v>
      </c>
      <c r="H100" s="8">
        <v>64</v>
      </c>
      <c r="I100" s="3">
        <v>53760000</v>
      </c>
      <c r="J100" s="3">
        <v>53760000</v>
      </c>
    </row>
    <row r="101" spans="1:10" x14ac:dyDescent="0.25">
      <c r="A101" s="2">
        <v>101</v>
      </c>
      <c r="B101" s="18">
        <v>46129.12093949074</v>
      </c>
      <c r="C101" s="2" t="s">
        <v>123</v>
      </c>
      <c r="D101" s="2" t="s">
        <v>30</v>
      </c>
      <c r="E101" s="2" t="s">
        <v>141</v>
      </c>
      <c r="F101" s="2" t="s">
        <v>3</v>
      </c>
      <c r="G101" s="3">
        <v>0</v>
      </c>
      <c r="H101" s="8">
        <v>16</v>
      </c>
      <c r="I101" s="3">
        <v>13440000</v>
      </c>
      <c r="J101" s="3">
        <v>0</v>
      </c>
    </row>
    <row r="102" spans="1:10" x14ac:dyDescent="0.25">
      <c r="A102" s="2">
        <v>102</v>
      </c>
      <c r="B102" s="18">
        <v>46126.172539548614</v>
      </c>
      <c r="C102" s="2" t="s">
        <v>123</v>
      </c>
      <c r="D102" s="2" t="s">
        <v>80</v>
      </c>
      <c r="E102" s="2" t="s">
        <v>141</v>
      </c>
      <c r="F102" s="2" t="s">
        <v>3</v>
      </c>
      <c r="G102" s="3">
        <v>0</v>
      </c>
      <c r="H102" s="8">
        <v>24</v>
      </c>
      <c r="I102" s="3">
        <v>20160000</v>
      </c>
      <c r="J102" s="3">
        <v>20160000</v>
      </c>
    </row>
    <row r="103" spans="1:10" x14ac:dyDescent="0.25">
      <c r="A103" s="2">
        <v>103</v>
      </c>
      <c r="B103" s="18">
        <v>46126.172539548614</v>
      </c>
      <c r="C103" s="2" t="s">
        <v>123</v>
      </c>
      <c r="D103" s="2" t="s">
        <v>80</v>
      </c>
      <c r="E103" s="2" t="s">
        <v>141</v>
      </c>
      <c r="F103" s="2" t="s">
        <v>3</v>
      </c>
      <c r="G103" s="3">
        <v>0</v>
      </c>
      <c r="H103" s="8">
        <v>4</v>
      </c>
      <c r="I103" s="3">
        <v>3360000</v>
      </c>
      <c r="J103" s="3">
        <v>0</v>
      </c>
    </row>
    <row r="104" spans="1:10" x14ac:dyDescent="0.25">
      <c r="A104" s="2">
        <v>104</v>
      </c>
      <c r="B104" s="18">
        <v>46126.1546971875</v>
      </c>
      <c r="C104" s="2" t="s">
        <v>123</v>
      </c>
      <c r="D104" s="2" t="s">
        <v>34</v>
      </c>
      <c r="E104" s="2" t="s">
        <v>141</v>
      </c>
      <c r="F104" s="2" t="s">
        <v>3</v>
      </c>
      <c r="G104" s="3">
        <v>0</v>
      </c>
      <c r="H104" s="8">
        <v>12</v>
      </c>
      <c r="I104" s="3">
        <v>10080000</v>
      </c>
      <c r="J104" s="3">
        <v>10080000</v>
      </c>
    </row>
    <row r="105" spans="1:10" x14ac:dyDescent="0.25">
      <c r="A105" s="2">
        <v>105</v>
      </c>
      <c r="B105" s="18">
        <v>46126.1546971875</v>
      </c>
      <c r="C105" s="2" t="s">
        <v>123</v>
      </c>
      <c r="D105" s="2" t="s">
        <v>34</v>
      </c>
      <c r="E105" s="2" t="s">
        <v>141</v>
      </c>
      <c r="F105" s="2" t="s">
        <v>3</v>
      </c>
      <c r="G105" s="3">
        <v>0</v>
      </c>
      <c r="H105" s="8">
        <v>2</v>
      </c>
      <c r="I105" s="3">
        <v>1680000</v>
      </c>
      <c r="J105" s="3">
        <v>0</v>
      </c>
    </row>
    <row r="106" spans="1:10" x14ac:dyDescent="0.25">
      <c r="A106" s="2">
        <v>106</v>
      </c>
      <c r="B106" s="18">
        <v>46126.121116469905</v>
      </c>
      <c r="C106" s="2" t="s">
        <v>123</v>
      </c>
      <c r="D106" s="2" t="s">
        <v>36</v>
      </c>
      <c r="E106" s="2" t="s">
        <v>141</v>
      </c>
      <c r="F106" s="2" t="s">
        <v>3</v>
      </c>
      <c r="G106" s="3">
        <v>0</v>
      </c>
      <c r="H106" s="8">
        <v>12</v>
      </c>
      <c r="I106" s="3">
        <v>10080000</v>
      </c>
      <c r="J106" s="3">
        <v>10080000</v>
      </c>
    </row>
    <row r="107" spans="1:10" x14ac:dyDescent="0.25">
      <c r="A107" s="2">
        <v>107</v>
      </c>
      <c r="B107" s="18">
        <v>46126.121116469905</v>
      </c>
      <c r="C107" s="2" t="s">
        <v>123</v>
      </c>
      <c r="D107" s="2" t="s">
        <v>36</v>
      </c>
      <c r="E107" s="2" t="s">
        <v>141</v>
      </c>
      <c r="F107" s="2" t="s">
        <v>3</v>
      </c>
      <c r="G107" s="3">
        <v>0</v>
      </c>
      <c r="H107" s="8">
        <v>2</v>
      </c>
      <c r="I107" s="3">
        <v>1680000</v>
      </c>
      <c r="J107" s="3">
        <v>0</v>
      </c>
    </row>
    <row r="108" spans="1:10" x14ac:dyDescent="0.25">
      <c r="A108" s="2">
        <v>108</v>
      </c>
      <c r="B108" s="18">
        <v>46126.12075130787</v>
      </c>
      <c r="C108" s="2" t="s">
        <v>123</v>
      </c>
      <c r="D108" s="2" t="s">
        <v>36</v>
      </c>
      <c r="E108" s="2" t="s">
        <v>141</v>
      </c>
      <c r="F108" s="2" t="s">
        <v>3</v>
      </c>
      <c r="G108" s="3">
        <v>0</v>
      </c>
      <c r="H108" s="8">
        <v>12</v>
      </c>
      <c r="I108" s="3">
        <v>10080000</v>
      </c>
      <c r="J108" s="3">
        <v>10080000</v>
      </c>
    </row>
    <row r="109" spans="1:10" x14ac:dyDescent="0.25">
      <c r="A109" s="2">
        <v>109</v>
      </c>
      <c r="B109" s="18">
        <v>46126.12075130787</v>
      </c>
      <c r="C109" s="2" t="s">
        <v>123</v>
      </c>
      <c r="D109" s="2" t="s">
        <v>36</v>
      </c>
      <c r="E109" s="2" t="s">
        <v>141</v>
      </c>
      <c r="F109" s="2" t="s">
        <v>3</v>
      </c>
      <c r="G109" s="3">
        <v>0</v>
      </c>
      <c r="H109" s="8">
        <v>2</v>
      </c>
      <c r="I109" s="3">
        <v>1680000</v>
      </c>
      <c r="J109" s="3">
        <v>0</v>
      </c>
    </row>
    <row r="110" spans="1:10" x14ac:dyDescent="0.25">
      <c r="A110" s="2">
        <v>110</v>
      </c>
      <c r="B110" s="18">
        <v>46123.18898553241</v>
      </c>
      <c r="C110" s="2" t="s">
        <v>123</v>
      </c>
      <c r="D110" s="2" t="s">
        <v>58</v>
      </c>
      <c r="E110" s="2" t="s">
        <v>141</v>
      </c>
      <c r="F110" s="2" t="s">
        <v>3</v>
      </c>
      <c r="G110" s="3">
        <v>0</v>
      </c>
      <c r="H110" s="8">
        <v>384</v>
      </c>
      <c r="I110" s="3">
        <v>322560000</v>
      </c>
      <c r="J110" s="3">
        <v>322560000</v>
      </c>
    </row>
    <row r="111" spans="1:10" x14ac:dyDescent="0.25">
      <c r="A111" s="2">
        <v>111</v>
      </c>
      <c r="B111" s="18">
        <v>46123.18898553241</v>
      </c>
      <c r="C111" s="2" t="s">
        <v>123</v>
      </c>
      <c r="D111" s="2" t="s">
        <v>58</v>
      </c>
      <c r="E111" s="2" t="s">
        <v>141</v>
      </c>
      <c r="F111" s="2" t="s">
        <v>3</v>
      </c>
      <c r="G111" s="3">
        <v>0</v>
      </c>
      <c r="H111" s="8">
        <v>96</v>
      </c>
      <c r="I111" s="3">
        <v>80640000</v>
      </c>
      <c r="J111" s="3">
        <v>0</v>
      </c>
    </row>
    <row r="112" spans="1:10" x14ac:dyDescent="0.25">
      <c r="A112" s="2">
        <v>112</v>
      </c>
      <c r="B112" s="18">
        <v>46123.15179076389</v>
      </c>
      <c r="C112" s="2" t="s">
        <v>123</v>
      </c>
      <c r="D112" s="2" t="s">
        <v>26</v>
      </c>
      <c r="E112" s="2" t="s">
        <v>141</v>
      </c>
      <c r="F112" s="2" t="s">
        <v>3</v>
      </c>
      <c r="G112" s="3">
        <v>0</v>
      </c>
      <c r="H112" s="8">
        <v>256</v>
      </c>
      <c r="I112" s="3">
        <v>215040000</v>
      </c>
      <c r="J112" s="3">
        <v>215040000</v>
      </c>
    </row>
    <row r="113" spans="1:10" x14ac:dyDescent="0.25">
      <c r="A113" s="2">
        <v>113</v>
      </c>
      <c r="B113" s="18">
        <v>46123.15179076389</v>
      </c>
      <c r="C113" s="2" t="s">
        <v>123</v>
      </c>
      <c r="D113" s="2" t="s">
        <v>26</v>
      </c>
      <c r="E113" s="2" t="s">
        <v>141</v>
      </c>
      <c r="F113" s="2" t="s">
        <v>3</v>
      </c>
      <c r="G113" s="3">
        <v>0</v>
      </c>
      <c r="H113" s="8">
        <v>64</v>
      </c>
      <c r="I113" s="3">
        <v>53760000</v>
      </c>
      <c r="J113" s="3">
        <v>0</v>
      </c>
    </row>
    <row r="114" spans="1:10" x14ac:dyDescent="0.25">
      <c r="A114" s="2">
        <v>114</v>
      </c>
      <c r="B114" s="18">
        <v>46120.15387780093</v>
      </c>
      <c r="C114" s="2" t="s">
        <v>123</v>
      </c>
      <c r="D114" s="2" t="s">
        <v>37</v>
      </c>
      <c r="E114" s="2" t="s">
        <v>141</v>
      </c>
      <c r="F114" s="2" t="s">
        <v>3</v>
      </c>
      <c r="G114" s="3">
        <v>0</v>
      </c>
      <c r="H114" s="8">
        <v>320</v>
      </c>
      <c r="I114" s="3">
        <v>268800000</v>
      </c>
      <c r="J114" s="3">
        <v>201600000</v>
      </c>
    </row>
    <row r="115" spans="1:10" x14ac:dyDescent="0.25">
      <c r="A115" s="2">
        <v>115</v>
      </c>
      <c r="B115" s="18">
        <v>46119.39875064815</v>
      </c>
      <c r="C115" s="2" t="s">
        <v>123</v>
      </c>
      <c r="D115" s="2" t="s">
        <v>76</v>
      </c>
      <c r="E115" s="2" t="s">
        <v>141</v>
      </c>
      <c r="F115" s="2" t="s">
        <v>3</v>
      </c>
      <c r="G115" s="3">
        <v>0</v>
      </c>
      <c r="H115" s="8">
        <v>16</v>
      </c>
      <c r="I115" s="3">
        <v>13440000</v>
      </c>
      <c r="J115" s="3">
        <v>11424000</v>
      </c>
    </row>
    <row r="116" spans="1:10" x14ac:dyDescent="0.25">
      <c r="A116" s="2">
        <v>116</v>
      </c>
      <c r="B116" s="18">
        <v>46119.2702521875</v>
      </c>
      <c r="C116" s="2" t="s">
        <v>123</v>
      </c>
      <c r="D116" s="2" t="s">
        <v>27</v>
      </c>
      <c r="E116" s="2" t="s">
        <v>141</v>
      </c>
      <c r="F116" s="2" t="s">
        <v>3</v>
      </c>
      <c r="G116" s="3">
        <v>0</v>
      </c>
      <c r="H116" s="8">
        <v>1008</v>
      </c>
      <c r="I116" s="3">
        <v>846720000</v>
      </c>
      <c r="J116" s="3">
        <v>584236800</v>
      </c>
    </row>
    <row r="117" spans="1:10" x14ac:dyDescent="0.25">
      <c r="A117" s="2">
        <v>117</v>
      </c>
      <c r="B117" s="18">
        <v>46118.1376383912</v>
      </c>
      <c r="C117" s="2" t="s">
        <v>123</v>
      </c>
      <c r="D117" s="2" t="s">
        <v>57</v>
      </c>
      <c r="E117" s="2" t="s">
        <v>141</v>
      </c>
      <c r="F117" s="2" t="s">
        <v>3</v>
      </c>
      <c r="G117" s="3">
        <v>0</v>
      </c>
      <c r="H117" s="8">
        <v>32</v>
      </c>
      <c r="I117" s="3">
        <v>26880000</v>
      </c>
      <c r="J117" s="3">
        <v>22848000</v>
      </c>
    </row>
    <row r="118" spans="1:10" x14ac:dyDescent="0.25">
      <c r="A118" s="2">
        <v>118</v>
      </c>
      <c r="B118" s="18">
        <v>46115.34658653935</v>
      </c>
      <c r="C118" s="2" t="s">
        <v>123</v>
      </c>
      <c r="D118" s="2" t="s">
        <v>82</v>
      </c>
      <c r="E118" s="2" t="s">
        <v>141</v>
      </c>
      <c r="F118" s="2" t="s">
        <v>3</v>
      </c>
      <c r="G118" s="3">
        <v>0</v>
      </c>
      <c r="H118" s="8">
        <v>16</v>
      </c>
      <c r="I118" s="3">
        <v>13440000</v>
      </c>
      <c r="J118" s="3">
        <v>11424000</v>
      </c>
    </row>
    <row r="119" spans="1:10" x14ac:dyDescent="0.25">
      <c r="A119" s="2">
        <v>119</v>
      </c>
      <c r="B119" s="18">
        <v>46114.15826215278</v>
      </c>
      <c r="C119" s="2" t="s">
        <v>123</v>
      </c>
      <c r="D119" s="2" t="s">
        <v>53</v>
      </c>
      <c r="E119" s="2" t="s">
        <v>141</v>
      </c>
      <c r="F119" s="2" t="s">
        <v>3</v>
      </c>
      <c r="G119" s="3">
        <v>0</v>
      </c>
      <c r="H119" s="8">
        <v>80</v>
      </c>
      <c r="I119" s="3">
        <v>67200000</v>
      </c>
      <c r="J119" s="3">
        <v>53760000</v>
      </c>
    </row>
    <row r="120" spans="1:10" x14ac:dyDescent="0.25">
      <c r="A120" s="2">
        <v>120</v>
      </c>
      <c r="B120" s="18">
        <v>46114.0701417824</v>
      </c>
      <c r="C120" s="2" t="s">
        <v>123</v>
      </c>
      <c r="D120" s="2" t="s">
        <v>80</v>
      </c>
      <c r="E120" s="2" t="s">
        <v>141</v>
      </c>
      <c r="F120" s="2" t="s">
        <v>3</v>
      </c>
      <c r="G120" s="3">
        <v>0</v>
      </c>
      <c r="H120" s="8">
        <v>160</v>
      </c>
      <c r="I120" s="3">
        <v>134400000</v>
      </c>
      <c r="J120" s="3">
        <v>107520000</v>
      </c>
    </row>
    <row r="121" spans="1:10" x14ac:dyDescent="0.25">
      <c r="A121" s="2">
        <v>121</v>
      </c>
      <c r="B121" s="18">
        <v>46114.06868684028</v>
      </c>
      <c r="C121" s="2" t="s">
        <v>123</v>
      </c>
      <c r="D121" s="2" t="s">
        <v>28</v>
      </c>
      <c r="E121" s="2" t="s">
        <v>141</v>
      </c>
      <c r="F121" s="2" t="s">
        <v>3</v>
      </c>
      <c r="G121" s="3">
        <v>0</v>
      </c>
      <c r="H121" s="8">
        <v>160</v>
      </c>
      <c r="I121" s="3">
        <v>134400000</v>
      </c>
      <c r="J121" s="3">
        <v>107520000</v>
      </c>
    </row>
    <row r="122" spans="1:10" x14ac:dyDescent="0.25">
      <c r="A122" s="2">
        <v>122</v>
      </c>
      <c r="B122" s="18">
        <v>46114.067928275465</v>
      </c>
      <c r="C122" s="2" t="s">
        <v>123</v>
      </c>
      <c r="D122" s="2" t="s">
        <v>10</v>
      </c>
      <c r="E122" s="2" t="s">
        <v>141</v>
      </c>
      <c r="F122" s="2" t="s">
        <v>3</v>
      </c>
      <c r="G122" s="3">
        <v>0</v>
      </c>
      <c r="H122" s="8">
        <v>480</v>
      </c>
      <c r="I122" s="3">
        <v>403200000</v>
      </c>
      <c r="J122" s="3">
        <v>302400000</v>
      </c>
    </row>
    <row r="123" spans="1:10" x14ac:dyDescent="0.25">
      <c r="A123" s="2">
        <v>123</v>
      </c>
      <c r="B123" s="18">
        <v>46113.129527199075</v>
      </c>
      <c r="C123" s="2" t="s">
        <v>123</v>
      </c>
      <c r="D123" s="2" t="s">
        <v>19</v>
      </c>
      <c r="E123" s="2" t="s">
        <v>141</v>
      </c>
      <c r="F123" s="2" t="s">
        <v>3</v>
      </c>
      <c r="G123" s="3">
        <v>0</v>
      </c>
      <c r="H123" s="8">
        <v>160</v>
      </c>
      <c r="I123" s="3">
        <v>134400000</v>
      </c>
      <c r="J123" s="3">
        <v>107520000</v>
      </c>
    </row>
    <row r="124" spans="1:10" x14ac:dyDescent="0.25">
      <c r="A124" s="2">
        <v>124</v>
      </c>
      <c r="B124" s="18">
        <v>46113.080912731486</v>
      </c>
      <c r="C124" s="2" t="s">
        <v>123</v>
      </c>
      <c r="D124" s="2" t="s">
        <v>43</v>
      </c>
      <c r="E124" s="2" t="s">
        <v>141</v>
      </c>
      <c r="F124" s="2" t="s">
        <v>3</v>
      </c>
      <c r="G124" s="3">
        <v>0</v>
      </c>
      <c r="H124" s="8">
        <v>112</v>
      </c>
      <c r="I124" s="3">
        <v>94080000</v>
      </c>
      <c r="J124" s="3">
        <v>75264000</v>
      </c>
    </row>
    <row r="125" spans="1:10" x14ac:dyDescent="0.25">
      <c r="A125" s="2">
        <v>125</v>
      </c>
      <c r="B125" s="18">
        <v>46112.2630815625</v>
      </c>
      <c r="C125" s="2" t="s">
        <v>122</v>
      </c>
      <c r="D125" s="2" t="s">
        <v>16</v>
      </c>
      <c r="E125" s="2" t="s">
        <v>141</v>
      </c>
      <c r="F125" s="2" t="s">
        <v>3</v>
      </c>
      <c r="G125" s="3">
        <v>0</v>
      </c>
      <c r="H125" s="8">
        <v>160</v>
      </c>
      <c r="I125" s="3">
        <v>134400000</v>
      </c>
      <c r="J125" s="3">
        <v>107520000</v>
      </c>
    </row>
    <row r="126" spans="1:10" x14ac:dyDescent="0.25">
      <c r="A126" s="2">
        <v>126</v>
      </c>
      <c r="B126" s="18">
        <v>46112.06713028935</v>
      </c>
      <c r="C126" s="2" t="s">
        <v>122</v>
      </c>
      <c r="D126" s="2" t="s">
        <v>7</v>
      </c>
      <c r="E126" s="2" t="s">
        <v>141</v>
      </c>
      <c r="F126" s="2" t="s">
        <v>3</v>
      </c>
      <c r="G126" s="3">
        <v>0</v>
      </c>
      <c r="H126" s="8">
        <v>352</v>
      </c>
      <c r="I126" s="3">
        <v>295680000</v>
      </c>
      <c r="J126" s="3">
        <v>212438014</v>
      </c>
    </row>
    <row r="127" spans="1:10" x14ac:dyDescent="0.25">
      <c r="A127" s="2">
        <v>127</v>
      </c>
      <c r="B127" s="18">
        <v>46112.06630496528</v>
      </c>
      <c r="C127" s="2" t="s">
        <v>122</v>
      </c>
      <c r="D127" s="2" t="s">
        <v>17</v>
      </c>
      <c r="E127" s="2" t="s">
        <v>141</v>
      </c>
      <c r="F127" s="2" t="s">
        <v>3</v>
      </c>
      <c r="G127" s="3">
        <v>0</v>
      </c>
      <c r="H127" s="8">
        <v>80</v>
      </c>
      <c r="I127" s="3">
        <v>67200000</v>
      </c>
      <c r="J127" s="3">
        <v>53760000</v>
      </c>
    </row>
    <row r="128" spans="1:10" x14ac:dyDescent="0.25">
      <c r="A128" s="2">
        <v>128</v>
      </c>
      <c r="B128" s="18">
        <v>46111.30004552084</v>
      </c>
      <c r="C128" s="2" t="s">
        <v>122</v>
      </c>
      <c r="D128" s="2" t="s">
        <v>6</v>
      </c>
      <c r="E128" s="2" t="s">
        <v>141</v>
      </c>
      <c r="F128" s="2" t="s">
        <v>3</v>
      </c>
      <c r="G128" s="3">
        <v>0</v>
      </c>
      <c r="H128" s="8">
        <v>640</v>
      </c>
      <c r="I128" s="3">
        <v>537600000</v>
      </c>
      <c r="J128" s="3">
        <v>403200000</v>
      </c>
    </row>
    <row r="129" spans="1:10" x14ac:dyDescent="0.25">
      <c r="A129" s="2">
        <v>129</v>
      </c>
      <c r="B129" s="18">
        <v>46111.07480486111</v>
      </c>
      <c r="C129" s="2" t="s">
        <v>122</v>
      </c>
      <c r="D129" s="2" t="s">
        <v>75</v>
      </c>
      <c r="E129" s="2" t="s">
        <v>141</v>
      </c>
      <c r="F129" s="2" t="s">
        <v>3</v>
      </c>
      <c r="G129" s="3">
        <v>0</v>
      </c>
      <c r="H129" s="8">
        <v>160</v>
      </c>
      <c r="I129" s="3">
        <v>134400000</v>
      </c>
      <c r="J129" s="3">
        <v>104826257</v>
      </c>
    </row>
    <row r="130" spans="1:10" x14ac:dyDescent="0.25">
      <c r="A130" s="2">
        <v>130</v>
      </c>
      <c r="B130" s="18">
        <v>46109.08515488426</v>
      </c>
      <c r="C130" s="2" t="s">
        <v>122</v>
      </c>
      <c r="D130" s="2" t="s">
        <v>11</v>
      </c>
      <c r="E130" s="2" t="s">
        <v>141</v>
      </c>
      <c r="F130" s="2" t="s">
        <v>3</v>
      </c>
      <c r="G130" s="3">
        <v>0</v>
      </c>
      <c r="H130" s="8">
        <v>320</v>
      </c>
      <c r="I130" s="3">
        <v>268800000</v>
      </c>
      <c r="J130" s="3">
        <v>201600000</v>
      </c>
    </row>
    <row r="131" spans="1:10" x14ac:dyDescent="0.25">
      <c r="A131" s="2">
        <v>131</v>
      </c>
      <c r="B131" s="18">
        <v>46108.29548946759</v>
      </c>
      <c r="C131" s="2" t="s">
        <v>122</v>
      </c>
      <c r="D131" s="2" t="s">
        <v>65</v>
      </c>
      <c r="E131" s="2" t="s">
        <v>141</v>
      </c>
      <c r="F131" s="2" t="s">
        <v>3</v>
      </c>
      <c r="G131" s="3">
        <v>0</v>
      </c>
      <c r="H131" s="8">
        <v>80</v>
      </c>
      <c r="I131" s="3">
        <v>67200000</v>
      </c>
      <c r="J131" s="3">
        <v>53760000</v>
      </c>
    </row>
    <row r="132" spans="1:10" x14ac:dyDescent="0.25">
      <c r="A132" s="2">
        <v>132</v>
      </c>
      <c r="B132" s="18">
        <v>46108.29524193287</v>
      </c>
      <c r="C132" s="2" t="s">
        <v>122</v>
      </c>
      <c r="D132" s="2" t="s">
        <v>66</v>
      </c>
      <c r="E132" s="2" t="s">
        <v>141</v>
      </c>
      <c r="F132" s="2" t="s">
        <v>3</v>
      </c>
      <c r="G132" s="3">
        <v>0</v>
      </c>
      <c r="H132" s="8">
        <v>80</v>
      </c>
      <c r="I132" s="3">
        <v>67200000</v>
      </c>
      <c r="J132" s="3">
        <v>53760000</v>
      </c>
    </row>
    <row r="133" spans="1:10" x14ac:dyDescent="0.25">
      <c r="A133" s="2">
        <v>133</v>
      </c>
      <c r="B133" s="18">
        <v>46108.18530474537</v>
      </c>
      <c r="C133" s="2" t="s">
        <v>122</v>
      </c>
      <c r="D133" s="2" t="s">
        <v>58</v>
      </c>
      <c r="E133" s="2" t="s">
        <v>141</v>
      </c>
      <c r="F133" s="2" t="s">
        <v>3</v>
      </c>
      <c r="G133" s="3">
        <v>0</v>
      </c>
      <c r="H133" s="8">
        <v>320</v>
      </c>
      <c r="I133" s="3">
        <v>268800000</v>
      </c>
      <c r="J133" s="3">
        <v>201600000</v>
      </c>
    </row>
    <row r="134" spans="1:10" x14ac:dyDescent="0.25">
      <c r="A134" s="2">
        <v>134</v>
      </c>
      <c r="B134" s="18">
        <v>46108.18503163195</v>
      </c>
      <c r="C134" s="2" t="s">
        <v>122</v>
      </c>
      <c r="D134" s="2" t="s">
        <v>46</v>
      </c>
      <c r="E134" s="2" t="s">
        <v>141</v>
      </c>
      <c r="F134" s="2" t="s">
        <v>3</v>
      </c>
      <c r="G134" s="3">
        <v>0</v>
      </c>
      <c r="H134" s="8">
        <v>320</v>
      </c>
      <c r="I134" s="3">
        <v>268800000</v>
      </c>
      <c r="J134" s="3">
        <v>201600000</v>
      </c>
    </row>
    <row r="135" spans="1:10" x14ac:dyDescent="0.25">
      <c r="A135" s="2">
        <v>135</v>
      </c>
      <c r="B135" s="18">
        <v>46108.16639513889</v>
      </c>
      <c r="C135" s="2" t="s">
        <v>122</v>
      </c>
      <c r="D135" s="2" t="s">
        <v>7</v>
      </c>
      <c r="E135" s="2" t="s">
        <v>141</v>
      </c>
      <c r="F135" s="2" t="s">
        <v>3</v>
      </c>
      <c r="G135" s="3">
        <v>0</v>
      </c>
      <c r="H135" s="8">
        <v>160</v>
      </c>
      <c r="I135" s="3">
        <v>134400000</v>
      </c>
      <c r="J135" s="3">
        <v>99456000</v>
      </c>
    </row>
    <row r="136" spans="1:10" x14ac:dyDescent="0.25">
      <c r="A136" s="2">
        <v>136</v>
      </c>
      <c r="B136" s="18">
        <v>46108.112122604165</v>
      </c>
      <c r="C136" s="2" t="s">
        <v>122</v>
      </c>
      <c r="D136" s="2" t="s">
        <v>72</v>
      </c>
      <c r="E136" s="2" t="s">
        <v>141</v>
      </c>
      <c r="F136" s="2" t="s">
        <v>3</v>
      </c>
      <c r="G136" s="3">
        <v>0</v>
      </c>
      <c r="H136" s="8">
        <v>32</v>
      </c>
      <c r="I136" s="3">
        <v>26880000</v>
      </c>
      <c r="J136" s="3">
        <v>22848000</v>
      </c>
    </row>
    <row r="137" spans="1:10" x14ac:dyDescent="0.25">
      <c r="A137" s="2">
        <v>137</v>
      </c>
      <c r="B137" s="18">
        <v>46108.06457743056</v>
      </c>
      <c r="C137" s="2" t="s">
        <v>122</v>
      </c>
      <c r="D137" s="2" t="s">
        <v>27</v>
      </c>
      <c r="E137" s="2" t="s">
        <v>141</v>
      </c>
      <c r="F137" s="2" t="s">
        <v>3</v>
      </c>
      <c r="G137" s="3">
        <v>0</v>
      </c>
      <c r="H137" s="8">
        <v>1008</v>
      </c>
      <c r="I137" s="3">
        <v>846720000</v>
      </c>
      <c r="J137" s="3">
        <v>584236800</v>
      </c>
    </row>
    <row r="138" spans="1:10" x14ac:dyDescent="0.25">
      <c r="A138" s="2">
        <v>138</v>
      </c>
      <c r="B138" s="18">
        <v>46108.06405347222</v>
      </c>
      <c r="C138" s="2" t="s">
        <v>122</v>
      </c>
      <c r="D138" s="2" t="s">
        <v>39</v>
      </c>
      <c r="E138" s="2" t="s">
        <v>141</v>
      </c>
      <c r="F138" s="2" t="s">
        <v>3</v>
      </c>
      <c r="G138" s="3">
        <v>0</v>
      </c>
      <c r="H138" s="8">
        <v>320</v>
      </c>
      <c r="I138" s="3">
        <v>268800000</v>
      </c>
      <c r="J138" s="3">
        <v>201600000</v>
      </c>
    </row>
    <row r="139" spans="1:10" x14ac:dyDescent="0.25">
      <c r="A139" s="2">
        <v>139</v>
      </c>
      <c r="B139" s="18">
        <v>46107.095924340276</v>
      </c>
      <c r="C139" s="2" t="s">
        <v>122</v>
      </c>
      <c r="D139" s="2" t="s">
        <v>22</v>
      </c>
      <c r="E139" s="2" t="s">
        <v>141</v>
      </c>
      <c r="F139" s="2" t="s">
        <v>3</v>
      </c>
      <c r="G139" s="3">
        <v>0</v>
      </c>
      <c r="H139" s="8">
        <v>1500</v>
      </c>
      <c r="I139" s="3">
        <v>1260000000</v>
      </c>
      <c r="J139" s="3">
        <v>869400000</v>
      </c>
    </row>
    <row r="140" spans="1:10" x14ac:dyDescent="0.25">
      <c r="A140" s="2">
        <v>140</v>
      </c>
      <c r="B140" s="18">
        <v>46107.09045717593</v>
      </c>
      <c r="C140" s="2" t="s">
        <v>122</v>
      </c>
      <c r="D140" s="2" t="s">
        <v>31</v>
      </c>
      <c r="E140" s="2" t="s">
        <v>141</v>
      </c>
      <c r="F140" s="2" t="s">
        <v>3</v>
      </c>
      <c r="G140" s="3">
        <v>0</v>
      </c>
      <c r="H140" s="8">
        <v>5120</v>
      </c>
      <c r="I140" s="3">
        <v>4300800000</v>
      </c>
      <c r="J140" s="3">
        <v>2967552000</v>
      </c>
    </row>
    <row r="141" spans="1:10" x14ac:dyDescent="0.25">
      <c r="A141" s="2">
        <v>141</v>
      </c>
      <c r="B141" s="18">
        <v>46105.43111535879</v>
      </c>
      <c r="C141" s="2" t="s">
        <v>122</v>
      </c>
      <c r="D141" s="2" t="s">
        <v>80</v>
      </c>
      <c r="E141" s="2" t="s">
        <v>141</v>
      </c>
      <c r="F141" s="2" t="s">
        <v>3</v>
      </c>
      <c r="G141" s="3">
        <v>0</v>
      </c>
      <c r="H141" s="8">
        <v>16</v>
      </c>
      <c r="I141" s="3">
        <v>12800000</v>
      </c>
      <c r="J141" s="3">
        <v>10880000</v>
      </c>
    </row>
    <row r="142" spans="1:10" x14ac:dyDescent="0.25">
      <c r="A142" s="2">
        <v>142</v>
      </c>
      <c r="B142" s="18">
        <v>46104.18085925926</v>
      </c>
      <c r="C142" s="2" t="s">
        <v>122</v>
      </c>
      <c r="D142" s="2" t="s">
        <v>20</v>
      </c>
      <c r="E142" s="2" t="s">
        <v>141</v>
      </c>
      <c r="F142" s="2" t="s">
        <v>3</v>
      </c>
      <c r="G142" s="3">
        <v>0</v>
      </c>
      <c r="H142" s="8">
        <v>16</v>
      </c>
      <c r="I142" s="3">
        <v>12800000</v>
      </c>
      <c r="J142" s="3">
        <v>11424000</v>
      </c>
    </row>
    <row r="143" spans="1:10" x14ac:dyDescent="0.25">
      <c r="A143" s="2">
        <v>143</v>
      </c>
      <c r="B143" s="18">
        <v>46102.08679459491</v>
      </c>
      <c r="C143" s="2" t="s">
        <v>122</v>
      </c>
      <c r="D143" s="2" t="s">
        <v>29</v>
      </c>
      <c r="E143" s="2" t="s">
        <v>141</v>
      </c>
      <c r="F143" s="2" t="s">
        <v>3</v>
      </c>
      <c r="G143" s="3">
        <v>0</v>
      </c>
      <c r="H143" s="8">
        <v>560</v>
      </c>
      <c r="I143" s="3">
        <v>448000000</v>
      </c>
      <c r="J143" s="3">
        <v>336000000</v>
      </c>
    </row>
    <row r="144" spans="1:10" x14ac:dyDescent="0.25">
      <c r="A144" s="2">
        <v>144</v>
      </c>
      <c r="B144" s="18">
        <v>46100.297425729164</v>
      </c>
      <c r="C144" s="2" t="s">
        <v>122</v>
      </c>
      <c r="D144" s="2" t="s">
        <v>2</v>
      </c>
      <c r="E144" s="2" t="s">
        <v>141</v>
      </c>
      <c r="F144" s="2" t="s">
        <v>3</v>
      </c>
      <c r="G144" s="3">
        <v>0</v>
      </c>
      <c r="H144" s="8">
        <v>32</v>
      </c>
      <c r="I144" s="3">
        <v>25600000</v>
      </c>
      <c r="J144" s="3">
        <v>20480000</v>
      </c>
    </row>
    <row r="145" spans="1:10" x14ac:dyDescent="0.25">
      <c r="A145" s="2">
        <v>145</v>
      </c>
      <c r="B145" s="18">
        <v>46099.17721658565</v>
      </c>
      <c r="C145" s="2" t="s">
        <v>122</v>
      </c>
      <c r="D145" s="2" t="s">
        <v>25</v>
      </c>
      <c r="E145" s="2" t="s">
        <v>141</v>
      </c>
      <c r="F145" s="2" t="s">
        <v>3</v>
      </c>
      <c r="G145" s="3">
        <v>0</v>
      </c>
      <c r="H145" s="8">
        <v>16</v>
      </c>
      <c r="I145" s="3">
        <v>12800000</v>
      </c>
      <c r="J145" s="3">
        <v>10880000</v>
      </c>
    </row>
    <row r="146" spans="1:10" x14ac:dyDescent="0.25">
      <c r="A146" s="2">
        <v>146</v>
      </c>
      <c r="B146" s="18">
        <v>46099.06494626157</v>
      </c>
      <c r="C146" s="2" t="s">
        <v>122</v>
      </c>
      <c r="D146" s="2" t="s">
        <v>64</v>
      </c>
      <c r="E146" s="2" t="s">
        <v>141</v>
      </c>
      <c r="F146" s="2" t="s">
        <v>3</v>
      </c>
      <c r="G146" s="3">
        <v>0</v>
      </c>
      <c r="H146" s="8">
        <v>64</v>
      </c>
      <c r="I146" s="3">
        <v>51200000</v>
      </c>
      <c r="J146" s="3">
        <v>40960000</v>
      </c>
    </row>
    <row r="147" spans="1:10" x14ac:dyDescent="0.25">
      <c r="A147" s="2">
        <v>147</v>
      </c>
      <c r="B147" s="18">
        <v>46098.343743634265</v>
      </c>
      <c r="C147" s="2" t="s">
        <v>122</v>
      </c>
      <c r="D147" s="2" t="s">
        <v>56</v>
      </c>
      <c r="E147" s="2" t="s">
        <v>141</v>
      </c>
      <c r="F147" s="2" t="s">
        <v>3</v>
      </c>
      <c r="G147" s="3">
        <v>0</v>
      </c>
      <c r="H147" s="8">
        <v>48</v>
      </c>
      <c r="I147" s="3">
        <v>38400000</v>
      </c>
      <c r="J147" s="3">
        <v>30720000</v>
      </c>
    </row>
    <row r="148" spans="1:10" x14ac:dyDescent="0.25">
      <c r="A148" s="2">
        <v>148</v>
      </c>
      <c r="B148" s="18">
        <v>46098.285737812505</v>
      </c>
      <c r="C148" s="2" t="s">
        <v>122</v>
      </c>
      <c r="D148" s="2" t="s">
        <v>36</v>
      </c>
      <c r="E148" s="2" t="s">
        <v>141</v>
      </c>
      <c r="F148" s="2" t="s">
        <v>3</v>
      </c>
      <c r="G148" s="3">
        <v>0</v>
      </c>
      <c r="H148" s="8">
        <v>16</v>
      </c>
      <c r="I148" s="3">
        <v>12800000</v>
      </c>
      <c r="J148" s="3">
        <v>10880000</v>
      </c>
    </row>
    <row r="149" spans="1:10" x14ac:dyDescent="0.25">
      <c r="A149" s="2">
        <v>149</v>
      </c>
      <c r="B149" s="18">
        <v>46098.068265243055</v>
      </c>
      <c r="C149" s="2" t="s">
        <v>122</v>
      </c>
      <c r="D149" s="2" t="s">
        <v>86</v>
      </c>
      <c r="E149" s="2" t="s">
        <v>141</v>
      </c>
      <c r="F149" s="2" t="s">
        <v>3</v>
      </c>
      <c r="G149" s="3">
        <v>0</v>
      </c>
      <c r="H149" s="8">
        <v>16</v>
      </c>
      <c r="I149" s="3">
        <v>12800000</v>
      </c>
      <c r="J149" s="3">
        <v>10880000</v>
      </c>
    </row>
    <row r="150" spans="1:10" x14ac:dyDescent="0.25">
      <c r="A150" s="2">
        <v>150</v>
      </c>
      <c r="B150" s="18">
        <v>46097.14925185185</v>
      </c>
      <c r="C150" s="2" t="s">
        <v>122</v>
      </c>
      <c r="D150" s="2" t="s">
        <v>56</v>
      </c>
      <c r="E150" s="2" t="s">
        <v>141</v>
      </c>
      <c r="F150" s="2" t="s">
        <v>3</v>
      </c>
      <c r="G150" s="3">
        <v>0</v>
      </c>
      <c r="H150" s="8">
        <v>48</v>
      </c>
      <c r="I150" s="3">
        <v>38400000</v>
      </c>
      <c r="J150" s="3">
        <v>30720000</v>
      </c>
    </row>
    <row r="151" spans="1:10" x14ac:dyDescent="0.25">
      <c r="A151" s="2">
        <v>151</v>
      </c>
      <c r="B151" s="18">
        <v>46095.133513622684</v>
      </c>
      <c r="C151" s="2" t="s">
        <v>122</v>
      </c>
      <c r="D151" s="2" t="s">
        <v>87</v>
      </c>
      <c r="E151" s="2" t="s">
        <v>141</v>
      </c>
      <c r="F151" s="2" t="s">
        <v>3</v>
      </c>
      <c r="G151" s="3">
        <v>0</v>
      </c>
      <c r="H151" s="8">
        <v>16</v>
      </c>
      <c r="I151" s="3">
        <v>12800000</v>
      </c>
      <c r="J151" s="3">
        <v>10880000</v>
      </c>
    </row>
    <row r="152" spans="1:10" x14ac:dyDescent="0.25">
      <c r="A152" s="2">
        <v>152</v>
      </c>
      <c r="B152" s="18">
        <v>46094.25821516204</v>
      </c>
      <c r="C152" s="2" t="s">
        <v>122</v>
      </c>
      <c r="D152" s="2" t="s">
        <v>75</v>
      </c>
      <c r="E152" s="2" t="s">
        <v>141</v>
      </c>
      <c r="F152" s="2" t="s">
        <v>3</v>
      </c>
      <c r="G152" s="3">
        <v>0</v>
      </c>
      <c r="H152" s="8">
        <v>64</v>
      </c>
      <c r="I152" s="3">
        <v>51200000</v>
      </c>
      <c r="J152" s="3">
        <v>40960000</v>
      </c>
    </row>
    <row r="153" spans="1:10" x14ac:dyDescent="0.25">
      <c r="A153" s="2">
        <v>153</v>
      </c>
      <c r="B153" s="18">
        <v>46094.07152837963</v>
      </c>
      <c r="C153" s="2" t="s">
        <v>122</v>
      </c>
      <c r="D153" s="2" t="s">
        <v>50</v>
      </c>
      <c r="E153" s="2" t="s">
        <v>141</v>
      </c>
      <c r="F153" s="2" t="s">
        <v>3</v>
      </c>
      <c r="G153" s="3">
        <v>0</v>
      </c>
      <c r="H153" s="8">
        <v>16</v>
      </c>
      <c r="I153" s="3">
        <v>12800000</v>
      </c>
      <c r="J153" s="3">
        <v>10880000</v>
      </c>
    </row>
    <row r="154" spans="1:10" x14ac:dyDescent="0.25">
      <c r="A154" s="2">
        <v>154</v>
      </c>
      <c r="B154" s="18">
        <v>46092.26116704861</v>
      </c>
      <c r="C154" s="2" t="s">
        <v>122</v>
      </c>
      <c r="D154" s="2" t="s">
        <v>69</v>
      </c>
      <c r="E154" s="2" t="s">
        <v>141</v>
      </c>
      <c r="F154" s="2" t="s">
        <v>3</v>
      </c>
      <c r="G154" s="3">
        <v>0</v>
      </c>
      <c r="H154" s="8">
        <v>32</v>
      </c>
      <c r="I154" s="3">
        <v>25600000</v>
      </c>
      <c r="J154" s="3">
        <v>20480000</v>
      </c>
    </row>
    <row r="155" spans="1:10" x14ac:dyDescent="0.25">
      <c r="A155" s="2">
        <v>155</v>
      </c>
      <c r="B155" s="18">
        <v>46092.09448105324</v>
      </c>
      <c r="C155" s="2" t="s">
        <v>122</v>
      </c>
      <c r="D155" s="2" t="s">
        <v>59</v>
      </c>
      <c r="E155" s="2" t="s">
        <v>141</v>
      </c>
      <c r="F155" s="2" t="s">
        <v>3</v>
      </c>
      <c r="G155" s="3">
        <v>0</v>
      </c>
      <c r="H155" s="8">
        <v>16</v>
      </c>
      <c r="I155" s="3">
        <v>12800000</v>
      </c>
      <c r="J155" s="3">
        <v>10880000</v>
      </c>
    </row>
    <row r="156" spans="1:10" x14ac:dyDescent="0.25">
      <c r="A156" s="2">
        <v>156</v>
      </c>
      <c r="B156" s="18">
        <v>46092.06552626158</v>
      </c>
      <c r="C156" s="2" t="s">
        <v>122</v>
      </c>
      <c r="D156" s="2" t="s">
        <v>26</v>
      </c>
      <c r="E156" s="2" t="s">
        <v>141</v>
      </c>
      <c r="F156" s="2" t="s">
        <v>3</v>
      </c>
      <c r="G156" s="3">
        <v>0</v>
      </c>
      <c r="H156" s="8">
        <v>480</v>
      </c>
      <c r="I156" s="3">
        <v>384000000</v>
      </c>
      <c r="J156" s="3">
        <v>288000000</v>
      </c>
    </row>
    <row r="157" spans="1:10" x14ac:dyDescent="0.25">
      <c r="A157" s="2">
        <v>157</v>
      </c>
      <c r="B157" s="18">
        <v>46091.140208993056</v>
      </c>
      <c r="C157" s="2" t="s">
        <v>122</v>
      </c>
      <c r="D157" s="2" t="s">
        <v>54</v>
      </c>
      <c r="E157" s="2" t="s">
        <v>141</v>
      </c>
      <c r="F157" s="2" t="s">
        <v>3</v>
      </c>
      <c r="G157" s="3">
        <v>0</v>
      </c>
      <c r="H157" s="8">
        <v>16</v>
      </c>
      <c r="I157" s="3">
        <v>12800000</v>
      </c>
      <c r="J157" s="3">
        <v>10880000</v>
      </c>
    </row>
    <row r="158" spans="1:10" x14ac:dyDescent="0.25">
      <c r="A158" s="2">
        <v>158</v>
      </c>
      <c r="B158" s="18">
        <v>46091.13540960648</v>
      </c>
      <c r="C158" s="2" t="s">
        <v>122</v>
      </c>
      <c r="D158" s="2" t="s">
        <v>80</v>
      </c>
      <c r="E158" s="2" t="s">
        <v>141</v>
      </c>
      <c r="F158" s="2" t="s">
        <v>3</v>
      </c>
      <c r="G158" s="3">
        <v>0</v>
      </c>
      <c r="H158" s="8">
        <v>16</v>
      </c>
      <c r="I158" s="3">
        <v>12800000</v>
      </c>
      <c r="J158" s="3">
        <v>10880000</v>
      </c>
    </row>
    <row r="159" spans="1:10" x14ac:dyDescent="0.25">
      <c r="A159" s="2">
        <v>159</v>
      </c>
      <c r="B159" s="18">
        <v>46091.111905937505</v>
      </c>
      <c r="C159" s="2" t="s">
        <v>122</v>
      </c>
      <c r="D159" s="2" t="s">
        <v>33</v>
      </c>
      <c r="E159" s="2" t="s">
        <v>141</v>
      </c>
      <c r="F159" s="2" t="s">
        <v>3</v>
      </c>
      <c r="G159" s="3">
        <v>0</v>
      </c>
      <c r="H159" s="8">
        <v>320</v>
      </c>
      <c r="I159" s="3">
        <v>256000000</v>
      </c>
      <c r="J159" s="3">
        <v>192000000</v>
      </c>
    </row>
    <row r="160" spans="1:10" x14ac:dyDescent="0.25">
      <c r="A160" s="2">
        <v>160</v>
      </c>
      <c r="B160" s="18">
        <v>46091.10607144676</v>
      </c>
      <c r="C160" s="2" t="s">
        <v>122</v>
      </c>
      <c r="D160" s="2" t="s">
        <v>10</v>
      </c>
      <c r="E160" s="2" t="s">
        <v>141</v>
      </c>
      <c r="F160" s="2" t="s">
        <v>3</v>
      </c>
      <c r="G160" s="3">
        <v>0</v>
      </c>
      <c r="H160" s="8">
        <v>160</v>
      </c>
      <c r="I160" s="3">
        <v>128000000</v>
      </c>
      <c r="J160" s="3">
        <v>96000000</v>
      </c>
    </row>
    <row r="161" spans="1:10" x14ac:dyDescent="0.25">
      <c r="A161" s="2">
        <v>161</v>
      </c>
      <c r="B161" s="18">
        <v>46091.09745840278</v>
      </c>
      <c r="C161" s="2" t="s">
        <v>122</v>
      </c>
      <c r="D161" s="2" t="s">
        <v>58</v>
      </c>
      <c r="E161" s="2" t="s">
        <v>141</v>
      </c>
      <c r="F161" s="2" t="s">
        <v>3</v>
      </c>
      <c r="G161" s="3">
        <v>0</v>
      </c>
      <c r="H161" s="8">
        <v>160</v>
      </c>
      <c r="I161" s="3">
        <v>128000000</v>
      </c>
      <c r="J161" s="3">
        <v>96000000</v>
      </c>
    </row>
    <row r="162" spans="1:10" x14ac:dyDescent="0.25">
      <c r="A162" s="2">
        <v>162</v>
      </c>
      <c r="B162" s="18">
        <v>46091.09644872685</v>
      </c>
      <c r="C162" s="2" t="s">
        <v>122</v>
      </c>
      <c r="D162" s="2" t="s">
        <v>46</v>
      </c>
      <c r="E162" s="2" t="s">
        <v>141</v>
      </c>
      <c r="F162" s="2" t="s">
        <v>3</v>
      </c>
      <c r="G162" s="3">
        <v>0</v>
      </c>
      <c r="H162" s="8">
        <v>160</v>
      </c>
      <c r="I162" s="3">
        <v>128000000</v>
      </c>
      <c r="J162" s="3">
        <v>96000000</v>
      </c>
    </row>
    <row r="163" spans="1:10" x14ac:dyDescent="0.25">
      <c r="A163" s="2">
        <v>163</v>
      </c>
      <c r="B163" s="18">
        <v>46087.34399976852</v>
      </c>
      <c r="C163" s="2" t="s">
        <v>122</v>
      </c>
      <c r="D163" s="2" t="s">
        <v>85</v>
      </c>
      <c r="E163" s="2" t="s">
        <v>141</v>
      </c>
      <c r="F163" s="2" t="s">
        <v>3</v>
      </c>
      <c r="G163" s="3">
        <v>0</v>
      </c>
      <c r="H163" s="8">
        <v>48</v>
      </c>
      <c r="I163" s="3">
        <v>38400000</v>
      </c>
      <c r="J163" s="3">
        <v>30720000</v>
      </c>
    </row>
    <row r="164" spans="1:10" x14ac:dyDescent="0.25">
      <c r="A164" s="2">
        <v>164</v>
      </c>
      <c r="B164" s="18">
        <v>46087.071504155094</v>
      </c>
      <c r="C164" s="2" t="s">
        <v>122</v>
      </c>
      <c r="D164" s="2" t="s">
        <v>26</v>
      </c>
      <c r="E164" s="2" t="s">
        <v>141</v>
      </c>
      <c r="F164" s="2" t="s">
        <v>3</v>
      </c>
      <c r="G164" s="3">
        <v>0</v>
      </c>
      <c r="H164" s="8">
        <v>320</v>
      </c>
      <c r="I164" s="3">
        <v>256000000</v>
      </c>
      <c r="J164" s="3">
        <v>192000000</v>
      </c>
    </row>
    <row r="165" spans="1:10" x14ac:dyDescent="0.25">
      <c r="A165" s="2">
        <v>165</v>
      </c>
      <c r="B165" s="18">
        <v>46087.07096541667</v>
      </c>
      <c r="C165" s="2" t="s">
        <v>122</v>
      </c>
      <c r="D165" s="2" t="s">
        <v>19</v>
      </c>
      <c r="E165" s="2" t="s">
        <v>141</v>
      </c>
      <c r="F165" s="2" t="s">
        <v>3</v>
      </c>
      <c r="G165" s="3">
        <v>0</v>
      </c>
      <c r="H165" s="8">
        <v>64</v>
      </c>
      <c r="I165" s="3">
        <v>51200000</v>
      </c>
      <c r="J165" s="3">
        <v>40960000</v>
      </c>
    </row>
    <row r="166" spans="1:10" x14ac:dyDescent="0.25">
      <c r="A166" s="2">
        <v>166</v>
      </c>
      <c r="B166" s="18">
        <v>46086.36017565972</v>
      </c>
      <c r="C166" s="2" t="s">
        <v>122</v>
      </c>
      <c r="D166" s="2" t="s">
        <v>99</v>
      </c>
      <c r="E166" s="2" t="s">
        <v>141</v>
      </c>
      <c r="F166" s="2" t="s">
        <v>3</v>
      </c>
      <c r="G166" s="3">
        <v>0</v>
      </c>
      <c r="H166" s="8">
        <v>32</v>
      </c>
      <c r="I166" s="3">
        <v>25600000</v>
      </c>
      <c r="J166" s="3">
        <v>20480000</v>
      </c>
    </row>
    <row r="167" spans="1:10" x14ac:dyDescent="0.25">
      <c r="A167" s="2">
        <v>167</v>
      </c>
      <c r="B167" s="18">
        <v>46086.25700592593</v>
      </c>
      <c r="C167" s="2" t="s">
        <v>122</v>
      </c>
      <c r="D167" s="2" t="s">
        <v>82</v>
      </c>
      <c r="E167" s="2" t="s">
        <v>141</v>
      </c>
      <c r="F167" s="2" t="s">
        <v>3</v>
      </c>
      <c r="G167" s="3">
        <v>0</v>
      </c>
      <c r="H167" s="8">
        <v>16</v>
      </c>
      <c r="I167" s="3">
        <v>12800000</v>
      </c>
      <c r="J167" s="3">
        <v>10880000</v>
      </c>
    </row>
    <row r="168" spans="1:10" x14ac:dyDescent="0.25">
      <c r="A168" s="2">
        <v>168</v>
      </c>
      <c r="B168" s="18">
        <v>46086.06430320602</v>
      </c>
      <c r="C168" s="2" t="s">
        <v>122</v>
      </c>
      <c r="D168" s="2" t="s">
        <v>31</v>
      </c>
      <c r="E168" s="2" t="s">
        <v>141</v>
      </c>
      <c r="F168" s="2" t="s">
        <v>3</v>
      </c>
      <c r="G168" s="3">
        <v>0</v>
      </c>
      <c r="H168" s="8">
        <v>800</v>
      </c>
      <c r="I168" s="3">
        <v>640000000</v>
      </c>
      <c r="J168" s="3">
        <v>441600000</v>
      </c>
    </row>
    <row r="169" spans="1:10" x14ac:dyDescent="0.25">
      <c r="A169" s="2">
        <v>169</v>
      </c>
      <c r="B169" s="18">
        <v>46085.28483375</v>
      </c>
      <c r="C169" s="2" t="s">
        <v>122</v>
      </c>
      <c r="D169" s="2" t="s">
        <v>68</v>
      </c>
      <c r="E169" s="2" t="s">
        <v>141</v>
      </c>
      <c r="F169" s="2" t="s">
        <v>3</v>
      </c>
      <c r="G169" s="3">
        <v>0</v>
      </c>
      <c r="H169" s="8">
        <v>16</v>
      </c>
      <c r="I169" s="3">
        <v>12800000</v>
      </c>
      <c r="J169" s="3">
        <v>10880000</v>
      </c>
    </row>
    <row r="170" spans="1:10" x14ac:dyDescent="0.25">
      <c r="A170" s="2">
        <v>170</v>
      </c>
      <c r="B170" s="18">
        <v>46085.12464375</v>
      </c>
      <c r="C170" s="2" t="s">
        <v>122</v>
      </c>
      <c r="D170" s="2" t="s">
        <v>49</v>
      </c>
      <c r="E170" s="2" t="s">
        <v>141</v>
      </c>
      <c r="F170" s="2" t="s">
        <v>3</v>
      </c>
      <c r="G170" s="3">
        <v>0</v>
      </c>
      <c r="H170" s="8">
        <v>32</v>
      </c>
      <c r="I170" s="3">
        <v>25600000</v>
      </c>
      <c r="J170" s="3">
        <v>20480000</v>
      </c>
    </row>
    <row r="171" spans="1:10" x14ac:dyDescent="0.25">
      <c r="A171" s="2">
        <v>171</v>
      </c>
      <c r="B171" s="18">
        <v>46084.32255215278</v>
      </c>
      <c r="C171" s="2" t="s">
        <v>122</v>
      </c>
      <c r="D171" s="2" t="s">
        <v>80</v>
      </c>
      <c r="E171" s="2" t="s">
        <v>141</v>
      </c>
      <c r="F171" s="2" t="s">
        <v>3</v>
      </c>
      <c r="G171" s="3">
        <v>0</v>
      </c>
      <c r="H171" s="8">
        <v>16</v>
      </c>
      <c r="I171" s="3">
        <v>12800000</v>
      </c>
      <c r="J171" s="3">
        <v>10880000</v>
      </c>
    </row>
    <row r="172" spans="1:10" x14ac:dyDescent="0.25">
      <c r="A172" s="2">
        <v>172</v>
      </c>
      <c r="B172" s="18">
        <v>46084.178840821754</v>
      </c>
      <c r="C172" s="2" t="s">
        <v>122</v>
      </c>
      <c r="D172" s="2" t="s">
        <v>78</v>
      </c>
      <c r="E172" s="2" t="s">
        <v>141</v>
      </c>
      <c r="F172" s="2" t="s">
        <v>3</v>
      </c>
      <c r="G172" s="3">
        <v>0</v>
      </c>
      <c r="H172" s="8">
        <v>32</v>
      </c>
      <c r="I172" s="3">
        <v>25600000</v>
      </c>
      <c r="J172" s="3">
        <v>20480000</v>
      </c>
    </row>
    <row r="173" spans="1:10" x14ac:dyDescent="0.25">
      <c r="A173" s="2">
        <v>173</v>
      </c>
      <c r="B173" s="18">
        <v>46084.14635127315</v>
      </c>
      <c r="C173" s="2" t="s">
        <v>122</v>
      </c>
      <c r="D173" s="2" t="s">
        <v>94</v>
      </c>
      <c r="E173" s="2" t="s">
        <v>141</v>
      </c>
      <c r="F173" s="2" t="s">
        <v>3</v>
      </c>
      <c r="G173" s="3">
        <v>0</v>
      </c>
      <c r="H173" s="8">
        <v>16</v>
      </c>
      <c r="I173" s="3">
        <v>12800000</v>
      </c>
      <c r="J173" s="3">
        <v>10880000</v>
      </c>
    </row>
    <row r="174" spans="1:10" x14ac:dyDescent="0.25">
      <c r="A174" s="2">
        <v>174</v>
      </c>
      <c r="B174" s="18">
        <v>46084.12742329861</v>
      </c>
      <c r="C174" s="2" t="s">
        <v>122</v>
      </c>
      <c r="D174" s="2" t="s">
        <v>57</v>
      </c>
      <c r="E174" s="2" t="s">
        <v>141</v>
      </c>
      <c r="F174" s="2" t="s">
        <v>3</v>
      </c>
      <c r="G174" s="3">
        <v>0</v>
      </c>
      <c r="H174" s="8">
        <v>32</v>
      </c>
      <c r="I174" s="3">
        <v>25600000</v>
      </c>
      <c r="J174" s="3">
        <v>20480000</v>
      </c>
    </row>
    <row r="175" spans="1:10" x14ac:dyDescent="0.25">
      <c r="A175" s="2">
        <v>175</v>
      </c>
      <c r="B175" s="18">
        <v>46084.12636327546</v>
      </c>
      <c r="C175" s="2" t="s">
        <v>122</v>
      </c>
      <c r="D175" s="2" t="s">
        <v>99</v>
      </c>
      <c r="E175" s="2" t="s">
        <v>141</v>
      </c>
      <c r="F175" s="2" t="s">
        <v>3</v>
      </c>
      <c r="G175" s="3">
        <v>0</v>
      </c>
      <c r="H175" s="8">
        <v>32</v>
      </c>
      <c r="I175" s="3">
        <v>25600000</v>
      </c>
      <c r="J175" s="3">
        <v>20480000</v>
      </c>
    </row>
    <row r="176" spans="1:10" x14ac:dyDescent="0.25">
      <c r="A176" s="2">
        <v>176</v>
      </c>
      <c r="B176" s="18">
        <v>46084.12438958333</v>
      </c>
      <c r="C176" s="2" t="s">
        <v>122</v>
      </c>
      <c r="D176" s="2" t="s">
        <v>46</v>
      </c>
      <c r="E176" s="2" t="s">
        <v>141</v>
      </c>
      <c r="F176" s="2" t="s">
        <v>3</v>
      </c>
      <c r="G176" s="3">
        <v>0</v>
      </c>
      <c r="H176" s="8">
        <v>160</v>
      </c>
      <c r="I176" s="3">
        <v>128000000</v>
      </c>
      <c r="J176" s="3">
        <v>96000000</v>
      </c>
    </row>
    <row r="177" spans="1:10" x14ac:dyDescent="0.25">
      <c r="A177" s="2">
        <v>177</v>
      </c>
      <c r="B177" s="18">
        <v>46084.12366755787</v>
      </c>
      <c r="C177" s="2" t="s">
        <v>122</v>
      </c>
      <c r="D177" s="2" t="s">
        <v>58</v>
      </c>
      <c r="E177" s="2" t="s">
        <v>141</v>
      </c>
      <c r="F177" s="2" t="s">
        <v>3</v>
      </c>
      <c r="G177" s="3">
        <v>0</v>
      </c>
      <c r="H177" s="8">
        <v>160</v>
      </c>
      <c r="I177" s="3">
        <v>128000000</v>
      </c>
      <c r="J177" s="3">
        <v>96000000</v>
      </c>
    </row>
    <row r="178" spans="1:10" x14ac:dyDescent="0.25">
      <c r="A178" s="2">
        <v>178</v>
      </c>
      <c r="B178" s="18">
        <v>46084.068025775465</v>
      </c>
      <c r="C178" s="2" t="s">
        <v>122</v>
      </c>
      <c r="D178" s="2" t="s">
        <v>17</v>
      </c>
      <c r="E178" s="2" t="s">
        <v>141</v>
      </c>
      <c r="F178" s="2" t="s">
        <v>3</v>
      </c>
      <c r="G178" s="3">
        <v>0</v>
      </c>
      <c r="H178" s="8">
        <v>80</v>
      </c>
      <c r="I178" s="3">
        <v>64000000</v>
      </c>
      <c r="J178" s="3">
        <v>48000000</v>
      </c>
    </row>
    <row r="179" spans="1:10" x14ac:dyDescent="0.25">
      <c r="A179" s="2">
        <v>179</v>
      </c>
      <c r="B179" s="18">
        <v>46083.357107407406</v>
      </c>
      <c r="C179" s="2" t="s">
        <v>122</v>
      </c>
      <c r="D179" s="2" t="s">
        <v>37</v>
      </c>
      <c r="E179" s="2" t="s">
        <v>141</v>
      </c>
      <c r="F179" s="2" t="s">
        <v>3</v>
      </c>
      <c r="G179" s="3">
        <v>0</v>
      </c>
      <c r="H179" s="8">
        <v>480</v>
      </c>
      <c r="I179" s="3">
        <v>384000000</v>
      </c>
      <c r="J179" s="3">
        <v>288000000</v>
      </c>
    </row>
    <row r="180" spans="1:10" x14ac:dyDescent="0.25">
      <c r="A180" s="2">
        <v>180</v>
      </c>
      <c r="B180" s="18">
        <v>46083.32795555556</v>
      </c>
      <c r="C180" s="2" t="s">
        <v>122</v>
      </c>
      <c r="D180" s="2" t="s">
        <v>76</v>
      </c>
      <c r="E180" s="2" t="s">
        <v>141</v>
      </c>
      <c r="F180" s="2" t="s">
        <v>3</v>
      </c>
      <c r="G180" s="3">
        <v>0</v>
      </c>
      <c r="H180" s="8">
        <v>48</v>
      </c>
      <c r="I180" s="3">
        <v>38400000</v>
      </c>
      <c r="J180" s="3">
        <v>30720000</v>
      </c>
    </row>
    <row r="181" spans="1:10" x14ac:dyDescent="0.25">
      <c r="A181" s="2">
        <v>181</v>
      </c>
      <c r="B181" s="18">
        <v>46083.32376820601</v>
      </c>
      <c r="C181" s="2" t="s">
        <v>122</v>
      </c>
      <c r="D181" s="2" t="s">
        <v>73</v>
      </c>
      <c r="E181" s="2" t="s">
        <v>141</v>
      </c>
      <c r="F181" s="2" t="s">
        <v>3</v>
      </c>
      <c r="G181" s="3">
        <v>0</v>
      </c>
      <c r="H181" s="8">
        <v>32</v>
      </c>
      <c r="I181" s="3">
        <v>25600000</v>
      </c>
      <c r="J181" s="3">
        <v>20480000</v>
      </c>
    </row>
    <row r="182" spans="1:10" x14ac:dyDescent="0.25">
      <c r="A182" s="2">
        <v>182</v>
      </c>
      <c r="B182" s="18">
        <v>46083.29072766204</v>
      </c>
      <c r="C182" s="2" t="s">
        <v>122</v>
      </c>
      <c r="D182" s="2" t="s">
        <v>11</v>
      </c>
      <c r="E182" s="2" t="s">
        <v>141</v>
      </c>
      <c r="F182" s="2" t="s">
        <v>3</v>
      </c>
      <c r="G182" s="3">
        <v>0</v>
      </c>
      <c r="H182" s="8">
        <v>160</v>
      </c>
      <c r="I182" s="3">
        <v>128000000</v>
      </c>
      <c r="J182" s="3">
        <v>96000000</v>
      </c>
    </row>
    <row r="183" spans="1:10" x14ac:dyDescent="0.25">
      <c r="A183" s="2">
        <v>183</v>
      </c>
      <c r="B183" s="18">
        <v>46083.2743875</v>
      </c>
      <c r="C183" s="2" t="s">
        <v>122</v>
      </c>
      <c r="D183" s="2" t="s">
        <v>19</v>
      </c>
      <c r="E183" s="2" t="s">
        <v>141</v>
      </c>
      <c r="F183" s="2" t="s">
        <v>3</v>
      </c>
      <c r="G183" s="3">
        <v>0</v>
      </c>
      <c r="H183" s="8">
        <v>64</v>
      </c>
      <c r="I183" s="3">
        <v>51200000</v>
      </c>
      <c r="J183" s="3">
        <v>40960000</v>
      </c>
    </row>
    <row r="184" spans="1:10" x14ac:dyDescent="0.25">
      <c r="A184" s="2">
        <v>184</v>
      </c>
      <c r="B184" s="18">
        <v>46083.11028833334</v>
      </c>
      <c r="C184" s="2" t="s">
        <v>122</v>
      </c>
      <c r="D184" s="2" t="s">
        <v>84</v>
      </c>
      <c r="E184" s="2" t="s">
        <v>141</v>
      </c>
      <c r="F184" s="2" t="s">
        <v>3</v>
      </c>
      <c r="G184" s="3">
        <v>0</v>
      </c>
      <c r="H184" s="8">
        <v>160</v>
      </c>
      <c r="I184" s="3">
        <v>128000000</v>
      </c>
      <c r="J184" s="3">
        <v>96000000</v>
      </c>
    </row>
    <row r="185" spans="1:10" x14ac:dyDescent="0.25">
      <c r="A185" s="2">
        <v>185</v>
      </c>
      <c r="B185" s="18">
        <v>46081.19801408565</v>
      </c>
      <c r="C185" s="2" t="s">
        <v>121</v>
      </c>
      <c r="D185" s="2" t="s">
        <v>80</v>
      </c>
      <c r="E185" s="2" t="s">
        <v>141</v>
      </c>
      <c r="F185" s="2" t="s">
        <v>3</v>
      </c>
      <c r="G185" s="3">
        <v>0</v>
      </c>
      <c r="H185" s="8">
        <v>64</v>
      </c>
      <c r="I185" s="3">
        <v>51200000</v>
      </c>
      <c r="J185" s="3">
        <v>40960000</v>
      </c>
    </row>
    <row r="186" spans="1:10" x14ac:dyDescent="0.25">
      <c r="A186" s="2">
        <v>186</v>
      </c>
      <c r="B186" s="18">
        <v>46081.187983020835</v>
      </c>
      <c r="C186" s="2" t="s">
        <v>121</v>
      </c>
      <c r="D186" s="2" t="s">
        <v>96</v>
      </c>
      <c r="E186" s="2" t="s">
        <v>141</v>
      </c>
      <c r="F186" s="2" t="s">
        <v>3</v>
      </c>
      <c r="G186" s="3">
        <v>0</v>
      </c>
      <c r="H186" s="8">
        <v>16</v>
      </c>
      <c r="I186" s="3">
        <v>12800000</v>
      </c>
      <c r="J186" s="3">
        <v>10880000</v>
      </c>
    </row>
    <row r="187" spans="1:10" x14ac:dyDescent="0.25">
      <c r="A187" s="2">
        <v>187</v>
      </c>
      <c r="B187" s="18">
        <v>46081.09173626157</v>
      </c>
      <c r="C187" s="2" t="s">
        <v>121</v>
      </c>
      <c r="D187" s="2" t="s">
        <v>42</v>
      </c>
      <c r="E187" s="2" t="s">
        <v>141</v>
      </c>
      <c r="F187" s="2" t="s">
        <v>3</v>
      </c>
      <c r="G187" s="3">
        <v>0</v>
      </c>
      <c r="H187" s="8">
        <v>16</v>
      </c>
      <c r="I187" s="3">
        <v>12800000</v>
      </c>
      <c r="J187" s="3">
        <v>10880000</v>
      </c>
    </row>
    <row r="188" spans="1:10" x14ac:dyDescent="0.25">
      <c r="A188" s="2">
        <v>188</v>
      </c>
      <c r="B188" s="18">
        <v>46081.08738019676</v>
      </c>
      <c r="C188" s="2" t="s">
        <v>121</v>
      </c>
      <c r="D188" s="2" t="s">
        <v>51</v>
      </c>
      <c r="E188" s="2" t="s">
        <v>141</v>
      </c>
      <c r="F188" s="2" t="s">
        <v>3</v>
      </c>
      <c r="G188" s="3">
        <v>0</v>
      </c>
      <c r="H188" s="8">
        <v>48</v>
      </c>
      <c r="I188" s="3">
        <v>38400000</v>
      </c>
      <c r="J188" s="3">
        <v>30720000</v>
      </c>
    </row>
    <row r="189" spans="1:10" x14ac:dyDescent="0.25">
      <c r="A189" s="2">
        <v>189</v>
      </c>
      <c r="B189" s="18">
        <v>46080.2587644213</v>
      </c>
      <c r="C189" s="2" t="s">
        <v>121</v>
      </c>
      <c r="D189" s="2" t="s">
        <v>31</v>
      </c>
      <c r="E189" s="2" t="s">
        <v>141</v>
      </c>
      <c r="F189" s="2" t="s">
        <v>3</v>
      </c>
      <c r="G189" s="3">
        <v>0</v>
      </c>
      <c r="H189" s="8">
        <v>1600</v>
      </c>
      <c r="I189" s="3">
        <v>1280000000</v>
      </c>
      <c r="J189" s="3">
        <v>883200000</v>
      </c>
    </row>
    <row r="190" spans="1:10" x14ac:dyDescent="0.25">
      <c r="A190" s="2">
        <v>190</v>
      </c>
      <c r="B190" s="18">
        <v>46080.21200234954</v>
      </c>
      <c r="C190" s="2" t="s">
        <v>121</v>
      </c>
      <c r="D190" s="2" t="s">
        <v>65</v>
      </c>
      <c r="E190" s="2" t="s">
        <v>141</v>
      </c>
      <c r="F190" s="2" t="s">
        <v>3</v>
      </c>
      <c r="G190" s="3">
        <v>0</v>
      </c>
      <c r="H190" s="8">
        <v>64</v>
      </c>
      <c r="I190" s="3">
        <v>51200000</v>
      </c>
      <c r="J190" s="3">
        <v>40355142</v>
      </c>
    </row>
    <row r="191" spans="1:10" x14ac:dyDescent="0.25">
      <c r="A191" s="2">
        <v>191</v>
      </c>
      <c r="B191" s="18">
        <v>46080.13667144676</v>
      </c>
      <c r="C191" s="2" t="s">
        <v>121</v>
      </c>
      <c r="D191" s="2" t="s">
        <v>41</v>
      </c>
      <c r="E191" s="2" t="s">
        <v>141</v>
      </c>
      <c r="F191" s="2" t="s">
        <v>3</v>
      </c>
      <c r="G191" s="3">
        <v>0</v>
      </c>
      <c r="H191" s="8">
        <v>160</v>
      </c>
      <c r="I191" s="3">
        <v>128000000</v>
      </c>
      <c r="J191" s="3">
        <v>96000000</v>
      </c>
    </row>
    <row r="192" spans="1:10" x14ac:dyDescent="0.25">
      <c r="A192" s="2">
        <v>192</v>
      </c>
      <c r="B192" s="18">
        <v>46080.06285416667</v>
      </c>
      <c r="C192" s="2" t="s">
        <v>121</v>
      </c>
      <c r="D192" s="2" t="s">
        <v>75</v>
      </c>
      <c r="E192" s="2" t="s">
        <v>141</v>
      </c>
      <c r="F192" s="2" t="s">
        <v>3</v>
      </c>
      <c r="G192" s="3">
        <v>0</v>
      </c>
      <c r="H192" s="8">
        <v>64</v>
      </c>
      <c r="I192" s="3">
        <v>51200000</v>
      </c>
      <c r="J192" s="3">
        <v>39548707</v>
      </c>
    </row>
    <row r="193" spans="1:10" x14ac:dyDescent="0.25">
      <c r="A193" s="2">
        <v>193</v>
      </c>
      <c r="B193" s="18">
        <v>46079.17374524305</v>
      </c>
      <c r="C193" s="2" t="s">
        <v>121</v>
      </c>
      <c r="D193" s="2" t="s">
        <v>21</v>
      </c>
      <c r="E193" s="2" t="s">
        <v>141</v>
      </c>
      <c r="F193" s="2" t="s">
        <v>3</v>
      </c>
      <c r="G193" s="3">
        <v>0</v>
      </c>
      <c r="H193" s="8">
        <v>112</v>
      </c>
      <c r="I193" s="3">
        <v>89600000</v>
      </c>
      <c r="J193" s="3">
        <v>67200000</v>
      </c>
    </row>
    <row r="194" spans="1:10" x14ac:dyDescent="0.25">
      <c r="A194" s="2">
        <v>194</v>
      </c>
      <c r="B194" s="18">
        <v>46079.150555659726</v>
      </c>
      <c r="C194" s="2" t="s">
        <v>121</v>
      </c>
      <c r="D194" s="2" t="s">
        <v>71</v>
      </c>
      <c r="E194" s="2" t="s">
        <v>141</v>
      </c>
      <c r="F194" s="2" t="s">
        <v>3</v>
      </c>
      <c r="G194" s="3">
        <v>0</v>
      </c>
      <c r="H194" s="8">
        <v>16</v>
      </c>
      <c r="I194" s="3">
        <v>12800000</v>
      </c>
      <c r="J194" s="3">
        <v>10880000</v>
      </c>
    </row>
    <row r="195" spans="1:10" x14ac:dyDescent="0.25">
      <c r="A195" s="2">
        <v>195</v>
      </c>
      <c r="B195" s="18">
        <v>46079.11803092592</v>
      </c>
      <c r="C195" s="2" t="s">
        <v>121</v>
      </c>
      <c r="D195" s="2" t="s">
        <v>47</v>
      </c>
      <c r="E195" s="2" t="s">
        <v>141</v>
      </c>
      <c r="F195" s="2" t="s">
        <v>3</v>
      </c>
      <c r="G195" s="3">
        <v>0</v>
      </c>
      <c r="H195" s="8">
        <v>64</v>
      </c>
      <c r="I195" s="3">
        <v>51200000</v>
      </c>
      <c r="J195" s="3">
        <v>40960000</v>
      </c>
    </row>
    <row r="196" spans="1:10" x14ac:dyDescent="0.25">
      <c r="A196" s="2">
        <v>196</v>
      </c>
      <c r="B196" s="18">
        <v>46079.11771061343</v>
      </c>
      <c r="C196" s="2" t="s">
        <v>121</v>
      </c>
      <c r="D196" s="2" t="s">
        <v>53</v>
      </c>
      <c r="E196" s="2" t="s">
        <v>141</v>
      </c>
      <c r="F196" s="2" t="s">
        <v>3</v>
      </c>
      <c r="G196" s="3">
        <v>0</v>
      </c>
      <c r="H196" s="8">
        <v>32</v>
      </c>
      <c r="I196" s="3">
        <v>25600000</v>
      </c>
      <c r="J196" s="3">
        <v>20480000</v>
      </c>
    </row>
    <row r="197" spans="1:10" x14ac:dyDescent="0.25">
      <c r="A197" s="2">
        <v>197</v>
      </c>
      <c r="B197" s="18">
        <v>46079.1170481713</v>
      </c>
      <c r="C197" s="2" t="s">
        <v>121</v>
      </c>
      <c r="D197" s="2" t="s">
        <v>69</v>
      </c>
      <c r="E197" s="2" t="s">
        <v>141</v>
      </c>
      <c r="F197" s="2" t="s">
        <v>3</v>
      </c>
      <c r="G197" s="3">
        <v>0</v>
      </c>
      <c r="H197" s="8">
        <v>48</v>
      </c>
      <c r="I197" s="3">
        <v>38400000</v>
      </c>
      <c r="J197" s="3">
        <v>30720000</v>
      </c>
    </row>
    <row r="198" spans="1:10" x14ac:dyDescent="0.25">
      <c r="A198" s="2">
        <v>198</v>
      </c>
      <c r="B198" s="18">
        <v>46079.11239061343</v>
      </c>
      <c r="C198" s="2" t="s">
        <v>121</v>
      </c>
      <c r="D198" s="2" t="s">
        <v>105</v>
      </c>
      <c r="E198" s="2" t="s">
        <v>141</v>
      </c>
      <c r="F198" s="2" t="s">
        <v>3</v>
      </c>
      <c r="G198" s="3">
        <v>0</v>
      </c>
      <c r="H198" s="8">
        <v>32</v>
      </c>
      <c r="I198" s="3">
        <v>25600000</v>
      </c>
      <c r="J198" s="3">
        <v>20480000</v>
      </c>
    </row>
    <row r="199" spans="1:10" x14ac:dyDescent="0.25">
      <c r="A199" s="2">
        <v>199</v>
      </c>
      <c r="B199" s="18">
        <v>46079.1075772801</v>
      </c>
      <c r="C199" s="2" t="s">
        <v>121</v>
      </c>
      <c r="D199" s="2" t="s">
        <v>16</v>
      </c>
      <c r="E199" s="2" t="s">
        <v>141</v>
      </c>
      <c r="F199" s="2" t="s">
        <v>3</v>
      </c>
      <c r="G199" s="3">
        <v>0</v>
      </c>
      <c r="H199" s="8">
        <v>80</v>
      </c>
      <c r="I199" s="3">
        <v>64000000</v>
      </c>
      <c r="J199" s="3">
        <v>48000000</v>
      </c>
    </row>
    <row r="200" spans="1:10" x14ac:dyDescent="0.25">
      <c r="A200" s="2">
        <v>200</v>
      </c>
      <c r="B200" s="18">
        <v>46079.068676932875</v>
      </c>
      <c r="C200" s="2" t="s">
        <v>121</v>
      </c>
      <c r="D200" s="2" t="s">
        <v>23</v>
      </c>
      <c r="E200" s="2" t="s">
        <v>141</v>
      </c>
      <c r="F200" s="2" t="s">
        <v>3</v>
      </c>
      <c r="G200" s="3">
        <v>0</v>
      </c>
      <c r="H200" s="8">
        <v>32</v>
      </c>
      <c r="I200" s="3">
        <v>25600000</v>
      </c>
      <c r="J200" s="3">
        <v>20480000</v>
      </c>
    </row>
    <row r="201" spans="1:10" x14ac:dyDescent="0.25">
      <c r="A201" s="2">
        <v>201</v>
      </c>
      <c r="B201" s="18">
        <v>46079.06827939815</v>
      </c>
      <c r="C201" s="2" t="s">
        <v>121</v>
      </c>
      <c r="D201" s="2" t="s">
        <v>33</v>
      </c>
      <c r="E201" s="2" t="s">
        <v>141</v>
      </c>
      <c r="F201" s="2" t="s">
        <v>3</v>
      </c>
      <c r="G201" s="3">
        <v>0</v>
      </c>
      <c r="H201" s="8">
        <v>320</v>
      </c>
      <c r="I201" s="3">
        <v>256000000</v>
      </c>
      <c r="J201" s="3">
        <v>192000000</v>
      </c>
    </row>
    <row r="202" spans="1:10" x14ac:dyDescent="0.25">
      <c r="A202" s="2">
        <v>202</v>
      </c>
      <c r="B202" s="18">
        <v>46078.330688159724</v>
      </c>
      <c r="C202" s="2" t="s">
        <v>121</v>
      </c>
      <c r="D202" s="2" t="s">
        <v>44</v>
      </c>
      <c r="E202" s="2" t="s">
        <v>141</v>
      </c>
      <c r="F202" s="2" t="s">
        <v>3</v>
      </c>
      <c r="G202" s="3">
        <v>0</v>
      </c>
      <c r="H202" s="8">
        <v>480</v>
      </c>
      <c r="I202" s="3">
        <v>384000000</v>
      </c>
      <c r="J202" s="3">
        <v>288000000</v>
      </c>
    </row>
    <row r="203" spans="1:10" x14ac:dyDescent="0.25">
      <c r="A203" s="2">
        <v>203</v>
      </c>
      <c r="B203" s="18">
        <v>46078.09045309028</v>
      </c>
      <c r="C203" s="2" t="s">
        <v>121</v>
      </c>
      <c r="D203" s="2" t="s">
        <v>5</v>
      </c>
      <c r="E203" s="2" t="s">
        <v>141</v>
      </c>
      <c r="F203" s="2" t="s">
        <v>3</v>
      </c>
      <c r="G203" s="3">
        <v>0</v>
      </c>
      <c r="H203" s="8">
        <v>32</v>
      </c>
      <c r="I203" s="3">
        <v>25600000</v>
      </c>
      <c r="J203" s="3">
        <v>20480000</v>
      </c>
    </row>
    <row r="204" spans="1:10" x14ac:dyDescent="0.25">
      <c r="A204" s="2">
        <v>204</v>
      </c>
      <c r="B204" s="18">
        <v>46078.08876153935</v>
      </c>
      <c r="C204" s="2" t="s">
        <v>121</v>
      </c>
      <c r="D204" s="2" t="s">
        <v>35</v>
      </c>
      <c r="E204" s="2" t="s">
        <v>141</v>
      </c>
      <c r="F204" s="2" t="s">
        <v>3</v>
      </c>
      <c r="G204" s="3">
        <v>0</v>
      </c>
      <c r="H204" s="8">
        <v>64</v>
      </c>
      <c r="I204" s="3">
        <v>51200000</v>
      </c>
      <c r="J204" s="3">
        <v>40960000</v>
      </c>
    </row>
    <row r="205" spans="1:10" x14ac:dyDescent="0.25">
      <c r="A205" s="2">
        <v>205</v>
      </c>
      <c r="B205" s="18">
        <v>46078.07594956018</v>
      </c>
      <c r="C205" s="2" t="s">
        <v>121</v>
      </c>
      <c r="D205" s="2" t="s">
        <v>49</v>
      </c>
      <c r="E205" s="2" t="s">
        <v>141</v>
      </c>
      <c r="F205" s="2" t="s">
        <v>3</v>
      </c>
      <c r="G205" s="3">
        <v>0</v>
      </c>
      <c r="H205" s="8">
        <v>32</v>
      </c>
      <c r="I205" s="3">
        <v>25600000</v>
      </c>
      <c r="J205" s="3">
        <v>20480000</v>
      </c>
    </row>
    <row r="206" spans="1:10" x14ac:dyDescent="0.25">
      <c r="A206" s="2">
        <v>206</v>
      </c>
      <c r="B206" s="18">
        <v>46077.3870896875</v>
      </c>
      <c r="C206" s="2" t="s">
        <v>121</v>
      </c>
      <c r="D206" s="2" t="s">
        <v>33</v>
      </c>
      <c r="E206" s="2" t="s">
        <v>141</v>
      </c>
      <c r="F206" s="2" t="s">
        <v>3</v>
      </c>
      <c r="G206" s="3">
        <v>0</v>
      </c>
      <c r="H206" s="8">
        <v>480</v>
      </c>
      <c r="I206" s="3">
        <v>384000000</v>
      </c>
      <c r="J206" s="3">
        <v>288000000</v>
      </c>
    </row>
    <row r="207" spans="1:10" x14ac:dyDescent="0.25">
      <c r="A207" s="2">
        <v>207</v>
      </c>
      <c r="B207" s="18">
        <v>46077.38636203704</v>
      </c>
      <c r="C207" s="2" t="s">
        <v>121</v>
      </c>
      <c r="D207" s="2" t="s">
        <v>90</v>
      </c>
      <c r="E207" s="2" t="s">
        <v>141</v>
      </c>
      <c r="F207" s="2" t="s">
        <v>3</v>
      </c>
      <c r="G207" s="3">
        <v>0</v>
      </c>
      <c r="H207" s="8">
        <v>32</v>
      </c>
      <c r="I207" s="3">
        <v>25600000</v>
      </c>
      <c r="J207" s="3">
        <v>20480000</v>
      </c>
    </row>
    <row r="208" spans="1:10" x14ac:dyDescent="0.25">
      <c r="A208" s="2">
        <v>208</v>
      </c>
      <c r="B208" s="18">
        <v>46077.31035663195</v>
      </c>
      <c r="C208" s="2" t="s">
        <v>121</v>
      </c>
      <c r="D208" s="2" t="s">
        <v>76</v>
      </c>
      <c r="E208" s="2" t="s">
        <v>141</v>
      </c>
      <c r="F208" s="2" t="s">
        <v>3</v>
      </c>
      <c r="G208" s="3">
        <v>0</v>
      </c>
      <c r="H208" s="8">
        <v>16</v>
      </c>
      <c r="I208" s="3">
        <v>12800000</v>
      </c>
      <c r="J208" s="3">
        <v>10880000</v>
      </c>
    </row>
    <row r="209" spans="1:10" x14ac:dyDescent="0.25">
      <c r="A209" s="2">
        <v>209</v>
      </c>
      <c r="B209" s="18">
        <v>46077.27177341435</v>
      </c>
      <c r="C209" s="2" t="s">
        <v>121</v>
      </c>
      <c r="D209" s="2" t="s">
        <v>88</v>
      </c>
      <c r="E209" s="2" t="s">
        <v>141</v>
      </c>
      <c r="F209" s="2" t="s">
        <v>3</v>
      </c>
      <c r="G209" s="3">
        <v>0</v>
      </c>
      <c r="H209" s="8">
        <v>32</v>
      </c>
      <c r="I209" s="3">
        <v>25600000</v>
      </c>
      <c r="J209" s="3">
        <v>20480000</v>
      </c>
    </row>
    <row r="210" spans="1:10" x14ac:dyDescent="0.25">
      <c r="A210" s="2">
        <v>210</v>
      </c>
      <c r="B210" s="18">
        <v>46077.201674537035</v>
      </c>
      <c r="C210" s="2" t="s">
        <v>121</v>
      </c>
      <c r="D210" s="2" t="s">
        <v>106</v>
      </c>
      <c r="E210" s="2" t="s">
        <v>141</v>
      </c>
      <c r="F210" s="2" t="s">
        <v>3</v>
      </c>
      <c r="G210" s="3">
        <v>0</v>
      </c>
      <c r="H210" s="8">
        <v>16</v>
      </c>
      <c r="I210" s="3">
        <v>12800000</v>
      </c>
      <c r="J210" s="3">
        <v>10880000</v>
      </c>
    </row>
    <row r="211" spans="1:10" x14ac:dyDescent="0.25">
      <c r="A211" s="2">
        <v>211</v>
      </c>
      <c r="B211" s="18">
        <v>46077.17723528935</v>
      </c>
      <c r="C211" s="2" t="s">
        <v>121</v>
      </c>
      <c r="D211" s="2" t="s">
        <v>98</v>
      </c>
      <c r="E211" s="2" t="s">
        <v>141</v>
      </c>
      <c r="F211" s="2" t="s">
        <v>3</v>
      </c>
      <c r="G211" s="3">
        <v>0</v>
      </c>
      <c r="H211" s="8">
        <v>16</v>
      </c>
      <c r="I211" s="3">
        <v>12800000</v>
      </c>
      <c r="J211" s="3">
        <v>10880000</v>
      </c>
    </row>
    <row r="212" spans="1:10" x14ac:dyDescent="0.25">
      <c r="A212" s="2">
        <v>212</v>
      </c>
      <c r="B212" s="18">
        <v>46077.14182386574</v>
      </c>
      <c r="C212" s="2" t="s">
        <v>121</v>
      </c>
      <c r="D212" s="2" t="s">
        <v>58</v>
      </c>
      <c r="E212" s="2" t="s">
        <v>141</v>
      </c>
      <c r="F212" s="2" t="s">
        <v>3</v>
      </c>
      <c r="G212" s="3">
        <v>0</v>
      </c>
      <c r="H212" s="8">
        <v>320</v>
      </c>
      <c r="I212" s="3">
        <v>256000000</v>
      </c>
      <c r="J212" s="3">
        <v>192000000</v>
      </c>
    </row>
    <row r="213" spans="1:10" x14ac:dyDescent="0.25">
      <c r="A213" s="2">
        <v>213</v>
      </c>
      <c r="B213" s="18">
        <v>46067.08663027778</v>
      </c>
      <c r="C213" s="2" t="s">
        <v>121</v>
      </c>
      <c r="D213" s="2" t="s">
        <v>31</v>
      </c>
      <c r="E213" s="2" t="s">
        <v>141</v>
      </c>
      <c r="F213" s="2" t="s">
        <v>3</v>
      </c>
      <c r="G213" s="3">
        <v>0</v>
      </c>
      <c r="H213" s="8">
        <v>2880</v>
      </c>
      <c r="I213" s="3">
        <v>2304000000</v>
      </c>
      <c r="J213" s="3">
        <v>1589760000</v>
      </c>
    </row>
    <row r="214" spans="1:10" x14ac:dyDescent="0.25">
      <c r="A214" s="2">
        <v>214</v>
      </c>
      <c r="B214" s="18">
        <v>46058.16673931713</v>
      </c>
      <c r="C214" s="2" t="s">
        <v>121</v>
      </c>
      <c r="D214" s="2" t="s">
        <v>81</v>
      </c>
      <c r="E214" s="2" t="s">
        <v>141</v>
      </c>
      <c r="F214" s="2" t="s">
        <v>3</v>
      </c>
      <c r="G214" s="3">
        <v>0</v>
      </c>
      <c r="H214" s="8">
        <v>1</v>
      </c>
      <c r="I214" s="3">
        <v>800000</v>
      </c>
      <c r="J214" s="3">
        <v>0</v>
      </c>
    </row>
    <row r="215" spans="1:10" x14ac:dyDescent="0.25">
      <c r="A215" s="2">
        <v>215</v>
      </c>
      <c r="B215" s="18">
        <v>46057.379782557866</v>
      </c>
      <c r="C215" s="2" t="s">
        <v>121</v>
      </c>
      <c r="D215" s="2" t="s">
        <v>51</v>
      </c>
      <c r="E215" s="2" t="s">
        <v>141</v>
      </c>
      <c r="F215" s="2" t="s">
        <v>3</v>
      </c>
      <c r="G215" s="3">
        <v>0</v>
      </c>
      <c r="H215" s="8">
        <v>16</v>
      </c>
      <c r="I215" s="3">
        <v>12800000</v>
      </c>
      <c r="J215" s="3">
        <v>10880000</v>
      </c>
    </row>
    <row r="216" spans="1:10" x14ac:dyDescent="0.25">
      <c r="A216" s="2">
        <v>216</v>
      </c>
      <c r="B216" s="18">
        <v>46057.169257291665</v>
      </c>
      <c r="C216" s="2" t="s">
        <v>121</v>
      </c>
      <c r="D216" s="2" t="s">
        <v>77</v>
      </c>
      <c r="E216" s="2" t="s">
        <v>141</v>
      </c>
      <c r="F216" s="2" t="s">
        <v>3</v>
      </c>
      <c r="G216" s="3">
        <v>0</v>
      </c>
      <c r="H216" s="8">
        <v>16</v>
      </c>
      <c r="I216" s="3">
        <v>12800000</v>
      </c>
      <c r="J216" s="3">
        <v>10880000</v>
      </c>
    </row>
    <row r="217" spans="1:10" x14ac:dyDescent="0.25">
      <c r="A217" s="2">
        <v>217</v>
      </c>
      <c r="B217" s="18">
        <v>46057.07331608796</v>
      </c>
      <c r="C217" s="2" t="s">
        <v>121</v>
      </c>
      <c r="D217" s="2" t="s">
        <v>6</v>
      </c>
      <c r="E217" s="2" t="s">
        <v>141</v>
      </c>
      <c r="F217" s="2" t="s">
        <v>3</v>
      </c>
      <c r="G217" s="3">
        <v>0</v>
      </c>
      <c r="H217" s="8">
        <v>480</v>
      </c>
      <c r="I217" s="3">
        <v>384000000</v>
      </c>
      <c r="J217" s="3">
        <v>288000000</v>
      </c>
    </row>
    <row r="218" spans="1:10" x14ac:dyDescent="0.25">
      <c r="A218" s="2">
        <v>218</v>
      </c>
      <c r="B218" s="18">
        <v>46056.32185175926</v>
      </c>
      <c r="C218" s="2" t="s">
        <v>121</v>
      </c>
      <c r="D218" s="2" t="s">
        <v>80</v>
      </c>
      <c r="E218" s="2" t="s">
        <v>141</v>
      </c>
      <c r="F218" s="2" t="s">
        <v>3</v>
      </c>
      <c r="G218" s="3">
        <v>0</v>
      </c>
      <c r="H218" s="8">
        <v>48</v>
      </c>
      <c r="I218" s="3">
        <v>38400000</v>
      </c>
      <c r="J218" s="3">
        <v>30720000</v>
      </c>
    </row>
    <row r="219" spans="1:10" x14ac:dyDescent="0.25">
      <c r="A219" s="2">
        <v>219</v>
      </c>
      <c r="B219" s="18">
        <v>46056.052863923614</v>
      </c>
      <c r="C219" s="2" t="s">
        <v>121</v>
      </c>
      <c r="D219" s="2" t="s">
        <v>33</v>
      </c>
      <c r="E219" s="2" t="s">
        <v>141</v>
      </c>
      <c r="F219" s="2" t="s">
        <v>3</v>
      </c>
      <c r="G219" s="3">
        <v>0</v>
      </c>
      <c r="H219" s="8">
        <v>160</v>
      </c>
      <c r="I219" s="3">
        <v>128000000</v>
      </c>
      <c r="J219" s="3">
        <v>96000000</v>
      </c>
    </row>
    <row r="220" spans="1:10" x14ac:dyDescent="0.25">
      <c r="A220" s="2">
        <v>220</v>
      </c>
      <c r="B220" s="18">
        <v>46055.28429030093</v>
      </c>
      <c r="C220" s="2" t="s">
        <v>121</v>
      </c>
      <c r="D220" s="2" t="s">
        <v>101</v>
      </c>
      <c r="E220" s="2" t="s">
        <v>141</v>
      </c>
      <c r="F220" s="2" t="s">
        <v>3</v>
      </c>
      <c r="G220" s="3">
        <v>0</v>
      </c>
      <c r="H220" s="8">
        <v>32</v>
      </c>
      <c r="I220" s="3">
        <v>25600000</v>
      </c>
      <c r="J220" s="3">
        <v>20480000</v>
      </c>
    </row>
    <row r="221" spans="1:10" x14ac:dyDescent="0.25">
      <c r="A221" s="2">
        <v>221</v>
      </c>
      <c r="B221" s="18">
        <v>46055.160010300926</v>
      </c>
      <c r="C221" s="2" t="s">
        <v>121</v>
      </c>
      <c r="D221" s="2" t="s">
        <v>95</v>
      </c>
      <c r="E221" s="2" t="s">
        <v>141</v>
      </c>
      <c r="F221" s="2" t="s">
        <v>3</v>
      </c>
      <c r="G221" s="3">
        <v>0</v>
      </c>
      <c r="H221" s="8">
        <v>32</v>
      </c>
      <c r="I221" s="3">
        <v>25600000</v>
      </c>
      <c r="J221" s="3">
        <v>20480000</v>
      </c>
    </row>
    <row r="222" spans="1:10" x14ac:dyDescent="0.25">
      <c r="A222" s="2">
        <v>222</v>
      </c>
      <c r="B222" s="18">
        <v>46053.15253252315</v>
      </c>
      <c r="C222" s="2" t="s">
        <v>120</v>
      </c>
      <c r="D222" s="2" t="s">
        <v>44</v>
      </c>
      <c r="E222" s="2" t="s">
        <v>141</v>
      </c>
      <c r="F222" s="2" t="s">
        <v>3</v>
      </c>
      <c r="G222" s="3">
        <v>0</v>
      </c>
      <c r="H222" s="8">
        <v>320</v>
      </c>
      <c r="I222" s="3">
        <v>256000000</v>
      </c>
      <c r="J222" s="3">
        <v>192000000</v>
      </c>
    </row>
    <row r="223" spans="1:10" x14ac:dyDescent="0.25">
      <c r="A223" s="2">
        <v>223</v>
      </c>
      <c r="B223" s="18">
        <v>46053.152050081015</v>
      </c>
      <c r="C223" s="2" t="s">
        <v>120</v>
      </c>
      <c r="D223" s="2" t="s">
        <v>70</v>
      </c>
      <c r="E223" s="2" t="s">
        <v>141</v>
      </c>
      <c r="F223" s="2" t="s">
        <v>3</v>
      </c>
      <c r="G223" s="3">
        <v>0</v>
      </c>
      <c r="H223" s="8">
        <v>16</v>
      </c>
      <c r="I223" s="3">
        <v>12800000</v>
      </c>
      <c r="J223" s="3">
        <v>10880000</v>
      </c>
    </row>
    <row r="224" spans="1:10" x14ac:dyDescent="0.25">
      <c r="A224" s="2">
        <v>224</v>
      </c>
      <c r="B224" s="18">
        <v>46053.13900616898</v>
      </c>
      <c r="C224" s="2" t="s">
        <v>120</v>
      </c>
      <c r="D224" s="2" t="s">
        <v>75</v>
      </c>
      <c r="E224" s="2" t="s">
        <v>141</v>
      </c>
      <c r="F224" s="2" t="s">
        <v>3</v>
      </c>
      <c r="G224" s="3">
        <v>0</v>
      </c>
      <c r="H224" s="8">
        <v>64</v>
      </c>
      <c r="I224" s="3">
        <v>51200000</v>
      </c>
      <c r="J224" s="3">
        <v>40960000</v>
      </c>
    </row>
    <row r="225" spans="1:10" x14ac:dyDescent="0.25">
      <c r="A225" s="2">
        <v>225</v>
      </c>
      <c r="B225" s="18">
        <v>46052.42101582176</v>
      </c>
      <c r="C225" s="2" t="s">
        <v>120</v>
      </c>
      <c r="D225" s="2" t="s">
        <v>21</v>
      </c>
      <c r="E225" s="2" t="s">
        <v>141</v>
      </c>
      <c r="F225" s="2" t="s">
        <v>3</v>
      </c>
      <c r="G225" s="3">
        <v>0</v>
      </c>
      <c r="H225" s="8">
        <v>80</v>
      </c>
      <c r="I225" s="3">
        <v>64000000</v>
      </c>
      <c r="J225" s="3">
        <v>48000000</v>
      </c>
    </row>
    <row r="226" spans="1:10" x14ac:dyDescent="0.25">
      <c r="A226" s="2">
        <v>226</v>
      </c>
      <c r="B226" s="18">
        <v>46051.2774519213</v>
      </c>
      <c r="C226" s="2" t="s">
        <v>120</v>
      </c>
      <c r="D226" s="2" t="s">
        <v>33</v>
      </c>
      <c r="E226" s="2" t="s">
        <v>141</v>
      </c>
      <c r="F226" s="2" t="s">
        <v>3</v>
      </c>
      <c r="G226" s="3">
        <v>0</v>
      </c>
      <c r="H226" s="8">
        <v>480</v>
      </c>
      <c r="I226" s="3">
        <v>384000000</v>
      </c>
      <c r="J226" s="3">
        <v>288000000</v>
      </c>
    </row>
    <row r="227" spans="1:10" x14ac:dyDescent="0.25">
      <c r="A227" s="2">
        <v>227</v>
      </c>
      <c r="B227" s="18">
        <v>46051.12794733796</v>
      </c>
      <c r="C227" s="2" t="s">
        <v>120</v>
      </c>
      <c r="D227" s="2" t="s">
        <v>58</v>
      </c>
      <c r="E227" s="2" t="s">
        <v>141</v>
      </c>
      <c r="F227" s="2" t="s">
        <v>3</v>
      </c>
      <c r="G227" s="3">
        <v>0</v>
      </c>
      <c r="H227" s="8">
        <v>80</v>
      </c>
      <c r="I227" s="3">
        <v>64000000</v>
      </c>
      <c r="J227" s="3">
        <v>48000000</v>
      </c>
    </row>
    <row r="228" spans="1:10" x14ac:dyDescent="0.25">
      <c r="A228" s="2">
        <v>228</v>
      </c>
      <c r="B228" s="18">
        <v>46050.14172726852</v>
      </c>
      <c r="C228" s="2" t="s">
        <v>120</v>
      </c>
      <c r="D228" s="2" t="s">
        <v>41</v>
      </c>
      <c r="E228" s="2" t="s">
        <v>141</v>
      </c>
      <c r="F228" s="2" t="s">
        <v>3</v>
      </c>
      <c r="G228" s="3">
        <v>0</v>
      </c>
      <c r="H228" s="8">
        <v>64</v>
      </c>
      <c r="I228" s="3">
        <v>51200000</v>
      </c>
      <c r="J228" s="3">
        <v>40960000</v>
      </c>
    </row>
    <row r="229" spans="1:10" x14ac:dyDescent="0.25">
      <c r="A229" s="2">
        <v>229</v>
      </c>
      <c r="B229" s="18">
        <v>46050.10631836805</v>
      </c>
      <c r="C229" s="2" t="s">
        <v>120</v>
      </c>
      <c r="D229" s="2" t="s">
        <v>52</v>
      </c>
      <c r="E229" s="2" t="s">
        <v>141</v>
      </c>
      <c r="F229" s="2" t="s">
        <v>3</v>
      </c>
      <c r="G229" s="3">
        <v>0</v>
      </c>
      <c r="H229" s="8">
        <v>80</v>
      </c>
      <c r="I229" s="3">
        <v>64000000</v>
      </c>
      <c r="J229" s="3">
        <v>48000000</v>
      </c>
    </row>
    <row r="230" spans="1:10" x14ac:dyDescent="0.25">
      <c r="A230" s="2">
        <v>230</v>
      </c>
      <c r="B230" s="18">
        <v>46050.06164571759</v>
      </c>
      <c r="C230" s="2" t="s">
        <v>120</v>
      </c>
      <c r="D230" s="2" t="s">
        <v>35</v>
      </c>
      <c r="E230" s="2" t="s">
        <v>141</v>
      </c>
      <c r="F230" s="2" t="s">
        <v>3</v>
      </c>
      <c r="G230" s="3">
        <v>0</v>
      </c>
      <c r="H230" s="8">
        <v>64</v>
      </c>
      <c r="I230" s="3">
        <v>51200000</v>
      </c>
      <c r="J230" s="3">
        <v>40960000</v>
      </c>
    </row>
    <row r="231" spans="1:10" x14ac:dyDescent="0.25">
      <c r="A231" s="2">
        <v>231</v>
      </c>
      <c r="B231" s="18">
        <v>46049.11690094907</v>
      </c>
      <c r="C231" s="2" t="s">
        <v>120</v>
      </c>
      <c r="D231" s="2" t="s">
        <v>2</v>
      </c>
      <c r="E231" s="2" t="s">
        <v>141</v>
      </c>
      <c r="F231" s="2" t="s">
        <v>3</v>
      </c>
      <c r="G231" s="3">
        <v>0</v>
      </c>
      <c r="H231" s="8">
        <v>48</v>
      </c>
      <c r="I231" s="3">
        <v>38400000</v>
      </c>
      <c r="J231" s="3">
        <v>30720000</v>
      </c>
    </row>
    <row r="232" spans="1:10" x14ac:dyDescent="0.25">
      <c r="A232" s="2">
        <v>232</v>
      </c>
      <c r="B232" s="18">
        <v>46049.116404768516</v>
      </c>
      <c r="C232" s="2" t="s">
        <v>120</v>
      </c>
      <c r="D232" s="2" t="s">
        <v>79</v>
      </c>
      <c r="E232" s="2" t="s">
        <v>141</v>
      </c>
      <c r="F232" s="2" t="s">
        <v>3</v>
      </c>
      <c r="G232" s="3">
        <v>0</v>
      </c>
      <c r="H232" s="8">
        <v>64</v>
      </c>
      <c r="I232" s="3">
        <v>51200000</v>
      </c>
      <c r="J232" s="3">
        <v>40960000</v>
      </c>
    </row>
    <row r="233" spans="1:10" x14ac:dyDescent="0.25">
      <c r="A233" s="2">
        <v>233</v>
      </c>
      <c r="B233" s="18">
        <v>46049.09124180555</v>
      </c>
      <c r="C233" s="2" t="s">
        <v>120</v>
      </c>
      <c r="D233" s="2" t="s">
        <v>28</v>
      </c>
      <c r="E233" s="2" t="s">
        <v>141</v>
      </c>
      <c r="F233" s="2" t="s">
        <v>3</v>
      </c>
      <c r="G233" s="3">
        <v>0</v>
      </c>
      <c r="H233" s="8">
        <v>240</v>
      </c>
      <c r="I233" s="3">
        <v>192000000</v>
      </c>
      <c r="J233" s="3">
        <v>144000000</v>
      </c>
    </row>
    <row r="234" spans="1:10" x14ac:dyDescent="0.25">
      <c r="A234" s="2">
        <v>234</v>
      </c>
      <c r="B234" s="18">
        <v>46049.06833109954</v>
      </c>
      <c r="C234" s="2" t="s">
        <v>120</v>
      </c>
      <c r="D234" s="2" t="s">
        <v>106</v>
      </c>
      <c r="E234" s="2" t="s">
        <v>141</v>
      </c>
      <c r="F234" s="2" t="s">
        <v>3</v>
      </c>
      <c r="G234" s="3">
        <v>0</v>
      </c>
      <c r="H234" s="8">
        <v>32</v>
      </c>
      <c r="I234" s="3">
        <v>25600000</v>
      </c>
      <c r="J234" s="3">
        <v>20480000</v>
      </c>
    </row>
    <row r="235" spans="1:10" x14ac:dyDescent="0.25">
      <c r="A235" s="2">
        <v>235</v>
      </c>
      <c r="B235" s="18">
        <v>46049.067213622686</v>
      </c>
      <c r="C235" s="2" t="s">
        <v>120</v>
      </c>
      <c r="D235" s="2" t="s">
        <v>16</v>
      </c>
      <c r="E235" s="2" t="s">
        <v>141</v>
      </c>
      <c r="F235" s="2" t="s">
        <v>3</v>
      </c>
      <c r="G235" s="3">
        <v>0</v>
      </c>
      <c r="H235" s="8">
        <v>80</v>
      </c>
      <c r="I235" s="3">
        <v>64000000</v>
      </c>
      <c r="J235" s="3">
        <v>48000000</v>
      </c>
    </row>
    <row r="236" spans="1:10" x14ac:dyDescent="0.25">
      <c r="A236" s="2">
        <v>236</v>
      </c>
      <c r="B236" s="18">
        <v>46049.06532581018</v>
      </c>
      <c r="C236" s="2" t="s">
        <v>120</v>
      </c>
      <c r="D236" s="2" t="s">
        <v>33</v>
      </c>
      <c r="E236" s="2" t="s">
        <v>141</v>
      </c>
      <c r="F236" s="2" t="s">
        <v>3</v>
      </c>
      <c r="G236" s="3">
        <v>0</v>
      </c>
      <c r="H236" s="8">
        <v>488</v>
      </c>
      <c r="I236" s="3">
        <v>390400000</v>
      </c>
      <c r="J236" s="3">
        <v>292800000</v>
      </c>
    </row>
    <row r="237" spans="1:10" x14ac:dyDescent="0.25">
      <c r="A237" s="2">
        <v>237</v>
      </c>
      <c r="B237" s="18">
        <v>46048.34881079861</v>
      </c>
      <c r="C237" s="2" t="s">
        <v>120</v>
      </c>
      <c r="D237" s="2" t="s">
        <v>25</v>
      </c>
      <c r="E237" s="2" t="s">
        <v>141</v>
      </c>
      <c r="F237" s="2" t="s">
        <v>3</v>
      </c>
      <c r="G237" s="3">
        <v>0</v>
      </c>
      <c r="H237" s="8">
        <v>16</v>
      </c>
      <c r="I237" s="3">
        <v>12800000</v>
      </c>
      <c r="J237" s="3">
        <v>10880000</v>
      </c>
    </row>
    <row r="238" spans="1:10" x14ac:dyDescent="0.25">
      <c r="A238" s="2">
        <v>238</v>
      </c>
      <c r="B238" s="18">
        <v>46048.27518159722</v>
      </c>
      <c r="C238" s="2" t="s">
        <v>120</v>
      </c>
      <c r="D238" s="2" t="s">
        <v>23</v>
      </c>
      <c r="E238" s="2" t="s">
        <v>141</v>
      </c>
      <c r="F238" s="2" t="s">
        <v>3</v>
      </c>
      <c r="G238" s="3">
        <v>0</v>
      </c>
      <c r="H238" s="8">
        <v>64</v>
      </c>
      <c r="I238" s="3">
        <v>51200000</v>
      </c>
      <c r="J238" s="3">
        <v>40960000</v>
      </c>
    </row>
    <row r="239" spans="1:10" x14ac:dyDescent="0.25">
      <c r="A239" s="2">
        <v>239</v>
      </c>
      <c r="B239" s="18">
        <v>46048.274886921296</v>
      </c>
      <c r="C239" s="2" t="s">
        <v>120</v>
      </c>
      <c r="D239" s="2" t="s">
        <v>73</v>
      </c>
      <c r="E239" s="2" t="s">
        <v>141</v>
      </c>
      <c r="F239" s="2" t="s">
        <v>3</v>
      </c>
      <c r="G239" s="3">
        <v>0</v>
      </c>
      <c r="H239" s="8">
        <v>32</v>
      </c>
      <c r="I239" s="3">
        <v>25600000</v>
      </c>
      <c r="J239" s="3">
        <v>20480000</v>
      </c>
    </row>
    <row r="240" spans="1:10" x14ac:dyDescent="0.25">
      <c r="A240" s="2">
        <v>240</v>
      </c>
      <c r="B240" s="18">
        <v>46048.22278329861</v>
      </c>
      <c r="C240" s="2" t="s">
        <v>120</v>
      </c>
      <c r="D240" s="2" t="s">
        <v>80</v>
      </c>
      <c r="E240" s="2" t="s">
        <v>141</v>
      </c>
      <c r="F240" s="2" t="s">
        <v>3</v>
      </c>
      <c r="G240" s="3">
        <v>0</v>
      </c>
      <c r="H240" s="8">
        <v>48</v>
      </c>
      <c r="I240" s="3">
        <v>38400000</v>
      </c>
      <c r="J240" s="3">
        <v>30720000</v>
      </c>
    </row>
    <row r="241" spans="1:10" x14ac:dyDescent="0.25">
      <c r="A241" s="2">
        <v>241</v>
      </c>
      <c r="B241" s="18">
        <v>46048.214857025465</v>
      </c>
      <c r="C241" s="2" t="s">
        <v>120</v>
      </c>
      <c r="D241" s="2" t="s">
        <v>97</v>
      </c>
      <c r="E241" s="2" t="s">
        <v>141</v>
      </c>
      <c r="F241" s="2" t="s">
        <v>3</v>
      </c>
      <c r="G241" s="3">
        <v>0</v>
      </c>
      <c r="H241" s="8">
        <v>32</v>
      </c>
      <c r="I241" s="3">
        <v>25600000</v>
      </c>
      <c r="J241" s="3">
        <v>20480000</v>
      </c>
    </row>
    <row r="242" spans="1:10" x14ac:dyDescent="0.25">
      <c r="A242" s="2">
        <v>242</v>
      </c>
      <c r="B242" s="18">
        <v>46048.183174074074</v>
      </c>
      <c r="C242" s="2" t="s">
        <v>120</v>
      </c>
      <c r="D242" s="2" t="s">
        <v>47</v>
      </c>
      <c r="E242" s="2" t="s">
        <v>141</v>
      </c>
      <c r="F242" s="2" t="s">
        <v>3</v>
      </c>
      <c r="G242" s="3">
        <v>0</v>
      </c>
      <c r="H242" s="8">
        <v>64</v>
      </c>
      <c r="I242" s="3">
        <v>51200000</v>
      </c>
      <c r="J242" s="3">
        <v>40960000</v>
      </c>
    </row>
    <row r="243" spans="1:10" x14ac:dyDescent="0.25">
      <c r="A243" s="2">
        <v>243</v>
      </c>
      <c r="B243" s="18">
        <v>46048.07622037037</v>
      </c>
      <c r="C243" s="2" t="s">
        <v>120</v>
      </c>
      <c r="D243" s="2" t="s">
        <v>69</v>
      </c>
      <c r="E243" s="2" t="s">
        <v>141</v>
      </c>
      <c r="F243" s="2" t="s">
        <v>3</v>
      </c>
      <c r="G243" s="3">
        <v>0</v>
      </c>
      <c r="H243" s="8">
        <v>16</v>
      </c>
      <c r="I243" s="3">
        <v>12800000</v>
      </c>
      <c r="J243" s="3">
        <v>10880000</v>
      </c>
    </row>
    <row r="244" spans="1:10" x14ac:dyDescent="0.25">
      <c r="A244" s="2">
        <v>244</v>
      </c>
      <c r="B244" s="18">
        <v>46048.07408576389</v>
      </c>
      <c r="C244" s="2" t="s">
        <v>120</v>
      </c>
      <c r="D244" s="2" t="s">
        <v>8</v>
      </c>
      <c r="E244" s="2" t="s">
        <v>141</v>
      </c>
      <c r="F244" s="2" t="s">
        <v>3</v>
      </c>
      <c r="G244" s="3">
        <v>0</v>
      </c>
      <c r="H244" s="8">
        <v>48</v>
      </c>
      <c r="I244" s="3">
        <v>38400000</v>
      </c>
      <c r="J244" s="3">
        <v>30720000</v>
      </c>
    </row>
    <row r="245" spans="1:10" x14ac:dyDescent="0.25">
      <c r="A245" s="2">
        <v>245</v>
      </c>
      <c r="B245" s="18">
        <v>46048.07059135417</v>
      </c>
      <c r="C245" s="2" t="s">
        <v>120</v>
      </c>
      <c r="D245" s="2" t="s">
        <v>75</v>
      </c>
      <c r="E245" s="2" t="s">
        <v>141</v>
      </c>
      <c r="F245" s="2" t="s">
        <v>3</v>
      </c>
      <c r="G245" s="3">
        <v>0</v>
      </c>
      <c r="H245" s="8">
        <v>64</v>
      </c>
      <c r="I245" s="3">
        <v>51200000</v>
      </c>
      <c r="J245" s="3">
        <v>40960000</v>
      </c>
    </row>
    <row r="246" spans="1:10" x14ac:dyDescent="0.25">
      <c r="A246" s="2">
        <v>246</v>
      </c>
      <c r="B246" s="18">
        <v>46048.06807728009</v>
      </c>
      <c r="C246" s="2" t="s">
        <v>120</v>
      </c>
      <c r="D246" s="2" t="s">
        <v>102</v>
      </c>
      <c r="E246" s="2" t="s">
        <v>141</v>
      </c>
      <c r="F246" s="2" t="s">
        <v>3</v>
      </c>
      <c r="G246" s="3">
        <v>0</v>
      </c>
      <c r="H246" s="8">
        <v>16</v>
      </c>
      <c r="I246" s="3">
        <v>12800000</v>
      </c>
      <c r="J246" s="3">
        <v>10880000</v>
      </c>
    </row>
    <row r="247" spans="1:10" x14ac:dyDescent="0.25">
      <c r="A247" s="2">
        <v>247</v>
      </c>
      <c r="B247" s="18">
        <v>46046.19926030093</v>
      </c>
      <c r="C247" s="2" t="s">
        <v>120</v>
      </c>
      <c r="D247" s="2" t="s">
        <v>33</v>
      </c>
      <c r="E247" s="2" t="s">
        <v>141</v>
      </c>
      <c r="F247" s="2" t="s">
        <v>3</v>
      </c>
      <c r="G247" s="3">
        <v>0</v>
      </c>
      <c r="H247" s="8">
        <v>512</v>
      </c>
      <c r="I247" s="3">
        <v>409600000</v>
      </c>
      <c r="J247" s="3">
        <v>307200000</v>
      </c>
    </row>
    <row r="248" spans="1:10" x14ac:dyDescent="0.25">
      <c r="A248" s="2">
        <v>248</v>
      </c>
      <c r="B248" s="18">
        <v>46046.16883888889</v>
      </c>
      <c r="C248" s="2" t="s">
        <v>120</v>
      </c>
      <c r="D248" s="2" t="s">
        <v>90</v>
      </c>
      <c r="E248" s="2" t="s">
        <v>141</v>
      </c>
      <c r="F248" s="2" t="s">
        <v>3</v>
      </c>
      <c r="G248" s="3">
        <v>0</v>
      </c>
      <c r="H248" s="8">
        <v>32</v>
      </c>
      <c r="I248" s="3">
        <v>25600000</v>
      </c>
      <c r="J248" s="3">
        <v>20480000</v>
      </c>
    </row>
    <row r="249" spans="1:10" x14ac:dyDescent="0.25">
      <c r="A249" s="2">
        <v>249</v>
      </c>
      <c r="B249" s="18">
        <v>46046.168431053244</v>
      </c>
      <c r="C249" s="2" t="s">
        <v>120</v>
      </c>
      <c r="D249" s="2" t="s">
        <v>39</v>
      </c>
      <c r="E249" s="2" t="s">
        <v>141</v>
      </c>
      <c r="F249" s="2" t="s">
        <v>3</v>
      </c>
      <c r="G249" s="3">
        <v>0</v>
      </c>
      <c r="H249" s="8">
        <v>64</v>
      </c>
      <c r="I249" s="3">
        <v>51200000</v>
      </c>
      <c r="J249" s="3">
        <v>40960000</v>
      </c>
    </row>
    <row r="250" spans="1:10" x14ac:dyDescent="0.25">
      <c r="A250" s="2">
        <v>250</v>
      </c>
      <c r="B250" s="18">
        <v>46046.15360081018</v>
      </c>
      <c r="C250" s="2" t="s">
        <v>120</v>
      </c>
      <c r="D250" s="2" t="s">
        <v>101</v>
      </c>
      <c r="E250" s="2" t="s">
        <v>141</v>
      </c>
      <c r="F250" s="2" t="s">
        <v>3</v>
      </c>
      <c r="G250" s="3">
        <v>0</v>
      </c>
      <c r="H250" s="8">
        <v>64</v>
      </c>
      <c r="I250" s="3">
        <v>51200000</v>
      </c>
      <c r="J250" s="3">
        <v>40960000</v>
      </c>
    </row>
    <row r="251" spans="1:10" x14ac:dyDescent="0.25">
      <c r="A251" s="2">
        <v>251</v>
      </c>
      <c r="B251" s="18">
        <v>46046.13297623843</v>
      </c>
      <c r="C251" s="2" t="s">
        <v>120</v>
      </c>
      <c r="D251" s="2" t="s">
        <v>14</v>
      </c>
      <c r="E251" s="2" t="s">
        <v>141</v>
      </c>
      <c r="F251" s="2" t="s">
        <v>3</v>
      </c>
      <c r="G251" s="3">
        <v>0</v>
      </c>
      <c r="H251" s="8">
        <v>32</v>
      </c>
      <c r="I251" s="3">
        <v>25600000</v>
      </c>
      <c r="J251" s="3">
        <v>20480000</v>
      </c>
    </row>
    <row r="252" spans="1:10" x14ac:dyDescent="0.25">
      <c r="A252" s="2">
        <v>252</v>
      </c>
      <c r="B252" s="18">
        <v>46046.11538672454</v>
      </c>
      <c r="C252" s="2" t="s">
        <v>120</v>
      </c>
      <c r="D252" s="2" t="s">
        <v>65</v>
      </c>
      <c r="E252" s="2" t="s">
        <v>141</v>
      </c>
      <c r="F252" s="2" t="s">
        <v>3</v>
      </c>
      <c r="G252" s="3">
        <v>0</v>
      </c>
      <c r="H252" s="8">
        <v>64</v>
      </c>
      <c r="I252" s="3">
        <v>51200000</v>
      </c>
      <c r="J252" s="3">
        <v>40960000</v>
      </c>
    </row>
    <row r="253" spans="1:10" x14ac:dyDescent="0.25">
      <c r="A253" s="2">
        <v>253</v>
      </c>
      <c r="B253" s="18">
        <v>46046.106930636575</v>
      </c>
      <c r="C253" s="2" t="s">
        <v>120</v>
      </c>
      <c r="D253" s="2" t="s">
        <v>55</v>
      </c>
      <c r="E253" s="2" t="s">
        <v>141</v>
      </c>
      <c r="F253" s="2" t="s">
        <v>3</v>
      </c>
      <c r="G253" s="3">
        <v>0</v>
      </c>
      <c r="H253" s="8">
        <v>32</v>
      </c>
      <c r="I253" s="3">
        <v>25600000</v>
      </c>
      <c r="J253" s="3">
        <v>20480000</v>
      </c>
    </row>
    <row r="254" spans="1:10" x14ac:dyDescent="0.25">
      <c r="A254" s="2">
        <v>254</v>
      </c>
      <c r="B254" s="18">
        <v>46046.10494927083</v>
      </c>
      <c r="C254" s="2" t="s">
        <v>120</v>
      </c>
      <c r="D254" s="2" t="s">
        <v>76</v>
      </c>
      <c r="E254" s="2" t="s">
        <v>141</v>
      </c>
      <c r="F254" s="2" t="s">
        <v>3</v>
      </c>
      <c r="G254" s="3">
        <v>0</v>
      </c>
      <c r="H254" s="8">
        <v>32</v>
      </c>
      <c r="I254" s="3">
        <v>25600000</v>
      </c>
      <c r="J254" s="3">
        <v>20480000</v>
      </c>
    </row>
    <row r="255" spans="1:10" x14ac:dyDescent="0.25">
      <c r="A255" s="2">
        <v>255</v>
      </c>
      <c r="B255" s="18">
        <v>46046.10321943287</v>
      </c>
      <c r="C255" s="2" t="s">
        <v>120</v>
      </c>
      <c r="D255" s="2" t="s">
        <v>37</v>
      </c>
      <c r="E255" s="2" t="s">
        <v>141</v>
      </c>
      <c r="F255" s="2" t="s">
        <v>3</v>
      </c>
      <c r="G255" s="3">
        <v>0</v>
      </c>
      <c r="H255" s="8">
        <v>240</v>
      </c>
      <c r="I255" s="3">
        <v>192000000</v>
      </c>
      <c r="J255" s="3">
        <v>144000000</v>
      </c>
    </row>
    <row r="256" spans="1:10" x14ac:dyDescent="0.25">
      <c r="A256" s="2">
        <v>256</v>
      </c>
      <c r="B256" s="18">
        <v>46046.08856234954</v>
      </c>
      <c r="C256" s="2" t="s">
        <v>120</v>
      </c>
      <c r="D256" s="2" t="s">
        <v>44</v>
      </c>
      <c r="E256" s="2" t="s">
        <v>141</v>
      </c>
      <c r="F256" s="2" t="s">
        <v>3</v>
      </c>
      <c r="G256" s="3">
        <v>0</v>
      </c>
      <c r="H256" s="8">
        <v>240</v>
      </c>
      <c r="I256" s="3">
        <v>192000000</v>
      </c>
      <c r="J256" s="3">
        <v>144000000</v>
      </c>
    </row>
    <row r="257" spans="1:10" x14ac:dyDescent="0.25">
      <c r="A257" s="2">
        <v>257</v>
      </c>
      <c r="B257" s="18">
        <v>46045.3551308912</v>
      </c>
      <c r="C257" s="2" t="s">
        <v>120</v>
      </c>
      <c r="D257" s="2" t="s">
        <v>80</v>
      </c>
      <c r="E257" s="2" t="s">
        <v>141</v>
      </c>
      <c r="F257" s="2" t="s">
        <v>3</v>
      </c>
      <c r="G257" s="3">
        <v>0</v>
      </c>
      <c r="H257" s="8">
        <v>48</v>
      </c>
      <c r="I257" s="3">
        <v>38400000</v>
      </c>
      <c r="J257" s="3">
        <v>30720000</v>
      </c>
    </row>
    <row r="258" spans="1:10" x14ac:dyDescent="0.25">
      <c r="A258" s="2">
        <v>258</v>
      </c>
      <c r="B258" s="18">
        <v>46045.13473892361</v>
      </c>
      <c r="C258" s="2" t="s">
        <v>120</v>
      </c>
      <c r="D258" s="2" t="s">
        <v>81</v>
      </c>
      <c r="E258" s="2" t="s">
        <v>141</v>
      </c>
      <c r="F258" s="2" t="s">
        <v>3</v>
      </c>
      <c r="G258" s="3">
        <v>0</v>
      </c>
      <c r="H258" s="8">
        <v>1</v>
      </c>
      <c r="I258" s="3">
        <v>800000</v>
      </c>
      <c r="J258" s="3">
        <v>0</v>
      </c>
    </row>
    <row r="259" spans="1:10" x14ac:dyDescent="0.25">
      <c r="A259" s="2">
        <v>259</v>
      </c>
      <c r="B259" s="18">
        <v>46045.09190609954</v>
      </c>
      <c r="C259" s="2" t="s">
        <v>120</v>
      </c>
      <c r="D259" s="2" t="s">
        <v>31</v>
      </c>
      <c r="E259" s="2" t="s">
        <v>141</v>
      </c>
      <c r="F259" s="2" t="s">
        <v>3</v>
      </c>
      <c r="G259" s="3">
        <v>0</v>
      </c>
      <c r="H259" s="8">
        <v>2320</v>
      </c>
      <c r="I259" s="3">
        <v>1856000000</v>
      </c>
      <c r="J259" s="3">
        <v>1280640000</v>
      </c>
    </row>
    <row r="260" spans="1:10" x14ac:dyDescent="0.25">
      <c r="A260" s="2">
        <v>260</v>
      </c>
      <c r="B260" s="18">
        <v>46045.074144756945</v>
      </c>
      <c r="C260" s="2" t="s">
        <v>120</v>
      </c>
      <c r="D260" s="2" t="s">
        <v>60</v>
      </c>
      <c r="E260" s="2" t="s">
        <v>141</v>
      </c>
      <c r="F260" s="2" t="s">
        <v>3</v>
      </c>
      <c r="G260" s="3">
        <v>0</v>
      </c>
      <c r="H260" s="8">
        <v>160</v>
      </c>
      <c r="I260" s="3">
        <v>128000000</v>
      </c>
      <c r="J260" s="3">
        <v>96000000</v>
      </c>
    </row>
    <row r="261" spans="1:10" x14ac:dyDescent="0.25">
      <c r="A261" s="2">
        <v>261</v>
      </c>
      <c r="B261" s="18">
        <v>46045.070916516204</v>
      </c>
      <c r="C261" s="2" t="s">
        <v>120</v>
      </c>
      <c r="D261" s="2" t="s">
        <v>58</v>
      </c>
      <c r="E261" s="2" t="s">
        <v>141</v>
      </c>
      <c r="F261" s="2" t="s">
        <v>3</v>
      </c>
      <c r="G261" s="3">
        <v>0</v>
      </c>
      <c r="H261" s="8">
        <v>320</v>
      </c>
      <c r="I261" s="3">
        <v>256000000</v>
      </c>
      <c r="J261" s="3">
        <v>192000000</v>
      </c>
    </row>
    <row r="262" spans="1:10" x14ac:dyDescent="0.25">
      <c r="A262" s="2">
        <v>262</v>
      </c>
      <c r="B262" s="18">
        <v>46043.19201018519</v>
      </c>
      <c r="C262" s="2" t="s">
        <v>120</v>
      </c>
      <c r="D262" s="2" t="s">
        <v>50</v>
      </c>
      <c r="E262" s="2" t="s">
        <v>141</v>
      </c>
      <c r="F262" s="2" t="s">
        <v>3</v>
      </c>
      <c r="G262" s="3">
        <v>0</v>
      </c>
      <c r="H262" s="8">
        <v>16</v>
      </c>
      <c r="I262" s="3">
        <v>12800000</v>
      </c>
      <c r="J262" s="3">
        <v>10880000</v>
      </c>
    </row>
    <row r="263" spans="1:10" x14ac:dyDescent="0.25">
      <c r="A263" s="2">
        <v>263</v>
      </c>
      <c r="B263" s="18">
        <v>46043.08114780093</v>
      </c>
      <c r="C263" s="2" t="s">
        <v>120</v>
      </c>
      <c r="D263" s="2" t="s">
        <v>51</v>
      </c>
      <c r="E263" s="2" t="s">
        <v>141</v>
      </c>
      <c r="F263" s="2" t="s">
        <v>3</v>
      </c>
      <c r="G263" s="3">
        <v>0</v>
      </c>
      <c r="H263" s="8">
        <v>16</v>
      </c>
      <c r="I263" s="3">
        <v>12800000</v>
      </c>
      <c r="J263" s="3">
        <v>10880000</v>
      </c>
    </row>
    <row r="264" spans="1:10" x14ac:dyDescent="0.25">
      <c r="A264" s="2">
        <v>264</v>
      </c>
      <c r="B264" s="18">
        <v>46043.0778775463</v>
      </c>
      <c r="C264" s="2" t="s">
        <v>120</v>
      </c>
      <c r="D264" s="2" t="s">
        <v>62</v>
      </c>
      <c r="E264" s="2" t="s">
        <v>141</v>
      </c>
      <c r="F264" s="2" t="s">
        <v>3</v>
      </c>
      <c r="G264" s="3">
        <v>0</v>
      </c>
      <c r="H264" s="8">
        <v>16</v>
      </c>
      <c r="I264" s="3">
        <v>12800000</v>
      </c>
      <c r="J264" s="3">
        <v>10880000</v>
      </c>
    </row>
    <row r="265" spans="1:10" x14ac:dyDescent="0.25">
      <c r="A265" s="2">
        <v>265</v>
      </c>
      <c r="B265" s="18">
        <v>46042.33278680556</v>
      </c>
      <c r="C265" s="2" t="s">
        <v>120</v>
      </c>
      <c r="D265" s="2" t="s">
        <v>6</v>
      </c>
      <c r="E265" s="2" t="s">
        <v>141</v>
      </c>
      <c r="F265" s="2" t="s">
        <v>3</v>
      </c>
      <c r="G265" s="3">
        <v>0</v>
      </c>
      <c r="H265" s="8">
        <v>128</v>
      </c>
      <c r="I265" s="3">
        <v>102400000</v>
      </c>
      <c r="J265" s="3">
        <v>76800000</v>
      </c>
    </row>
    <row r="266" spans="1:10" x14ac:dyDescent="0.25">
      <c r="A266" s="2">
        <v>266</v>
      </c>
      <c r="B266" s="18">
        <v>46041.132419525464</v>
      </c>
      <c r="C266" s="2" t="s">
        <v>120</v>
      </c>
      <c r="D266" s="2" t="s">
        <v>2</v>
      </c>
      <c r="E266" s="2" t="s">
        <v>141</v>
      </c>
      <c r="F266" s="2" t="s">
        <v>3</v>
      </c>
      <c r="G266" s="3">
        <v>0</v>
      </c>
      <c r="H266" s="8">
        <v>32</v>
      </c>
      <c r="I266" s="3">
        <v>25600000</v>
      </c>
      <c r="J266" s="3">
        <v>20480000</v>
      </c>
    </row>
    <row r="267" spans="1:10" x14ac:dyDescent="0.25">
      <c r="A267" s="2">
        <v>267</v>
      </c>
      <c r="B267" s="18">
        <v>46039.186687037036</v>
      </c>
      <c r="C267" s="2" t="s">
        <v>120</v>
      </c>
      <c r="D267" s="2" t="s">
        <v>93</v>
      </c>
      <c r="E267" s="2" t="s">
        <v>141</v>
      </c>
      <c r="F267" s="2" t="s">
        <v>3</v>
      </c>
      <c r="G267" s="3">
        <v>0</v>
      </c>
      <c r="H267" s="8">
        <v>48</v>
      </c>
      <c r="I267" s="3">
        <v>38400000</v>
      </c>
      <c r="J267" s="3">
        <v>30720000</v>
      </c>
    </row>
    <row r="268" spans="1:10" x14ac:dyDescent="0.25">
      <c r="A268" s="2">
        <v>268</v>
      </c>
      <c r="B268" s="18">
        <v>46039.12280974537</v>
      </c>
      <c r="C268" s="2" t="s">
        <v>120</v>
      </c>
      <c r="D268" s="2" t="s">
        <v>57</v>
      </c>
      <c r="E268" s="2" t="s">
        <v>141</v>
      </c>
      <c r="F268" s="2" t="s">
        <v>3</v>
      </c>
      <c r="G268" s="3">
        <v>0</v>
      </c>
      <c r="H268" s="8">
        <v>32</v>
      </c>
      <c r="I268" s="3">
        <v>25600000</v>
      </c>
      <c r="J268" s="3">
        <v>20480000</v>
      </c>
    </row>
    <row r="269" spans="1:10" x14ac:dyDescent="0.25">
      <c r="A269" s="2">
        <v>269</v>
      </c>
      <c r="B269" s="18">
        <v>46038.37515777777</v>
      </c>
      <c r="C269" s="2" t="s">
        <v>120</v>
      </c>
      <c r="D269" s="2" t="s">
        <v>35</v>
      </c>
      <c r="E269" s="2" t="s">
        <v>141</v>
      </c>
      <c r="F269" s="2" t="s">
        <v>3</v>
      </c>
      <c r="G269" s="3">
        <v>0</v>
      </c>
      <c r="H269" s="8">
        <v>48</v>
      </c>
      <c r="I269" s="3">
        <v>38400000</v>
      </c>
      <c r="J269" s="3">
        <v>30720000</v>
      </c>
    </row>
    <row r="270" spans="1:10" x14ac:dyDescent="0.25">
      <c r="A270" s="2">
        <v>270</v>
      </c>
      <c r="B270" s="18">
        <v>46038.25800084491</v>
      </c>
      <c r="C270" s="2" t="s">
        <v>120</v>
      </c>
      <c r="D270" s="2" t="s">
        <v>80</v>
      </c>
      <c r="E270" s="2" t="s">
        <v>141</v>
      </c>
      <c r="F270" s="2" t="s">
        <v>3</v>
      </c>
      <c r="G270" s="3">
        <v>0</v>
      </c>
      <c r="H270" s="8">
        <v>32</v>
      </c>
      <c r="I270" s="3">
        <v>25600000</v>
      </c>
      <c r="J270" s="3">
        <v>20480000</v>
      </c>
    </row>
    <row r="271" spans="1:10" x14ac:dyDescent="0.25">
      <c r="A271" s="2">
        <v>271</v>
      </c>
      <c r="B271" s="18">
        <v>46038.143296793976</v>
      </c>
      <c r="C271" s="2" t="s">
        <v>120</v>
      </c>
      <c r="D271" s="2" t="s">
        <v>28</v>
      </c>
      <c r="E271" s="2" t="s">
        <v>141</v>
      </c>
      <c r="F271" s="2" t="s">
        <v>3</v>
      </c>
      <c r="G271" s="3">
        <v>0</v>
      </c>
      <c r="H271" s="8">
        <v>160</v>
      </c>
      <c r="I271" s="3">
        <v>128000000</v>
      </c>
      <c r="J271" s="3">
        <v>96000000</v>
      </c>
    </row>
    <row r="272" spans="1:10" x14ac:dyDescent="0.25">
      <c r="A272" s="2">
        <v>272</v>
      </c>
      <c r="B272" s="18">
        <v>46038.14245623843</v>
      </c>
      <c r="C272" s="2" t="s">
        <v>120</v>
      </c>
      <c r="D272" s="2" t="s">
        <v>79</v>
      </c>
      <c r="E272" s="2" t="s">
        <v>141</v>
      </c>
      <c r="F272" s="2" t="s">
        <v>3</v>
      </c>
      <c r="G272" s="3">
        <v>0</v>
      </c>
      <c r="H272" s="8">
        <v>48</v>
      </c>
      <c r="I272" s="3">
        <v>38400000</v>
      </c>
      <c r="J272" s="3">
        <v>30720000</v>
      </c>
    </row>
    <row r="273" spans="1:10" x14ac:dyDescent="0.25">
      <c r="A273" s="2">
        <v>273</v>
      </c>
      <c r="B273" s="18">
        <v>46037.07645030093</v>
      </c>
      <c r="C273" s="2" t="s">
        <v>120</v>
      </c>
      <c r="D273" s="2" t="s">
        <v>80</v>
      </c>
      <c r="E273" s="2" t="s">
        <v>141</v>
      </c>
      <c r="F273" s="2" t="s">
        <v>3</v>
      </c>
      <c r="G273" s="3">
        <v>0</v>
      </c>
      <c r="H273" s="8">
        <v>32</v>
      </c>
      <c r="I273" s="3">
        <v>25600000</v>
      </c>
      <c r="J273" s="3">
        <v>20480000</v>
      </c>
    </row>
    <row r="274" spans="1:10" x14ac:dyDescent="0.25">
      <c r="A274" s="2">
        <v>274</v>
      </c>
      <c r="B274" s="18">
        <v>46037.06461997685</v>
      </c>
      <c r="C274" s="2" t="s">
        <v>120</v>
      </c>
      <c r="D274" s="2" t="s">
        <v>44</v>
      </c>
      <c r="E274" s="2" t="s">
        <v>141</v>
      </c>
      <c r="F274" s="2" t="s">
        <v>3</v>
      </c>
      <c r="G274" s="3">
        <v>0</v>
      </c>
      <c r="H274" s="8">
        <v>320</v>
      </c>
      <c r="I274" s="3">
        <v>256000000</v>
      </c>
      <c r="J274" s="3">
        <v>192000000</v>
      </c>
    </row>
    <row r="275" spans="1:10" x14ac:dyDescent="0.25">
      <c r="A275" s="2">
        <v>275</v>
      </c>
      <c r="B275" s="18">
        <v>46036.15199099537</v>
      </c>
      <c r="C275" s="2" t="s">
        <v>120</v>
      </c>
      <c r="D275" s="2" t="s">
        <v>61</v>
      </c>
      <c r="E275" s="2" t="s">
        <v>141</v>
      </c>
      <c r="F275" s="2" t="s">
        <v>3</v>
      </c>
      <c r="G275" s="3">
        <v>0</v>
      </c>
      <c r="H275" s="8">
        <v>16</v>
      </c>
      <c r="I275" s="3">
        <v>12800000</v>
      </c>
      <c r="J275" s="3">
        <v>10880000</v>
      </c>
    </row>
    <row r="276" spans="1:10" x14ac:dyDescent="0.25">
      <c r="A276" s="2">
        <v>276</v>
      </c>
      <c r="B276" s="18">
        <v>46036.150629131946</v>
      </c>
      <c r="C276" s="2" t="s">
        <v>120</v>
      </c>
      <c r="D276" s="2" t="s">
        <v>80</v>
      </c>
      <c r="E276" s="2" t="s">
        <v>141</v>
      </c>
      <c r="F276" s="2" t="s">
        <v>3</v>
      </c>
      <c r="G276" s="3">
        <v>0</v>
      </c>
      <c r="H276" s="8">
        <v>96</v>
      </c>
      <c r="I276" s="3">
        <v>76800000</v>
      </c>
      <c r="J276" s="3">
        <v>57600000</v>
      </c>
    </row>
    <row r="277" spans="1:10" x14ac:dyDescent="0.25">
      <c r="A277" s="2">
        <v>277</v>
      </c>
      <c r="B277" s="18">
        <v>46036.13995380787</v>
      </c>
      <c r="C277" s="2" t="s">
        <v>120</v>
      </c>
      <c r="D277" s="2" t="s">
        <v>80</v>
      </c>
      <c r="E277" s="2" t="s">
        <v>141</v>
      </c>
      <c r="F277" s="2" t="s">
        <v>3</v>
      </c>
      <c r="G277" s="3">
        <v>0</v>
      </c>
      <c r="H277" s="8">
        <v>48</v>
      </c>
      <c r="I277" s="3">
        <v>38400000</v>
      </c>
      <c r="J277" s="3">
        <v>30720000</v>
      </c>
    </row>
    <row r="278" spans="1:10" x14ac:dyDescent="0.25">
      <c r="A278" s="2">
        <v>278</v>
      </c>
      <c r="B278" s="18">
        <v>46035.202336030095</v>
      </c>
      <c r="C278" s="2" t="s">
        <v>120</v>
      </c>
      <c r="D278" s="2" t="s">
        <v>33</v>
      </c>
      <c r="E278" s="2" t="s">
        <v>141</v>
      </c>
      <c r="F278" s="2" t="s">
        <v>3</v>
      </c>
      <c r="G278" s="3">
        <v>0</v>
      </c>
      <c r="H278" s="8">
        <v>320</v>
      </c>
      <c r="I278" s="3">
        <v>256000000</v>
      </c>
      <c r="J278" s="3">
        <v>192000000</v>
      </c>
    </row>
    <row r="279" spans="1:10" x14ac:dyDescent="0.25">
      <c r="A279" s="2">
        <v>279</v>
      </c>
      <c r="B279" s="18">
        <v>46035.155753935185</v>
      </c>
      <c r="C279" s="2" t="s">
        <v>120</v>
      </c>
      <c r="D279" s="2" t="s">
        <v>83</v>
      </c>
      <c r="E279" s="2" t="s">
        <v>141</v>
      </c>
      <c r="F279" s="2" t="s">
        <v>3</v>
      </c>
      <c r="G279" s="3">
        <v>0</v>
      </c>
      <c r="H279" s="8">
        <v>48</v>
      </c>
      <c r="I279" s="3">
        <v>38400000</v>
      </c>
      <c r="J279" s="3">
        <v>30720000</v>
      </c>
    </row>
    <row r="280" spans="1:10" x14ac:dyDescent="0.25">
      <c r="A280" s="2">
        <v>280</v>
      </c>
      <c r="B280" s="18">
        <v>46035.07301987268</v>
      </c>
      <c r="C280" s="2" t="s">
        <v>120</v>
      </c>
      <c r="D280" s="2" t="s">
        <v>44</v>
      </c>
      <c r="E280" s="2" t="s">
        <v>141</v>
      </c>
      <c r="F280" s="2" t="s">
        <v>3</v>
      </c>
      <c r="G280" s="3">
        <v>0</v>
      </c>
      <c r="H280" s="8">
        <v>320</v>
      </c>
      <c r="I280" s="3">
        <v>256000000</v>
      </c>
      <c r="J280" s="3">
        <v>192000000</v>
      </c>
    </row>
    <row r="281" spans="1:10" x14ac:dyDescent="0.25">
      <c r="A281" s="2">
        <v>281</v>
      </c>
      <c r="B281" s="18">
        <v>46035.06337021991</v>
      </c>
      <c r="C281" s="2" t="s">
        <v>120</v>
      </c>
      <c r="D281" s="2" t="s">
        <v>58</v>
      </c>
      <c r="E281" s="2" t="s">
        <v>141</v>
      </c>
      <c r="F281" s="2" t="s">
        <v>3</v>
      </c>
      <c r="G281" s="3">
        <v>0</v>
      </c>
      <c r="H281" s="8">
        <v>160</v>
      </c>
      <c r="I281" s="3">
        <v>128000000</v>
      </c>
      <c r="J281" s="3">
        <v>96000000</v>
      </c>
    </row>
    <row r="282" spans="1:10" x14ac:dyDescent="0.25">
      <c r="A282" s="2">
        <v>282</v>
      </c>
      <c r="B282" s="18">
        <v>46034.11717885417</v>
      </c>
      <c r="C282" s="2" t="s">
        <v>120</v>
      </c>
      <c r="D282" s="2" t="s">
        <v>31</v>
      </c>
      <c r="E282" s="2" t="s">
        <v>141</v>
      </c>
      <c r="F282" s="2" t="s">
        <v>3</v>
      </c>
      <c r="G282" s="3">
        <v>0</v>
      </c>
      <c r="H282" s="8">
        <v>560</v>
      </c>
      <c r="I282" s="3">
        <v>448000000</v>
      </c>
      <c r="J282" s="3">
        <v>309120000</v>
      </c>
    </row>
    <row r="283" spans="1:10" x14ac:dyDescent="0.25">
      <c r="A283" s="2">
        <v>283</v>
      </c>
      <c r="B283" s="18">
        <v>46022.18711435185</v>
      </c>
      <c r="C283" s="2" t="s">
        <v>119</v>
      </c>
      <c r="D283" s="2" t="s">
        <v>77</v>
      </c>
      <c r="E283" s="2" t="s">
        <v>141</v>
      </c>
      <c r="F283" s="2" t="s">
        <v>3</v>
      </c>
      <c r="G283" s="3">
        <v>0</v>
      </c>
      <c r="H283" s="8">
        <v>16</v>
      </c>
      <c r="I283" s="3">
        <v>12800000</v>
      </c>
      <c r="J283" s="3">
        <v>10880000</v>
      </c>
    </row>
    <row r="284" spans="1:10" x14ac:dyDescent="0.25">
      <c r="A284" s="2">
        <v>284</v>
      </c>
      <c r="B284" s="18">
        <v>46022.16959365741</v>
      </c>
      <c r="C284" s="2" t="s">
        <v>119</v>
      </c>
      <c r="D284" s="2" t="s">
        <v>57</v>
      </c>
      <c r="E284" s="2" t="s">
        <v>141</v>
      </c>
      <c r="F284" s="2" t="s">
        <v>3</v>
      </c>
      <c r="G284" s="3">
        <v>0</v>
      </c>
      <c r="H284" s="8">
        <v>32</v>
      </c>
      <c r="I284" s="3">
        <v>25600000</v>
      </c>
      <c r="J284" s="3">
        <v>20480000</v>
      </c>
    </row>
    <row r="285" spans="1:10" x14ac:dyDescent="0.25">
      <c r="A285" s="2">
        <v>285</v>
      </c>
      <c r="B285" s="18">
        <v>46022.06146053241</v>
      </c>
      <c r="C285" s="2" t="s">
        <v>119</v>
      </c>
      <c r="D285" s="2" t="s">
        <v>33</v>
      </c>
      <c r="E285" s="2" t="s">
        <v>141</v>
      </c>
      <c r="F285" s="2" t="s">
        <v>3</v>
      </c>
      <c r="G285" s="3">
        <v>0</v>
      </c>
      <c r="H285" s="8">
        <v>496</v>
      </c>
      <c r="I285" s="3">
        <v>396800000</v>
      </c>
      <c r="J285" s="3">
        <v>297600000</v>
      </c>
    </row>
    <row r="286" spans="1:10" x14ac:dyDescent="0.25">
      <c r="A286" s="2">
        <v>286</v>
      </c>
      <c r="B286" s="18">
        <v>46021.34257866898</v>
      </c>
      <c r="C286" s="2" t="s">
        <v>119</v>
      </c>
      <c r="D286" s="2" t="s">
        <v>6</v>
      </c>
      <c r="E286" s="2" t="s">
        <v>141</v>
      </c>
      <c r="F286" s="2" t="s">
        <v>3</v>
      </c>
      <c r="G286" s="3">
        <v>0</v>
      </c>
      <c r="H286" s="8">
        <v>480</v>
      </c>
      <c r="I286" s="3">
        <v>384000000</v>
      </c>
      <c r="J286" s="3">
        <v>288000000</v>
      </c>
    </row>
    <row r="287" spans="1:10" x14ac:dyDescent="0.25">
      <c r="A287" s="2">
        <v>287</v>
      </c>
      <c r="B287" s="18">
        <v>46021.30119914352</v>
      </c>
      <c r="C287" s="2" t="s">
        <v>119</v>
      </c>
      <c r="D287" s="2" t="s">
        <v>44</v>
      </c>
      <c r="E287" s="2" t="s">
        <v>141</v>
      </c>
      <c r="F287" s="2" t="s">
        <v>3</v>
      </c>
      <c r="G287" s="3">
        <v>0</v>
      </c>
      <c r="H287" s="8">
        <v>64</v>
      </c>
      <c r="I287" s="3">
        <v>51200000</v>
      </c>
      <c r="J287" s="3">
        <v>40960000</v>
      </c>
    </row>
    <row r="288" spans="1:10" x14ac:dyDescent="0.25">
      <c r="A288" s="2">
        <v>288</v>
      </c>
      <c r="B288" s="18">
        <v>46021.15744689815</v>
      </c>
      <c r="C288" s="2" t="s">
        <v>119</v>
      </c>
      <c r="D288" s="2" t="s">
        <v>38</v>
      </c>
      <c r="E288" s="2" t="s">
        <v>141</v>
      </c>
      <c r="F288" s="2" t="s">
        <v>3</v>
      </c>
      <c r="G288" s="3">
        <v>0</v>
      </c>
      <c r="H288" s="8">
        <v>32</v>
      </c>
      <c r="I288" s="3">
        <v>25600000</v>
      </c>
      <c r="J288" s="3">
        <v>20480000</v>
      </c>
    </row>
    <row r="289" spans="1:10" x14ac:dyDescent="0.25">
      <c r="A289" s="2">
        <v>289</v>
      </c>
      <c r="B289" s="18">
        <v>46021.10597445602</v>
      </c>
      <c r="C289" s="2" t="s">
        <v>119</v>
      </c>
      <c r="D289" s="2" t="s">
        <v>80</v>
      </c>
      <c r="E289" s="2" t="s">
        <v>141</v>
      </c>
      <c r="F289" s="2" t="s">
        <v>3</v>
      </c>
      <c r="G289" s="3">
        <v>0</v>
      </c>
      <c r="H289" s="8">
        <v>32</v>
      </c>
      <c r="I289" s="3">
        <v>25600000</v>
      </c>
      <c r="J289" s="3">
        <v>21760000</v>
      </c>
    </row>
    <row r="290" spans="1:10" x14ac:dyDescent="0.25">
      <c r="A290" s="2">
        <v>290</v>
      </c>
      <c r="B290" s="18">
        <v>46021.10158773148</v>
      </c>
      <c r="C290" s="2" t="s">
        <v>119</v>
      </c>
      <c r="D290" s="2" t="s">
        <v>80</v>
      </c>
      <c r="E290" s="2" t="s">
        <v>141</v>
      </c>
      <c r="F290" s="2" t="s">
        <v>3</v>
      </c>
      <c r="G290" s="3">
        <v>0</v>
      </c>
      <c r="H290" s="8">
        <v>320</v>
      </c>
      <c r="I290" s="3">
        <v>256000000</v>
      </c>
      <c r="J290" s="3">
        <v>192000000</v>
      </c>
    </row>
    <row r="291" spans="1:10" x14ac:dyDescent="0.25">
      <c r="A291" s="2">
        <v>291</v>
      </c>
      <c r="B291" s="18">
        <v>46020.25900902778</v>
      </c>
      <c r="C291" s="2" t="s">
        <v>119</v>
      </c>
      <c r="D291" s="2" t="s">
        <v>94</v>
      </c>
      <c r="E291" s="2" t="s">
        <v>141</v>
      </c>
      <c r="F291" s="2" t="s">
        <v>3</v>
      </c>
      <c r="G291" s="3">
        <v>0</v>
      </c>
      <c r="H291" s="8">
        <v>16</v>
      </c>
      <c r="I291" s="3">
        <v>12800000</v>
      </c>
      <c r="J291" s="3">
        <v>10880000</v>
      </c>
    </row>
    <row r="292" spans="1:10" x14ac:dyDescent="0.25">
      <c r="A292" s="2">
        <v>292</v>
      </c>
      <c r="B292" s="18">
        <v>46020.256636770835</v>
      </c>
      <c r="C292" s="2" t="s">
        <v>119</v>
      </c>
      <c r="D292" s="2" t="s">
        <v>47</v>
      </c>
      <c r="E292" s="2" t="s">
        <v>141</v>
      </c>
      <c r="F292" s="2" t="s">
        <v>3</v>
      </c>
      <c r="G292" s="3">
        <v>0</v>
      </c>
      <c r="H292" s="8">
        <v>20</v>
      </c>
      <c r="I292" s="3">
        <v>16000000</v>
      </c>
      <c r="J292" s="3">
        <v>13600000</v>
      </c>
    </row>
    <row r="293" spans="1:10" x14ac:dyDescent="0.25">
      <c r="A293" s="2">
        <v>293</v>
      </c>
      <c r="B293" s="18">
        <v>46018.16928717593</v>
      </c>
      <c r="C293" s="2" t="s">
        <v>119</v>
      </c>
      <c r="D293" s="2" t="s">
        <v>40</v>
      </c>
      <c r="E293" s="2" t="s">
        <v>141</v>
      </c>
      <c r="F293" s="2" t="s">
        <v>3</v>
      </c>
      <c r="G293" s="3">
        <v>0</v>
      </c>
      <c r="H293" s="8">
        <v>16</v>
      </c>
      <c r="I293" s="3">
        <v>12800000</v>
      </c>
      <c r="J293" s="3">
        <v>10880000</v>
      </c>
    </row>
    <row r="294" spans="1:10" x14ac:dyDescent="0.25">
      <c r="A294" s="2">
        <v>294</v>
      </c>
      <c r="B294" s="18">
        <v>46017.375777928246</v>
      </c>
      <c r="C294" s="2" t="s">
        <v>119</v>
      </c>
      <c r="D294" s="2" t="s">
        <v>8</v>
      </c>
      <c r="E294" s="2" t="s">
        <v>141</v>
      </c>
      <c r="F294" s="2" t="s">
        <v>3</v>
      </c>
      <c r="G294" s="3">
        <v>0</v>
      </c>
      <c r="H294" s="8">
        <v>16</v>
      </c>
      <c r="I294" s="3">
        <v>12800000</v>
      </c>
      <c r="J294" s="3">
        <v>10880000</v>
      </c>
    </row>
    <row r="295" spans="1:10" x14ac:dyDescent="0.25">
      <c r="A295" s="2">
        <v>295</v>
      </c>
      <c r="B295" s="18">
        <v>46017.37560280092</v>
      </c>
      <c r="C295" s="2" t="s">
        <v>119</v>
      </c>
      <c r="D295" s="2" t="s">
        <v>55</v>
      </c>
      <c r="E295" s="2" t="s">
        <v>141</v>
      </c>
      <c r="F295" s="2" t="s">
        <v>3</v>
      </c>
      <c r="G295" s="3">
        <v>0</v>
      </c>
      <c r="H295" s="8">
        <v>32</v>
      </c>
      <c r="I295" s="3">
        <v>25600000</v>
      </c>
      <c r="J295" s="3">
        <v>21760000</v>
      </c>
    </row>
    <row r="296" spans="1:10" x14ac:dyDescent="0.25">
      <c r="A296" s="2">
        <v>296</v>
      </c>
      <c r="B296" s="18">
        <v>46017.093803807875</v>
      </c>
      <c r="C296" s="2" t="s">
        <v>119</v>
      </c>
      <c r="D296" s="2" t="s">
        <v>62</v>
      </c>
      <c r="E296" s="2" t="s">
        <v>141</v>
      </c>
      <c r="F296" s="2" t="s">
        <v>3</v>
      </c>
      <c r="G296" s="3">
        <v>0</v>
      </c>
      <c r="H296" s="8">
        <v>16</v>
      </c>
      <c r="I296" s="3">
        <v>12800000</v>
      </c>
      <c r="J296" s="3">
        <v>10880000</v>
      </c>
    </row>
    <row r="297" spans="1:10" x14ac:dyDescent="0.25">
      <c r="A297" s="2">
        <v>297</v>
      </c>
      <c r="B297" s="18">
        <v>46017.09119244213</v>
      </c>
      <c r="C297" s="2" t="s">
        <v>119</v>
      </c>
      <c r="D297" s="2" t="s">
        <v>80</v>
      </c>
      <c r="E297" s="2" t="s">
        <v>141</v>
      </c>
      <c r="F297" s="2" t="s">
        <v>3</v>
      </c>
      <c r="G297" s="3">
        <v>0</v>
      </c>
      <c r="H297" s="8">
        <v>32</v>
      </c>
      <c r="I297" s="3">
        <v>25600000</v>
      </c>
      <c r="J297" s="3">
        <v>20480000</v>
      </c>
    </row>
    <row r="298" spans="1:10" x14ac:dyDescent="0.25">
      <c r="A298" s="2">
        <v>298</v>
      </c>
      <c r="B298" s="18">
        <v>46017.08855864583</v>
      </c>
      <c r="C298" s="2" t="s">
        <v>119</v>
      </c>
      <c r="D298" s="2" t="s">
        <v>16</v>
      </c>
      <c r="E298" s="2" t="s">
        <v>141</v>
      </c>
      <c r="F298" s="2" t="s">
        <v>3</v>
      </c>
      <c r="G298" s="3">
        <v>0</v>
      </c>
      <c r="H298" s="8">
        <v>80</v>
      </c>
      <c r="I298" s="3">
        <v>64000000</v>
      </c>
      <c r="J298" s="3">
        <v>48000000</v>
      </c>
    </row>
    <row r="299" spans="1:10" x14ac:dyDescent="0.25">
      <c r="A299" s="2">
        <v>299</v>
      </c>
      <c r="B299" s="18">
        <v>46016.404737696765</v>
      </c>
      <c r="C299" s="2" t="s">
        <v>119</v>
      </c>
      <c r="D299" s="2" t="s">
        <v>104</v>
      </c>
      <c r="E299" s="2" t="s">
        <v>141</v>
      </c>
      <c r="F299" s="2" t="s">
        <v>3</v>
      </c>
      <c r="G299" s="3">
        <v>0</v>
      </c>
      <c r="H299" s="8">
        <v>16</v>
      </c>
      <c r="I299" s="3">
        <v>12800000</v>
      </c>
      <c r="J299" s="3">
        <v>10880000</v>
      </c>
    </row>
    <row r="300" spans="1:10" x14ac:dyDescent="0.25">
      <c r="A300" s="2">
        <v>300</v>
      </c>
      <c r="B300" s="18">
        <v>46016.16719644676</v>
      </c>
      <c r="C300" s="2" t="s">
        <v>119</v>
      </c>
      <c r="D300" s="2" t="s">
        <v>28</v>
      </c>
      <c r="E300" s="2" t="s">
        <v>141</v>
      </c>
      <c r="F300" s="2" t="s">
        <v>3</v>
      </c>
      <c r="G300" s="3">
        <v>0</v>
      </c>
      <c r="H300" s="8">
        <v>48</v>
      </c>
      <c r="I300" s="3">
        <v>38400000</v>
      </c>
      <c r="J300" s="3">
        <v>30720000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QEC review</vt:lpstr>
      <vt:lpstr>SKU review</vt:lpstr>
      <vt:lpstr>SKU - Customer review</vt:lpstr>
      <vt:lpstr>SKU customer review</vt:lpstr>
      <vt:lpstr>SKU review - Customer</vt:lpstr>
      <vt:lpstr>SKU review customer</vt:lpstr>
      <vt:lpstr>Data nguồn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QEC Export Builder</dc:creator>
  <dc:title/>
  <dc:subject/>
  <dc:description/>
  <cp:keywords/>
  <cp:category/>
  <cp:lastModifiedBy>Unknown</cp:lastModifiedBy>
  <dcterms:created xsi:type="dcterms:W3CDTF">2026-05-28T07:51:06Z</dcterms:created>
  <dcterms:modified xsi:type="dcterms:W3CDTF">2026-05-28T07:51:06Z</dcterms:modified>
</cp:coreProperties>
</file>