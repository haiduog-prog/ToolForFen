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fig" state="hidden" r:id="rId4"/>
    <sheet sheetId="2" name="QEC review" state="visible" r:id="rId5"/>
    <sheet sheetId="3" name="SKU review" state="visible" r:id="rId6"/>
    <sheet sheetId="4" name="SKU - Customer review" state="visible" r:id="rId7"/>
    <sheet sheetId="5" name="SKU customer review" state="visible" r:id="rId8"/>
    <sheet sheetId="6" name="SKU review - Customer" state="visible" r:id="rId9"/>
    <sheet sheetId="7" name="SKU review customer" state="visible" r:id="rId10"/>
    <sheet sheetId="8" name="Data nguồn" state="visible" r:id="rId11"/>
  </sheets>
  <calcPr calcId="171027"/>
</workbook>
</file>

<file path=xl/sharedStrings.xml><?xml version="1.0" encoding="utf-8"?>
<sst xmlns="http://schemas.openxmlformats.org/spreadsheetml/2006/main" count="12012" uniqueCount="429">
  <si>
    <t>Customer List</t>
  </si>
  <si>
    <t>Product List</t>
  </si>
  <si>
    <t>Aeon Mall</t>
  </si>
  <si>
    <t>Chiết khấu trực tiếp - Collagen 6in1 60 viên</t>
  </si>
  <si>
    <t>Alibaby</t>
  </si>
  <si>
    <t>Chiết khấu trực tiếp - Collagen 6in1 90 viên</t>
  </si>
  <si>
    <t>An Bé Bé (Bình Lâm)</t>
  </si>
  <si>
    <t>Chiết khấu trực tiếp - Combo cặp kids 120 viên</t>
  </si>
  <si>
    <t>An Khang</t>
  </si>
  <si>
    <t>Chiết khấu trực tiếp - Combo cặp kids 60 viên</t>
  </si>
  <si>
    <t>An Nam Bỉm Sữa (Nguyễn Văn Tiến)</t>
  </si>
  <si>
    <t>Chiết khấu trực tiếp - Combo Kids 60 viên</t>
  </si>
  <si>
    <t>Anh Khải (Nhân viên công ty)</t>
  </si>
  <si>
    <t>Chiết khấu trực tiếp - Combo Xinh đẹp rạng rỡ</t>
  </si>
  <si>
    <t>anh Minh (MKT)</t>
  </si>
  <si>
    <t>Chiết khấu trực tiếp Evening Primrose Oil 90 viên</t>
  </si>
  <si>
    <t>Anh Tuấn (hàng Mẹ &amp; Bé)</t>
  </si>
  <si>
    <t>Collagen 6in1 Springleaf Inner 180v</t>
  </si>
  <si>
    <t>Anh Tùng</t>
  </si>
  <si>
    <t>Collagen 6in1 Springleaf Inner 60v</t>
  </si>
  <si>
    <t>Annam Gourmet Hai Bà Trưng</t>
  </si>
  <si>
    <t>Collagen 6in1 Springleaf Inner 90v</t>
  </si>
  <si>
    <t>Baby Mark - Trạm Thực Nghiệm</t>
  </si>
  <si>
    <t>Colostrum Powder - Bột Sữa Bò Non SpringLeaf 400g</t>
  </si>
  <si>
    <t>Bác sĩ Oanh</t>
  </si>
  <si>
    <t>Dầu Nhuyễn Thể Nam Cực Đỏ Phức Hợp- Krill Oil 700mg (60 viên)</t>
  </si>
  <si>
    <t>Bác sĩ Vinh Hoàng</t>
  </si>
  <si>
    <t>Evening Primrose Oil -Tinh Dầu Hoa Anh Thảo 1000mg 180v</t>
  </si>
  <si>
    <t>Betty Baby</t>
  </si>
  <si>
    <t>Evening Primrose Oil -Tinh Dầu Hoa Anh Thảo 1000mg 90v</t>
  </si>
  <si>
    <t>Bệnh viện Hùng Vương</t>
  </si>
  <si>
    <t>Fish oil Kids - Dầu Cá SpringLeaf 750mg 120 viên</t>
  </si>
  <si>
    <t>Bệnh viện Vinmec</t>
  </si>
  <si>
    <t>Fish oil Kids - Dầu Cá SpringLeaf 750mg 60 viên</t>
  </si>
  <si>
    <t>Bibomart</t>
  </si>
  <si>
    <t>Garlic oil - Tinh Dầu Tỏi SpringLeaf 3000mg 360v</t>
  </si>
  <si>
    <t>Bibonmart</t>
  </si>
  <si>
    <t>Garlic oil - Tinh Dầu Tỏi SpringLeaf 3000mg 360v (Date 2025)</t>
  </si>
  <si>
    <t>Bun Bếp Quán</t>
  </si>
  <si>
    <t>Garlic oil - Tinh Dầu Tỏi SpringLeaf 3000mg 360v (hàng bán)</t>
  </si>
  <si>
    <t>Careace</t>
  </si>
  <si>
    <t>Garlic oil - Tinh Dầu Tỏi SpringLeaf 3000mg 360v (hàng tặng)</t>
  </si>
  <si>
    <t>chị Hà (nhân viên)</t>
  </si>
  <si>
    <t>Garlic oil - Tinh Dầu Tỏi SpringLeaf 3000mg 360v (tặng)</t>
  </si>
  <si>
    <t>Chị My (nhóm Zalo)</t>
  </si>
  <si>
    <t>Gấu bông</t>
  </si>
  <si>
    <t>Chị Nhung (ĐTĐ)</t>
  </si>
  <si>
    <t>Gấu bông mầm</t>
  </si>
  <si>
    <t>Chị Nhung Yanhee</t>
  </si>
  <si>
    <t>Gấu bông vịt vàng</t>
  </si>
  <si>
    <t>Chuỗi Mẹ và bé Mỹ Linh An Giang</t>
  </si>
  <si>
    <t>Kẹo dẻo bổ mắt Lutein 150g, 60 viên (vị xoài dứa)</t>
  </si>
  <si>
    <t>Chuỗi Mint Cosmetic</t>
  </si>
  <si>
    <t>Kẹo dẻo bổ mắt Lutein 200g, 80 viên (màu xanh - new flavour)</t>
  </si>
  <si>
    <t>Chưa có tên</t>
  </si>
  <si>
    <t>Kẹo dẻo SpringLeaf Kids Probiotic - Lợi khuẩn cho bé (80 viên)</t>
  </si>
  <si>
    <t>Con Cưng</t>
  </si>
  <si>
    <t>Kids mega milky Calcium - Canxi Sữa SpringLeaf 120v</t>
  </si>
  <si>
    <t>Con Cưng Office</t>
  </si>
  <si>
    <t>Kids mega milky Calcium - Canxi Sữa SpringLeaf 60v</t>
  </si>
  <si>
    <t>Cô Xuyến</t>
  </si>
  <si>
    <t>Liver detox - Viên uống thải độc gan Springleaf 120v</t>
  </si>
  <si>
    <t>Cộng tác viên: Trà Thanh Vân</t>
  </si>
  <si>
    <t>Liver detox - Viên uống thải độc gan Springleaf 60v</t>
  </si>
  <si>
    <t>Công ty Cổ Phần Omicare</t>
  </si>
  <si>
    <t xml:space="preserve">Manuka Honey MGO 20+
Mật ong Manuka MGO 20+ (250g)</t>
  </si>
  <si>
    <t>Công ty Cổ phần Sóc Đỏ</t>
  </si>
  <si>
    <t xml:space="preserve">Manuka Honey MGO 250+
Mật ong Manuka MGO 250+ (250g)</t>
  </si>
  <si>
    <t>Công ty Cổ Phần Thế Giới Di Động (Ava_HCM - Kho Ava World Tân Bình)</t>
  </si>
  <si>
    <t xml:space="preserve">Manuka Honey MGO 550+
Mật ong Manuka MGO 550+ (250g)</t>
  </si>
  <si>
    <t>Công ty CP Lebebee</t>
  </si>
  <si>
    <t>Mầm Đậu Nành Lecithin Springleaf 1200mg</t>
  </si>
  <si>
    <t>Công ty CPTM và Phân Phối Hướng Dương</t>
  </si>
  <si>
    <t>Placenta 60 000mg - Nhau thai cừu 120 viên</t>
  </si>
  <si>
    <t>Công ty Dược phẩm Mạnh Tý</t>
  </si>
  <si>
    <t>Placenta 80 000mg - Nhau thai cừu 90 viên</t>
  </si>
  <si>
    <t>Công ty Đồng Bằng</t>
  </si>
  <si>
    <t>Set bao lì xì</t>
  </si>
  <si>
    <t>Công ty Kim Sa Group</t>
  </si>
  <si>
    <t>Set tô màu kids</t>
  </si>
  <si>
    <t>Công ty TNHH &amp; PP Mạch Huy</t>
  </si>
  <si>
    <t>SpringLeaf Canxi -Vitamin D3</t>
  </si>
  <si>
    <t>Công Ty TNHH Bảo Hưng Fruits</t>
  </si>
  <si>
    <t>SpringLeaf Canxi -Vitamin D3 200 viên</t>
  </si>
  <si>
    <t>Công ty TNHH Dược phẩm Propharma</t>
  </si>
  <si>
    <t>SpringLeaf Canxi -Vitamin D3 60 viên</t>
  </si>
  <si>
    <t>Công ty TNHH Dược Phẩm Thành Sen</t>
  </si>
  <si>
    <t>Thưởng tích lũy năm 2024 (9%)</t>
  </si>
  <si>
    <t>Công ty TNHH Lê Lâm Ngọc</t>
  </si>
  <si>
    <t>Túi vải Springleaf</t>
  </si>
  <si>
    <t>Công ty TNHH Phát triển thương mại Trần Gia</t>
  </si>
  <si>
    <t>Viên uống Omega 369 180 viên</t>
  </si>
  <si>
    <t>Công ty TNHH Thực Phẩm - Mỹ Phẩm Nhật Việt</t>
  </si>
  <si>
    <t>Voucher 1</t>
  </si>
  <si>
    <t>Công ty TNHH Thương Mại Dịch Vụ Tổng Hợp Y Tế Tiến Thanh</t>
  </si>
  <si>
    <t>Voucher 2</t>
  </si>
  <si>
    <t>Công ty TNHH Thương mại dược phẩm Thanh Phương</t>
  </si>
  <si>
    <t>Voucher 3</t>
  </si>
  <si>
    <t>Công Ty TNHH TM Dược Phẩm Bảo Bình</t>
  </si>
  <si>
    <t>CTCT Thế Giới Di Động - Tòa nhà MWG</t>
  </si>
  <si>
    <t>Cửa hàng Baby Thu Cầm</t>
  </si>
  <si>
    <t>Dola' House (Baby's Corner)</t>
  </si>
  <si>
    <t>Dr. Rossie - Thực dưỡng khoẻ đẹp</t>
  </si>
  <si>
    <t>Duy Phương</t>
  </si>
  <si>
    <t>Đoàn Trung Phú, Công Ty Cổ Phần Thế Giới Di Động</t>
  </si>
  <si>
    <t>Đỗ Văn Chính</t>
  </si>
  <si>
    <t>Em Cảnh</t>
  </si>
  <si>
    <t>Em Liên (nhân viên công ty)</t>
  </si>
  <si>
    <t>Em Mai (nhân viên)</t>
  </si>
  <si>
    <t>Ếch cốm (Tổng)</t>
  </si>
  <si>
    <t>Ếch Cốm 1 - Tân Mai - Hoàng Mai</t>
  </si>
  <si>
    <t>Gourmet Shop An Phú</t>
  </si>
  <si>
    <t>Gourmet Shop Ascentia</t>
  </si>
  <si>
    <t>Gourmet Shop Estella</t>
  </si>
  <si>
    <t>Gourmet Shop Feliz Vista</t>
  </si>
  <si>
    <t>Gourmet Shop Hà Nội</t>
  </si>
  <si>
    <t>Gourmet Shop Landmark 81</t>
  </si>
  <si>
    <t>Gourmet Shop Phú Mỹ Hưng</t>
  </si>
  <si>
    <t>Gourmet Shop Q2 Terrace</t>
  </si>
  <si>
    <t>Gourmet Shop Saigon Centre</t>
  </si>
  <si>
    <t>Gourmet Shop Saigon Pearl</t>
  </si>
  <si>
    <t>Gourmet Shop Vincom Plaza Long Bien HN</t>
  </si>
  <si>
    <t>Guardian</t>
  </si>
  <si>
    <t>Guardian (PO)</t>
  </si>
  <si>
    <t>Hải Yến</t>
  </si>
  <si>
    <t>Hàng PG</t>
  </si>
  <si>
    <t>Hebela</t>
  </si>
  <si>
    <t>Hộ kinh doanh Vũ Thị Hòa</t>
  </si>
  <si>
    <t>Khách hàng (Cảnh)</t>
  </si>
  <si>
    <t>Khách hàng lẻ: Đỗ Thị Cúc</t>
  </si>
  <si>
    <t>Khách lẻ Lê Thị Thanh Triều (VNSHOP)</t>
  </si>
  <si>
    <t>Khách lẻ Nguyễn Quyết Chiến</t>
  </si>
  <si>
    <t>Khách lẻ trúng thưởng: An An</t>
  </si>
  <si>
    <t>Khách lẻ trúng thưởng: An Nhiên</t>
  </si>
  <si>
    <t>Khách lẻ trúng thưởng: Anna Trần</t>
  </si>
  <si>
    <t>Khách lẻ trúng thưởng: Bạch Văn Luận</t>
  </si>
  <si>
    <t>Khách lẻ trúng thưởng: Bảo An</t>
  </si>
  <si>
    <t>Khách lẻ trúng thưởng: Bống Bi</t>
  </si>
  <si>
    <t>Khách lẻ trúng thưởng: Bùi Đan</t>
  </si>
  <si>
    <t>Khách lẻ trúng thưởng: Cả ngỗ Vui Khỏe</t>
  </si>
  <si>
    <t>Khách lẻ trúng thưởng: Cao thị Bích Phượng</t>
  </si>
  <si>
    <t>Khách lẻ trúng thưởng: Cao Thị Mùi</t>
  </si>
  <si>
    <t>Khách lẻ trúng thưởng: Chloe Nguyen</t>
  </si>
  <si>
    <t>Khách lẻ trúng thưởng: Dung Bubi</t>
  </si>
  <si>
    <t>Khách lẻ trúng thưởng: Duyên</t>
  </si>
  <si>
    <t>Khách lẻ trúng thưởng: Đan Linh</t>
  </si>
  <si>
    <t>Khách lẻ trúng thưởng: Đào Thị Lan</t>
  </si>
  <si>
    <t>Khách lẻ trúng thưởng: Đào Thị Lan (1)</t>
  </si>
  <si>
    <t>Khách lẻ trúng thưởng: Đào Thị Lan (3)</t>
  </si>
  <si>
    <t>Khách lẻ trúng thưởng: Đặng Hương</t>
  </si>
  <si>
    <t>Khách lẻ trúng thưởng: Đỗ Thị Diệu</t>
  </si>
  <si>
    <t>Khách lẻ trúng thưởng: Hà Huyền My</t>
  </si>
  <si>
    <t>Khách lẻ trúng thưởng: Hà Vy</t>
  </si>
  <si>
    <t>Khách lẻ trúng thưởng: Hải Đinh</t>
  </si>
  <si>
    <t>Khách lẻ trúng thưởng: Hải Yến</t>
  </si>
  <si>
    <t>Khách lẻ trúng thưởng: Hoàng Thị Tâm</t>
  </si>
  <si>
    <t>Khách lẻ trúng thưởng: Hoàng Yến</t>
  </si>
  <si>
    <t>Khách lẻ trúng thưởng: Hương Đình</t>
  </si>
  <si>
    <t>Khách lẻ trúng thưởng: Lan</t>
  </si>
  <si>
    <t>Khách lẻ trúng thưởng: Lê Ngân</t>
  </si>
  <si>
    <t>Khách lẻ trúng thưởng: Lê Thị Mỹ Dung</t>
  </si>
  <si>
    <t>Khách lẻ trúng thưởng: Linh Khánh</t>
  </si>
  <si>
    <t>Khách lẻ trúng thưởng: Linh Sunny</t>
  </si>
  <si>
    <t>Khách lẻ trúng thưởng: Mai An</t>
  </si>
  <si>
    <t>Khách lẻ trúng thưởng: Mai Anh</t>
  </si>
  <si>
    <t>Khách lẻ trúng thưởng: Mai Huyền</t>
  </si>
  <si>
    <t>Khách lẻ trúng thưởng: Mai Lee</t>
  </si>
  <si>
    <t>Khách lẻ trúng thưởng: Minh Thùy</t>
  </si>
  <si>
    <t>Khách lẻ trúng thưởng: Na Na</t>
  </si>
  <si>
    <t>Khách lẻ trúng thưởng: Ngân Hoàng</t>
  </si>
  <si>
    <t>Khách lẻ trúng thưởng: Nguyễn  Thanh Vỹ</t>
  </si>
  <si>
    <t>Khách lẻ trúng thưởng: Nguyễn Chúc</t>
  </si>
  <si>
    <t>Khách lẻ trúng thưởng: Nguyễn Đồng Đồng</t>
  </si>
  <si>
    <t>Khách lẻ trúng thưởng: Nguyễn Hồng Thanh</t>
  </si>
  <si>
    <t>Khách lẻ trúng thưởng: Nguyễn Huyền</t>
  </si>
  <si>
    <t>Khách lẻ trúng thưởng: Nguyễn Huỳnh Minh Thư</t>
  </si>
  <si>
    <t>Khách lẻ trúng thưởng: Nguyễn Khánh</t>
  </si>
  <si>
    <t>Khách lẻ trúng thưởng: Nguyễn Khánh (1)</t>
  </si>
  <si>
    <t>Khách lẻ trúng thưởng: Nguyễn Khánh Vy</t>
  </si>
  <si>
    <t>Khách lẻ trúng thưởng: Nguyễn Phi Phục</t>
  </si>
  <si>
    <t>Khách lẻ trúng thưởng: Nguyễn Sương</t>
  </si>
  <si>
    <t>Khách lẻ trúng thưởng: Nguyễn Thanh Huyền</t>
  </si>
  <si>
    <t>Khách lẻ trúng thưởng: Nguyễn Thị Huyền</t>
  </si>
  <si>
    <t>Khách lẻ trúng thưởng: Nguyễn Thị Kim</t>
  </si>
  <si>
    <t>Khách lẻ trúng thưởng: Nguyễn Thị Minh Hằng</t>
  </si>
  <si>
    <t>Khách lẻ trúng thưởng: Nguyễn Thị Tường Vi</t>
  </si>
  <si>
    <t>Khách lẻ trúng thưởng: Nguyễn Thu Trang</t>
  </si>
  <si>
    <t>Khách lẻ trúng thưởng: Nguyễn Thu Trang (1)</t>
  </si>
  <si>
    <t>Khách lẻ trúng thưởng: Nguyễn Thương</t>
  </si>
  <si>
    <t>Khách lẻ trúng thưởng: Nguyễn Trang</t>
  </si>
  <si>
    <t>Khách lẻ trúng thưởng: Nguyễn Trần Thục Uyên</t>
  </si>
  <si>
    <t>Khách lẻ trúng thưởng: Nguyễn Tuyết Nhi</t>
  </si>
  <si>
    <t>Khách lẻ trúng thưởng: Nguyễn Tường Vy</t>
  </si>
  <si>
    <t>Khách lẻ trúng thưởng: Pham Cừu Anh</t>
  </si>
  <si>
    <t>Khách lẻ trúng thưởng: Phạm Phương Anh</t>
  </si>
  <si>
    <t>Khách lẻ trúng thưởng: Phạm Thanh Huyền</t>
  </si>
  <si>
    <t>Khách lẻ trúng thưởng: Phan Hà Trang</t>
  </si>
  <si>
    <t>Khách lẻ trúng thưởng: Phùng Thanh Huyền</t>
  </si>
  <si>
    <t>Khách lẻ trúng thưởng: Phùng Thư</t>
  </si>
  <si>
    <t>Khách lẻ trúng thưởng: Phương</t>
  </si>
  <si>
    <t>Khách lẻ trúng thưởng: Phương Linh</t>
  </si>
  <si>
    <t>Khách lẻ trúng thưởng: Phương Trần</t>
  </si>
  <si>
    <t>Khách lẻ trúng thưởng: Quốc Thy</t>
  </si>
  <si>
    <t>Khách lẻ trúng thưởng: Quyen Do</t>
  </si>
  <si>
    <t>Khách lẻ trúng thưởng: Sang Thúy My</t>
  </si>
  <si>
    <t>Khách lẻ trúng thưởng: Shop Knguyen</t>
  </si>
  <si>
    <t>Khách lẻ trúng thưởng: Song Ngọc Phương Trâm</t>
  </si>
  <si>
    <t>Khách lẻ trúng thưởng: Sunshine</t>
  </si>
  <si>
    <t>Khách lẻ trúng thưởng: Thanh Hiền</t>
  </si>
  <si>
    <t>Khách lẻ trúng thưởng: Thanh Thanh</t>
  </si>
  <si>
    <t>Khách lẻ trúng thưởng: Thanh Tuyền</t>
  </si>
  <si>
    <t>Khách lẻ trúng thưởng: Thơm Giang</t>
  </si>
  <si>
    <t>Khách lẻ trúng thưởng: Thu Trang</t>
  </si>
  <si>
    <t>Khách lẻ trúng thưởng: Thùy Dương</t>
  </si>
  <si>
    <t>Khách lẻ trúng thưởng: Thuỳ Dương (1)</t>
  </si>
  <si>
    <t>Khách lẻ trúng thưởng: Trần Hoà</t>
  </si>
  <si>
    <t>Khách lẻ trúng thưởng: Trần Minh Thu</t>
  </si>
  <si>
    <t>Khách lẻ trúng thưởng: Trần Thị Thu Trang</t>
  </si>
  <si>
    <t>Khách lẻ trúng thưởng: Trần Thúy</t>
  </si>
  <si>
    <t>Khách lẻ trúng thưởng: Trần Thư</t>
  </si>
  <si>
    <t>Khách lẻ trúng thưởng: Trần Tú Anh</t>
  </si>
  <si>
    <t>Khách lẻ trúng thưởng: Tú Uyên</t>
  </si>
  <si>
    <t>Khách lẻ trúng thưởng: Tùng</t>
  </si>
  <si>
    <t>Khách lẻ trúng thưởng: Tuyên Be</t>
  </si>
  <si>
    <t>Khách lẻ trúng thưởng: Vũ Thắm</t>
  </si>
  <si>
    <t>Khách lẻ trúng thưởng: Vũ Thu Hường</t>
  </si>
  <si>
    <t>Khách lẻ trúng thưởng: Yến Yến</t>
  </si>
  <si>
    <t>Khách lẻ: Cao Thị Chính (Vnshop)</t>
  </si>
  <si>
    <t>Khách lẻ: chị Hiền</t>
  </si>
  <si>
    <t>Khách lẻ: Chị Loan (Hải)</t>
  </si>
  <si>
    <t>Khách lẻ: Duy Tân (VNSHOP)</t>
  </si>
  <si>
    <t>Khách lẻ: Đào Châm (VNSHOP)</t>
  </si>
  <si>
    <t>Khách lẻ: Lệ (VN Shop)</t>
  </si>
  <si>
    <t>Khách lẻ: Lê Tấn Phát (VNSHOP)</t>
  </si>
  <si>
    <t>Khách lẻ: Nguyễn Nhung (VNSHOP)</t>
  </si>
  <si>
    <t>Khách lẻ: Nguyễn Thị Giang Tâm (VNSHOP)</t>
  </si>
  <si>
    <t>Khách lẻ: Nguyễn Thị Hường (VNSHOP)</t>
  </si>
  <si>
    <t>Khách lẻ: Nguyễn Thiên Hương (VNSHOP)</t>
  </si>
  <si>
    <t>Khách lẻ: Nguyễn Thùy Minh (Vnshop)</t>
  </si>
  <si>
    <t>Khách lẻ: Nguyễn Văn Thành (VNSHOP)</t>
  </si>
  <si>
    <t>Khách lẻ: Nhung Nguyễn</t>
  </si>
  <si>
    <t>Khách lẻ: Như Quỳnh</t>
  </si>
  <si>
    <t>Khách lẻ: Ohsaki (VNSHOP)</t>
  </si>
  <si>
    <t>Khách lẻ: Tân Trần (VNSHOP)</t>
  </si>
  <si>
    <t>Khách lẻ: Thùy Dung</t>
  </si>
  <si>
    <t>Khách lẻ: Tu Nguyen Khanh Trang (VNSHOP)</t>
  </si>
  <si>
    <t>Khách lẻ: Vo Van Tinh (VNSHOP)</t>
  </si>
  <si>
    <t>Khách lẻ: Vũ Hồng Loan (VNSHOP)</t>
  </si>
  <si>
    <t>Kids Plaza</t>
  </si>
  <si>
    <t>Kim Hiền Baby</t>
  </si>
  <si>
    <t>Kỳ Duyên Beauty Store</t>
  </si>
  <si>
    <t>Mai Ly</t>
  </si>
  <si>
    <t>Med 247</t>
  </si>
  <si>
    <t>Medicare</t>
  </si>
  <si>
    <t>Min (nhân viên)</t>
  </si>
  <si>
    <t>Mr Phúc</t>
  </si>
  <si>
    <t>Ngô Sỹ Hiệp</t>
  </si>
  <si>
    <t>Nguyễn Anh Tuấn</t>
  </si>
  <si>
    <t>Nhà phân phối Hoàng Hải - Vĩnh Phúc</t>
  </si>
  <si>
    <t>Nhà phân phối Nghệ An</t>
  </si>
  <si>
    <t>Nhà phân phối Nguyệt Hải</t>
  </si>
  <si>
    <t>Nhà phân phối Quảng Ninh</t>
  </si>
  <si>
    <t>Nhà phân phối Thành Văn</t>
  </si>
  <si>
    <t>Nhà thuốc An Khang - Phú Quốc</t>
  </si>
  <si>
    <t>Nhà thuốc An Khang (Hub)</t>
  </si>
  <si>
    <t>Nhà thuốc An Khang (Kho AK Bến Tre)</t>
  </si>
  <si>
    <t>Nhà thuốc An Khang (Kho AK Đà Nẵng)</t>
  </si>
  <si>
    <t>Nhà thuốc An Khang (Kho AK Long Hậu)</t>
  </si>
  <si>
    <t>Nhà thuốc An Khang (Kho AK Trà Nóc)</t>
  </si>
  <si>
    <t>Nhà thuốc Bạch Yến</t>
  </si>
  <si>
    <t>Nhà thuốc Đỗ Chí Thành</t>
  </si>
  <si>
    <t>Nhà thuốc Đức Lan</t>
  </si>
  <si>
    <t>Nhà thuốc GPP Minh Châu</t>
  </si>
  <si>
    <t>Nhà thuốc Hoàng Lê</t>
  </si>
  <si>
    <t>Nhà thuốc Hồng Việt</t>
  </si>
  <si>
    <t>Nhà thuốc Khánh Vân</t>
  </si>
  <si>
    <t>Nhà Thuốc Kim Anh 2</t>
  </si>
  <si>
    <t>Nhà thuốc Minh Anh IV</t>
  </si>
  <si>
    <t>Nhà thuốc Minh Chính</t>
  </si>
  <si>
    <t>Nhà thuốc Mỹ Dung</t>
  </si>
  <si>
    <t>Nhà Thuốc Mỹ Duyên</t>
  </si>
  <si>
    <t>Nhà thuốc Ngọc Tuyết</t>
  </si>
  <si>
    <t>Nhà thuốc Nhân Tâm</t>
  </si>
  <si>
    <t>Nhà thuốc Nhị Trưng</t>
  </si>
  <si>
    <t>Nhà thuốc Phước Thiện</t>
  </si>
  <si>
    <t>Nhà thuốc Phương Linh</t>
  </si>
  <si>
    <t>Nhà thuốc Phương Thảo</t>
  </si>
  <si>
    <t>Nhà thuốc Quỳnh Thi</t>
  </si>
  <si>
    <t>Nhà thuốc số 2</t>
  </si>
  <si>
    <t>Nhà thuốc Thái Ngọc</t>
  </si>
  <si>
    <t>Nhà thuốc Thắng Hương</t>
  </si>
  <si>
    <t>Nhà thuốc Thiên Đức</t>
  </si>
  <si>
    <t>Nhà thuốc Tiến Trang</t>
  </si>
  <si>
    <t>Nhà Thuốc Trường Giang</t>
  </si>
  <si>
    <t>Nhà thuốc Vân Chi</t>
  </si>
  <si>
    <t>Nhà thuốc Vinpharmacy</t>
  </si>
  <si>
    <t>Nhím Store</t>
  </si>
  <si>
    <t>OTC anh Đức</t>
  </si>
  <si>
    <t>OTC Hiển Vinh - Vũng Tàu.</t>
  </si>
  <si>
    <t>OTC Trọng Nghĩa</t>
  </si>
  <si>
    <t>Pharmadi</t>
  </si>
  <si>
    <t>Pharmadi (kho Hà Nội)</t>
  </si>
  <si>
    <t>Pharmadi (kho Sài Gòn 1)</t>
  </si>
  <si>
    <t>Phòng Khám Đa Khoa Quốc Tế CHAC</t>
  </si>
  <si>
    <t>Phòng khám Đa Khoa Thuận Kiều</t>
  </si>
  <si>
    <t>Phòng khám Kokasi</t>
  </si>
  <si>
    <t>Phòng khám nội tiêu hóa gan mật Bác sĩ Thuận</t>
  </si>
  <si>
    <t>Phòng mạch Bác sĩ Anh Thư</t>
  </si>
  <si>
    <t>Phòng mạch Bác sĩ Thu Hậu</t>
  </si>
  <si>
    <t>Quân (nhân viên)</t>
  </si>
  <si>
    <t>Quầy thuốc 102</t>
  </si>
  <si>
    <t>Quầy thuốc Kim Phương</t>
  </si>
  <si>
    <t>Quầy thuốc Minh Phương</t>
  </si>
  <si>
    <t>Quầy Thuốc Sức Khỏe</t>
  </si>
  <si>
    <t>Quầy thuốc Thành Chi</t>
  </si>
  <si>
    <t>Shop Babysun</t>
  </si>
  <si>
    <t>Shop Hato Baby</t>
  </si>
  <si>
    <t>Shop Khang Baby</t>
  </si>
  <si>
    <t>Shop Knguyen</t>
  </si>
  <si>
    <t>Shop Knguyen (Đan Phượng)</t>
  </si>
  <si>
    <t>Shop sữa Phương Anh</t>
  </si>
  <si>
    <t>Shop Thảo Nguyên</t>
  </si>
  <si>
    <t>Siêu thị Hùng Vương</t>
  </si>
  <si>
    <t>Subibin</t>
  </si>
  <si>
    <t>Suri</t>
  </si>
  <si>
    <t>Tạ Chiêu An (nhân viên)</t>
  </si>
  <si>
    <t>Thành Văn</t>
  </si>
  <si>
    <t>Thiên Hương Group</t>
  </si>
  <si>
    <t>Thuế</t>
  </si>
  <si>
    <t>Tin’s House Phú Quốc</t>
  </si>
  <si>
    <t>Top Milk</t>
  </si>
  <si>
    <t>Trần Gia</t>
  </si>
  <si>
    <t>Triết Minh (nhân viên)</t>
  </si>
  <si>
    <t>Trung Sơn</t>
  </si>
  <si>
    <t>Tuấn Bùi</t>
  </si>
  <si>
    <t>Uyên (nhân viên)</t>
  </si>
  <si>
    <t>Võ Thị Hoài Thương</t>
  </si>
  <si>
    <t>Vườn của bé</t>
  </si>
  <si>
    <t>Waston</t>
  </si>
  <si>
    <t>Segment</t>
  </si>
  <si>
    <t>2024 -01</t>
  </si>
  <si>
    <t>2024 -02</t>
  </si>
  <si>
    <t>2024 -03</t>
  </si>
  <si>
    <t>2024 -04</t>
  </si>
  <si>
    <t>2024 -05</t>
  </si>
  <si>
    <t>2024 -06</t>
  </si>
  <si>
    <t>2024 -07</t>
  </si>
  <si>
    <t>2024 -08</t>
  </si>
  <si>
    <t>2024 -09</t>
  </si>
  <si>
    <t>2024 -10</t>
  </si>
  <si>
    <t>2024 -11</t>
  </si>
  <si>
    <t>2024 -12</t>
  </si>
  <si>
    <t>2025 -01</t>
  </si>
  <si>
    <t>2025 -02</t>
  </si>
  <si>
    <t>2025 -03</t>
  </si>
  <si>
    <t>2025 -04</t>
  </si>
  <si>
    <t>P3M</t>
  </si>
  <si>
    <t>P6M</t>
  </si>
  <si>
    <t>P9M</t>
  </si>
  <si>
    <t>TREND</t>
  </si>
  <si>
    <t>IFYTD</t>
  </si>
  <si>
    <t>ICYTD</t>
  </si>
  <si>
    <t>IYA</t>
  </si>
  <si>
    <t>B&amp;M</t>
  </si>
  <si>
    <t>WS</t>
  </si>
  <si>
    <t>Ecom</t>
  </si>
  <si>
    <t>ETC</t>
  </si>
  <si>
    <t>IDP</t>
  </si>
  <si>
    <t>KEY</t>
  </si>
  <si>
    <t>OTC</t>
  </si>
  <si>
    <t>MT</t>
  </si>
  <si>
    <t>AK</t>
  </si>
  <si>
    <t>Total</t>
  </si>
  <si>
    <t>REGION</t>
  </si>
  <si>
    <t>1. HA NOI</t>
  </si>
  <si>
    <t>2. N-PROVINCE</t>
  </si>
  <si>
    <t>3. CENTRAL</t>
  </si>
  <si>
    <t>4. S-EAST</t>
  </si>
  <si>
    <t>5. HCM</t>
  </si>
  <si>
    <t>6. MKD</t>
  </si>
  <si>
    <t>Mã DSR</t>
  </si>
  <si>
    <t>TOTAL STAFF</t>
  </si>
  <si>
    <t>DSR</t>
  </si>
  <si>
    <t>NV1</t>
  </si>
  <si>
    <t>SM</t>
  </si>
  <si>
    <t>TRUONG MINH CANH</t>
  </si>
  <si>
    <t>NV2</t>
  </si>
  <si>
    <t>AE-HCM</t>
  </si>
  <si>
    <t>TRINH NGOC HA</t>
  </si>
  <si>
    <t>NV3</t>
  </si>
  <si>
    <t>MT-HCM</t>
  </si>
  <si>
    <t>CHIEU AN</t>
  </si>
  <si>
    <t>Customer code</t>
  </si>
  <si>
    <t>CUSTOMER_CHANGE</t>
  </si>
  <si>
    <t>Tên DSR</t>
  </si>
  <si>
    <t>CITY/PROVINCE</t>
  </si>
  <si>
    <t>H&amp;B</t>
  </si>
  <si>
    <t>TOTAL</t>
  </si>
  <si>
    <t>Forecast 1H CY2023</t>
  </si>
  <si>
    <t>Code</t>
  </si>
  <si>
    <t>BRAND_OF_PRODUCT (PCS)</t>
  </si>
  <si>
    <t>Grand Total</t>
  </si>
  <si>
    <t>BRAND_OF_PRODUCT (VND)</t>
  </si>
  <si>
    <t>CY 2024</t>
  </si>
  <si>
    <t>CY 2025</t>
  </si>
  <si>
    <t>Customer</t>
  </si>
  <si>
    <t>Name SKU</t>
  </si>
  <si>
    <t>Product</t>
  </si>
  <si>
    <t>CUSTOMER</t>
  </si>
  <si>
    <t>Row</t>
  </si>
  <si>
    <t>Ngày</t>
  </si>
  <si>
    <t>Tháng</t>
  </si>
  <si>
    <t>Nhà Thuốc</t>
  </si>
  <si>
    <t>Tên sản phẩm</t>
  </si>
  <si>
    <t>Đơn giá</t>
  </si>
  <si>
    <t>Số lượng (lọ)</t>
  </si>
  <si>
    <t>Thành tiền</t>
  </si>
  <si>
    <t>DOANH THU</t>
  </si>
  <si>
    <t>2020 -02</t>
  </si>
  <si>
    <t>Chiết khấu trực tiếp Collagen 6in1 60 viên</t>
  </si>
  <si>
    <t>Chiết khấu trực tiếp - Combo Kids 120 viên</t>
  </si>
  <si>
    <t>Phí ship</t>
  </si>
  <si>
    <t>Hộ kinh doanh Vũ Thị Hòa (WS Ngọc Trâm)</t>
  </si>
  <si>
    <t>WS Như Trần Ngọc (cô Xuyến)</t>
  </si>
  <si>
    <t>Phí ship hàng bổ sung</t>
  </si>
  <si>
    <t>Khách lẻ (Cảnh)</t>
  </si>
  <si>
    <t>Quầy thuốc Hoài Tính</t>
  </si>
  <si>
    <t>Chị Châu</t>
  </si>
  <si>
    <t>Bác sĩ Nguyễn Văn Hậu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</si>
</sst>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[Red]-#,##0;&quot;-&quot;"/>
    <numFmt numFmtId="165" formatCode="0.00%;[Red]-0.00%;&quot;-&quot;"/>
    <numFmt numFmtId="166" formatCode="#,##0.00;[Red]-#,##0.00;&quot;-&quot;"/>
    <numFmt numFmtId="167" formatCode="dd/mm/yyyy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183B56"/>
    </font>
  </fonts>
  <fills count="4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0" fillId="0" borderId="1" xfId="0" applyNumberFormat="1" applyBorder="1"/>
    <xf numFmtId="166" fontId="2" fillId="3" borderId="1" xfId="0" applyNumberFormat="1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7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6" fontId="1" fillId="2" borderId="1" xfId="0" applyNumberFormat="1" applyFont="1" applyFill="1" applyBorder="1" applyAlignment="1">
      <alignment horizontal="center" vertical="center" wrapText="1"/>
    </xf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0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2" x14ac:dyDescent="0.25">
      <c r="A17" t="s">
        <v>32</v>
      </c>
      <c r="B17" t="s">
        <v>33</v>
      </c>
    </row>
    <row r="18" spans="1:2" x14ac:dyDescent="0.25">
      <c r="A18" t="s">
        <v>34</v>
      </c>
      <c r="B18" t="s">
        <v>35</v>
      </c>
    </row>
    <row r="19" spans="1:2" x14ac:dyDescent="0.25">
      <c r="A19" t="s">
        <v>36</v>
      </c>
      <c r="B19" t="s">
        <v>37</v>
      </c>
    </row>
    <row r="20" spans="1:2" x14ac:dyDescent="0.25">
      <c r="A20" t="s">
        <v>38</v>
      </c>
      <c r="B20" t="s">
        <v>39</v>
      </c>
    </row>
    <row r="21" spans="1:2" x14ac:dyDescent="0.25">
      <c r="A21" t="s">
        <v>40</v>
      </c>
      <c r="B21" t="s">
        <v>41</v>
      </c>
    </row>
    <row r="22" spans="1:2" x14ac:dyDescent="0.25">
      <c r="A22" t="s">
        <v>42</v>
      </c>
      <c r="B22" t="s">
        <v>43</v>
      </c>
    </row>
    <row r="23" spans="1:2" x14ac:dyDescent="0.25">
      <c r="A23" t="s">
        <v>44</v>
      </c>
      <c r="B23" t="s">
        <v>45</v>
      </c>
    </row>
    <row r="24" spans="1:2" x14ac:dyDescent="0.25">
      <c r="A24" t="s">
        <v>46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50</v>
      </c>
      <c r="B26" t="s">
        <v>51</v>
      </c>
    </row>
    <row r="27" spans="1:2" x14ac:dyDescent="0.25">
      <c r="A27" t="s">
        <v>52</v>
      </c>
      <c r="B27" t="s">
        <v>53</v>
      </c>
    </row>
    <row r="28" spans="1:2" x14ac:dyDescent="0.25">
      <c r="A28" t="s">
        <v>54</v>
      </c>
      <c r="B28" t="s">
        <v>55</v>
      </c>
    </row>
    <row r="29" spans="1:2" x14ac:dyDescent="0.25">
      <c r="A29" t="s">
        <v>56</v>
      </c>
      <c r="B29" t="s">
        <v>57</v>
      </c>
    </row>
    <row r="30" spans="1:2" x14ac:dyDescent="0.25">
      <c r="A30" t="s">
        <v>58</v>
      </c>
      <c r="B30" t="s">
        <v>59</v>
      </c>
    </row>
    <row r="31" spans="1:2" x14ac:dyDescent="0.25">
      <c r="A31" t="s">
        <v>60</v>
      </c>
      <c r="B31" t="s">
        <v>61</v>
      </c>
    </row>
    <row r="32" spans="1:2" x14ac:dyDescent="0.25">
      <c r="A32" t="s">
        <v>62</v>
      </c>
      <c r="B32" t="s">
        <v>63</v>
      </c>
    </row>
    <row r="33" spans="1:2" x14ac:dyDescent="0.25">
      <c r="A33" t="s">
        <v>64</v>
      </c>
      <c r="B33" t="s">
        <v>65</v>
      </c>
    </row>
    <row r="34" spans="1:2" x14ac:dyDescent="0.25">
      <c r="A34" t="s">
        <v>66</v>
      </c>
      <c r="B34" t="s">
        <v>67</v>
      </c>
    </row>
    <row r="35" spans="1:2" x14ac:dyDescent="0.25">
      <c r="A35" t="s">
        <v>68</v>
      </c>
      <c r="B35" t="s">
        <v>69</v>
      </c>
    </row>
    <row r="36" spans="1:2" x14ac:dyDescent="0.25">
      <c r="A36" t="s">
        <v>70</v>
      </c>
      <c r="B36" t="s">
        <v>71</v>
      </c>
    </row>
    <row r="37" spans="1:2" x14ac:dyDescent="0.25">
      <c r="A37" t="s">
        <v>72</v>
      </c>
      <c r="B37" t="s">
        <v>73</v>
      </c>
    </row>
    <row r="38" spans="1:2" x14ac:dyDescent="0.25">
      <c r="A38" t="s">
        <v>74</v>
      </c>
      <c r="B38" t="s">
        <v>75</v>
      </c>
    </row>
    <row r="39" spans="1:2" x14ac:dyDescent="0.25">
      <c r="A39" t="s">
        <v>76</v>
      </c>
      <c r="B39" t="s">
        <v>77</v>
      </c>
    </row>
    <row r="40" spans="1:2" x14ac:dyDescent="0.25">
      <c r="A40" t="s">
        <v>78</v>
      </c>
      <c r="B40" t="s">
        <v>79</v>
      </c>
    </row>
    <row r="41" spans="1:2" x14ac:dyDescent="0.25">
      <c r="A41" t="s">
        <v>80</v>
      </c>
      <c r="B41" t="s">
        <v>81</v>
      </c>
    </row>
    <row r="42" spans="1:2" x14ac:dyDescent="0.25">
      <c r="A42" t="s">
        <v>82</v>
      </c>
      <c r="B42" t="s">
        <v>83</v>
      </c>
    </row>
    <row r="43" spans="1:2" x14ac:dyDescent="0.25">
      <c r="A43" t="s">
        <v>84</v>
      </c>
      <c r="B43" t="s">
        <v>85</v>
      </c>
    </row>
    <row r="44" spans="1:2" x14ac:dyDescent="0.25">
      <c r="A44" t="s">
        <v>86</v>
      </c>
      <c r="B44" t="s">
        <v>87</v>
      </c>
    </row>
    <row r="45" spans="1:2" x14ac:dyDescent="0.25">
      <c r="A45" t="s">
        <v>88</v>
      </c>
      <c r="B45" t="s">
        <v>89</v>
      </c>
    </row>
    <row r="46" spans="1:2" x14ac:dyDescent="0.25">
      <c r="A46" t="s">
        <v>90</v>
      </c>
      <c r="B46" t="s">
        <v>91</v>
      </c>
    </row>
    <row r="47" spans="1:2" x14ac:dyDescent="0.25">
      <c r="A47" t="s">
        <v>92</v>
      </c>
      <c r="B47" t="s">
        <v>93</v>
      </c>
    </row>
    <row r="48" spans="1:2" x14ac:dyDescent="0.25">
      <c r="A48" t="s">
        <v>94</v>
      </c>
      <c r="B48" t="s">
        <v>95</v>
      </c>
    </row>
    <row r="49" spans="1:2" x14ac:dyDescent="0.25">
      <c r="A49" t="s">
        <v>96</v>
      </c>
      <c r="B49" t="s">
        <v>97</v>
      </c>
    </row>
    <row r="50" spans="1:1" x14ac:dyDescent="0.25">
      <c r="A50" t="s">
        <v>98</v>
      </c>
    </row>
    <row r="51" spans="1:1" x14ac:dyDescent="0.25">
      <c r="A51" t="s">
        <v>99</v>
      </c>
    </row>
    <row r="52" spans="1:1" x14ac:dyDescent="0.25">
      <c r="A52" t="s">
        <v>100</v>
      </c>
    </row>
    <row r="53" spans="1:1" x14ac:dyDescent="0.25">
      <c r="A53" t="s">
        <v>101</v>
      </c>
    </row>
    <row r="54" spans="1:1" x14ac:dyDescent="0.25">
      <c r="A54" t="s">
        <v>102</v>
      </c>
    </row>
    <row r="55" spans="1:1" x14ac:dyDescent="0.25">
      <c r="A55" t="s">
        <v>103</v>
      </c>
    </row>
    <row r="56" spans="1:1" x14ac:dyDescent="0.25">
      <c r="A56" t="s">
        <v>104</v>
      </c>
    </row>
    <row r="57" spans="1:1" x14ac:dyDescent="0.25">
      <c r="A57" t="s">
        <v>105</v>
      </c>
    </row>
    <row r="58" spans="1:1" x14ac:dyDescent="0.25">
      <c r="A58" t="s">
        <v>106</v>
      </c>
    </row>
    <row r="59" spans="1:1" x14ac:dyDescent="0.25">
      <c r="A59" t="s">
        <v>107</v>
      </c>
    </row>
    <row r="60" spans="1:1" x14ac:dyDescent="0.25">
      <c r="A60" t="s">
        <v>108</v>
      </c>
    </row>
    <row r="61" spans="1:1" x14ac:dyDescent="0.25">
      <c r="A61" t="s">
        <v>109</v>
      </c>
    </row>
    <row r="62" spans="1:1" x14ac:dyDescent="0.25">
      <c r="A62" t="s">
        <v>110</v>
      </c>
    </row>
    <row r="63" spans="1:1" x14ac:dyDescent="0.25">
      <c r="A63" t="s">
        <v>111</v>
      </c>
    </row>
    <row r="64" spans="1:1" x14ac:dyDescent="0.25">
      <c r="A64" t="s">
        <v>112</v>
      </c>
    </row>
    <row r="65" spans="1:1" x14ac:dyDescent="0.25">
      <c r="A65" t="s">
        <v>113</v>
      </c>
    </row>
    <row r="66" spans="1:1" x14ac:dyDescent="0.25">
      <c r="A66" t="s">
        <v>114</v>
      </c>
    </row>
    <row r="67" spans="1:1" x14ac:dyDescent="0.25">
      <c r="A67" t="s">
        <v>115</v>
      </c>
    </row>
    <row r="68" spans="1:1" x14ac:dyDescent="0.25">
      <c r="A68" t="s">
        <v>116</v>
      </c>
    </row>
    <row r="69" spans="1:1" x14ac:dyDescent="0.25">
      <c r="A69" t="s">
        <v>117</v>
      </c>
    </row>
    <row r="70" spans="1:1" x14ac:dyDescent="0.25">
      <c r="A70" t="s">
        <v>118</v>
      </c>
    </row>
    <row r="71" spans="1:1" x14ac:dyDescent="0.25">
      <c r="A71" t="s">
        <v>119</v>
      </c>
    </row>
    <row r="72" spans="1:1" x14ac:dyDescent="0.25">
      <c r="A72" t="s">
        <v>120</v>
      </c>
    </row>
    <row r="73" spans="1:1" x14ac:dyDescent="0.25">
      <c r="A73" t="s">
        <v>121</v>
      </c>
    </row>
    <row r="74" spans="1:1" x14ac:dyDescent="0.25">
      <c r="A74" t="s">
        <v>122</v>
      </c>
    </row>
    <row r="75" spans="1:1" x14ac:dyDescent="0.25">
      <c r="A75" t="s">
        <v>123</v>
      </c>
    </row>
    <row r="76" spans="1:1" x14ac:dyDescent="0.25">
      <c r="A76" t="s">
        <v>124</v>
      </c>
    </row>
    <row r="77" spans="1:1" x14ac:dyDescent="0.25">
      <c r="A77" t="s">
        <v>125</v>
      </c>
    </row>
    <row r="78" spans="1:1" x14ac:dyDescent="0.25">
      <c r="A78" t="s">
        <v>126</v>
      </c>
    </row>
    <row r="79" spans="1:1" x14ac:dyDescent="0.25">
      <c r="A79" t="s">
        <v>127</v>
      </c>
    </row>
    <row r="80" spans="1:1" x14ac:dyDescent="0.25">
      <c r="A80" t="s">
        <v>128</v>
      </c>
    </row>
    <row r="81" spans="1:1" x14ac:dyDescent="0.25">
      <c r="A81" t="s">
        <v>129</v>
      </c>
    </row>
    <row r="82" spans="1:1" x14ac:dyDescent="0.25">
      <c r="A82" t="s">
        <v>130</v>
      </c>
    </row>
    <row r="83" spans="1:1" x14ac:dyDescent="0.25">
      <c r="A83" t="s">
        <v>131</v>
      </c>
    </row>
    <row r="84" spans="1:1" x14ac:dyDescent="0.25">
      <c r="A84" t="s">
        <v>132</v>
      </c>
    </row>
    <row r="85" spans="1:1" x14ac:dyDescent="0.25">
      <c r="A85" t="s">
        <v>133</v>
      </c>
    </row>
    <row r="86" spans="1:1" x14ac:dyDescent="0.25">
      <c r="A86" t="s">
        <v>134</v>
      </c>
    </row>
    <row r="87" spans="1:1" x14ac:dyDescent="0.25">
      <c r="A87" t="s">
        <v>135</v>
      </c>
    </row>
    <row r="88" spans="1:1" x14ac:dyDescent="0.25">
      <c r="A88" t="s">
        <v>136</v>
      </c>
    </row>
    <row r="89" spans="1:1" x14ac:dyDescent="0.25">
      <c r="A89" t="s">
        <v>137</v>
      </c>
    </row>
    <row r="90" spans="1:1" x14ac:dyDescent="0.25">
      <c r="A90" t="s">
        <v>138</v>
      </c>
    </row>
    <row r="91" spans="1:1" x14ac:dyDescent="0.25">
      <c r="A91" t="s">
        <v>139</v>
      </c>
    </row>
    <row r="92" spans="1:1" x14ac:dyDescent="0.25">
      <c r="A92" t="s">
        <v>140</v>
      </c>
    </row>
    <row r="93" spans="1:1" x14ac:dyDescent="0.25">
      <c r="A93" t="s">
        <v>141</v>
      </c>
    </row>
    <row r="94" spans="1:1" x14ac:dyDescent="0.25">
      <c r="A94" t="s">
        <v>142</v>
      </c>
    </row>
    <row r="95" spans="1:1" x14ac:dyDescent="0.25">
      <c r="A95" t="s">
        <v>143</v>
      </c>
    </row>
    <row r="96" spans="1:1" x14ac:dyDescent="0.25">
      <c r="A96" t="s">
        <v>144</v>
      </c>
    </row>
    <row r="97" spans="1:1" x14ac:dyDescent="0.25">
      <c r="A97" t="s">
        <v>145</v>
      </c>
    </row>
    <row r="98" spans="1:1" x14ac:dyDescent="0.25">
      <c r="A98" t="s">
        <v>146</v>
      </c>
    </row>
    <row r="99" spans="1:1" x14ac:dyDescent="0.25">
      <c r="A99" t="s">
        <v>147</v>
      </c>
    </row>
    <row r="100" spans="1:1" x14ac:dyDescent="0.25">
      <c r="A100" t="s">
        <v>148</v>
      </c>
    </row>
    <row r="101" spans="1:1" x14ac:dyDescent="0.25">
      <c r="A101" t="s">
        <v>149</v>
      </c>
    </row>
    <row r="102" spans="1:1" x14ac:dyDescent="0.25">
      <c r="A102" t="s">
        <v>150</v>
      </c>
    </row>
    <row r="103" spans="1:1" x14ac:dyDescent="0.25">
      <c r="A103" t="s">
        <v>151</v>
      </c>
    </row>
    <row r="104" spans="1:1" x14ac:dyDescent="0.25">
      <c r="A104" t="s">
        <v>152</v>
      </c>
    </row>
    <row r="105" spans="1:1" x14ac:dyDescent="0.25">
      <c r="A105" t="s">
        <v>153</v>
      </c>
    </row>
    <row r="106" spans="1:1" x14ac:dyDescent="0.25">
      <c r="A106" t="s">
        <v>154</v>
      </c>
    </row>
    <row r="107" spans="1:1" x14ac:dyDescent="0.25">
      <c r="A107" t="s">
        <v>155</v>
      </c>
    </row>
    <row r="108" spans="1:1" x14ac:dyDescent="0.25">
      <c r="A108" t="s">
        <v>156</v>
      </c>
    </row>
    <row r="109" spans="1:1" x14ac:dyDescent="0.25">
      <c r="A109" t="s">
        <v>157</v>
      </c>
    </row>
    <row r="110" spans="1:1" x14ac:dyDescent="0.25">
      <c r="A110" t="s">
        <v>158</v>
      </c>
    </row>
    <row r="111" spans="1:1" x14ac:dyDescent="0.25">
      <c r="A111" t="s">
        <v>159</v>
      </c>
    </row>
    <row r="112" spans="1:1" x14ac:dyDescent="0.25">
      <c r="A112" t="s">
        <v>160</v>
      </c>
    </row>
    <row r="113" spans="1:1" x14ac:dyDescent="0.25">
      <c r="A113" t="s">
        <v>161</v>
      </c>
    </row>
    <row r="114" spans="1:1" x14ac:dyDescent="0.25">
      <c r="A114" t="s">
        <v>162</v>
      </c>
    </row>
    <row r="115" spans="1:1" x14ac:dyDescent="0.25">
      <c r="A115" t="s">
        <v>163</v>
      </c>
    </row>
    <row r="116" spans="1:1" x14ac:dyDescent="0.25">
      <c r="A116" t="s">
        <v>164</v>
      </c>
    </row>
    <row r="117" spans="1:1" x14ac:dyDescent="0.25">
      <c r="A117" t="s">
        <v>165</v>
      </c>
    </row>
    <row r="118" spans="1:1" x14ac:dyDescent="0.25">
      <c r="A118" t="s">
        <v>166</v>
      </c>
    </row>
    <row r="119" spans="1:1" x14ac:dyDescent="0.25">
      <c r="A119" t="s">
        <v>167</v>
      </c>
    </row>
    <row r="120" spans="1:1" x14ac:dyDescent="0.25">
      <c r="A120" t="s">
        <v>168</v>
      </c>
    </row>
    <row r="121" spans="1:1" x14ac:dyDescent="0.25">
      <c r="A121" t="s">
        <v>169</v>
      </c>
    </row>
    <row r="122" spans="1:1" x14ac:dyDescent="0.25">
      <c r="A122" t="s">
        <v>170</v>
      </c>
    </row>
    <row r="123" spans="1:1" x14ac:dyDescent="0.25">
      <c r="A123" t="s">
        <v>171</v>
      </c>
    </row>
    <row r="124" spans="1:1" x14ac:dyDescent="0.25">
      <c r="A124" t="s">
        <v>172</v>
      </c>
    </row>
    <row r="125" spans="1:1" x14ac:dyDescent="0.25">
      <c r="A125" t="s">
        <v>173</v>
      </c>
    </row>
    <row r="126" spans="1:1" x14ac:dyDescent="0.25">
      <c r="A126" t="s">
        <v>174</v>
      </c>
    </row>
    <row r="127" spans="1:1" x14ac:dyDescent="0.25">
      <c r="A127" t="s">
        <v>175</v>
      </c>
    </row>
    <row r="128" spans="1:1" x14ac:dyDescent="0.25">
      <c r="A128" t="s">
        <v>176</v>
      </c>
    </row>
    <row r="129" spans="1:1" x14ac:dyDescent="0.25">
      <c r="A129" t="s">
        <v>177</v>
      </c>
    </row>
    <row r="130" spans="1:1" x14ac:dyDescent="0.25">
      <c r="A130" t="s">
        <v>178</v>
      </c>
    </row>
    <row r="131" spans="1:1" x14ac:dyDescent="0.25">
      <c r="A131" t="s">
        <v>179</v>
      </c>
    </row>
    <row r="132" spans="1:1" x14ac:dyDescent="0.25">
      <c r="A132" t="s">
        <v>180</v>
      </c>
    </row>
    <row r="133" spans="1:1" x14ac:dyDescent="0.25">
      <c r="A133" t="s">
        <v>181</v>
      </c>
    </row>
    <row r="134" spans="1:1" x14ac:dyDescent="0.25">
      <c r="A134" t="s">
        <v>182</v>
      </c>
    </row>
    <row r="135" spans="1:1" x14ac:dyDescent="0.25">
      <c r="A135" t="s">
        <v>183</v>
      </c>
    </row>
    <row r="136" spans="1:1" x14ac:dyDescent="0.25">
      <c r="A136" t="s">
        <v>184</v>
      </c>
    </row>
    <row r="137" spans="1:1" x14ac:dyDescent="0.25">
      <c r="A137" t="s">
        <v>185</v>
      </c>
    </row>
    <row r="138" spans="1:1" x14ac:dyDescent="0.25">
      <c r="A138" t="s">
        <v>186</v>
      </c>
    </row>
    <row r="139" spans="1:1" x14ac:dyDescent="0.25">
      <c r="A139" t="s">
        <v>187</v>
      </c>
    </row>
    <row r="140" spans="1:1" x14ac:dyDescent="0.25">
      <c r="A140" t="s">
        <v>188</v>
      </c>
    </row>
    <row r="141" spans="1:1" x14ac:dyDescent="0.25">
      <c r="A141" t="s">
        <v>189</v>
      </c>
    </row>
    <row r="142" spans="1:1" x14ac:dyDescent="0.25">
      <c r="A142" t="s">
        <v>190</v>
      </c>
    </row>
    <row r="143" spans="1:1" x14ac:dyDescent="0.25">
      <c r="A143" t="s">
        <v>191</v>
      </c>
    </row>
    <row r="144" spans="1:1" x14ac:dyDescent="0.25">
      <c r="A144" t="s">
        <v>192</v>
      </c>
    </row>
    <row r="145" spans="1:1" x14ac:dyDescent="0.25">
      <c r="A145" t="s">
        <v>193</v>
      </c>
    </row>
    <row r="146" spans="1:1" x14ac:dyDescent="0.25">
      <c r="A146" t="s">
        <v>194</v>
      </c>
    </row>
    <row r="147" spans="1:1" x14ac:dyDescent="0.25">
      <c r="A147" t="s">
        <v>195</v>
      </c>
    </row>
    <row r="148" spans="1:1" x14ac:dyDescent="0.25">
      <c r="A148" t="s">
        <v>196</v>
      </c>
    </row>
    <row r="149" spans="1:1" x14ac:dyDescent="0.25">
      <c r="A149" t="s">
        <v>197</v>
      </c>
    </row>
    <row r="150" spans="1:1" x14ac:dyDescent="0.25">
      <c r="A150" t="s">
        <v>198</v>
      </c>
    </row>
    <row r="151" spans="1:1" x14ac:dyDescent="0.25">
      <c r="A151" t="s">
        <v>199</v>
      </c>
    </row>
    <row r="152" spans="1:1" x14ac:dyDescent="0.25">
      <c r="A152" t="s">
        <v>200</v>
      </c>
    </row>
    <row r="153" spans="1:1" x14ac:dyDescent="0.25">
      <c r="A153" t="s">
        <v>201</v>
      </c>
    </row>
    <row r="154" spans="1:1" x14ac:dyDescent="0.25">
      <c r="A154" t="s">
        <v>202</v>
      </c>
    </row>
    <row r="155" spans="1:1" x14ac:dyDescent="0.25">
      <c r="A155" t="s">
        <v>203</v>
      </c>
    </row>
    <row r="156" spans="1:1" x14ac:dyDescent="0.25">
      <c r="A156" t="s">
        <v>204</v>
      </c>
    </row>
    <row r="157" spans="1:1" x14ac:dyDescent="0.25">
      <c r="A157" t="s">
        <v>205</v>
      </c>
    </row>
    <row r="158" spans="1:1" x14ac:dyDescent="0.25">
      <c r="A158" t="s">
        <v>206</v>
      </c>
    </row>
    <row r="159" spans="1:1" x14ac:dyDescent="0.25">
      <c r="A159" t="s">
        <v>207</v>
      </c>
    </row>
    <row r="160" spans="1:1" x14ac:dyDescent="0.25">
      <c r="A160" t="s">
        <v>208</v>
      </c>
    </row>
    <row r="161" spans="1:1" x14ac:dyDescent="0.25">
      <c r="A161" t="s">
        <v>209</v>
      </c>
    </row>
    <row r="162" spans="1:1" x14ac:dyDescent="0.25">
      <c r="A162" t="s">
        <v>210</v>
      </c>
    </row>
    <row r="163" spans="1:1" x14ac:dyDescent="0.25">
      <c r="A163" t="s">
        <v>211</v>
      </c>
    </row>
    <row r="164" spans="1:1" x14ac:dyDescent="0.25">
      <c r="A164" t="s">
        <v>212</v>
      </c>
    </row>
    <row r="165" spans="1:1" x14ac:dyDescent="0.25">
      <c r="A165" t="s">
        <v>213</v>
      </c>
    </row>
    <row r="166" spans="1:1" x14ac:dyDescent="0.25">
      <c r="A166" t="s">
        <v>214</v>
      </c>
    </row>
    <row r="167" spans="1:1" x14ac:dyDescent="0.25">
      <c r="A167" t="s">
        <v>215</v>
      </c>
    </row>
    <row r="168" spans="1:1" x14ac:dyDescent="0.25">
      <c r="A168" t="s">
        <v>216</v>
      </c>
    </row>
    <row r="169" spans="1:1" x14ac:dyDescent="0.25">
      <c r="A169" t="s">
        <v>217</v>
      </c>
    </row>
    <row r="170" spans="1:1" x14ac:dyDescent="0.25">
      <c r="A170" t="s">
        <v>218</v>
      </c>
    </row>
    <row r="171" spans="1:1" x14ac:dyDescent="0.25">
      <c r="A171" t="s">
        <v>219</v>
      </c>
    </row>
    <row r="172" spans="1:1" x14ac:dyDescent="0.25">
      <c r="A172" t="s">
        <v>220</v>
      </c>
    </row>
    <row r="173" spans="1:1" x14ac:dyDescent="0.25">
      <c r="A173" t="s">
        <v>221</v>
      </c>
    </row>
    <row r="174" spans="1:1" x14ac:dyDescent="0.25">
      <c r="A174" t="s">
        <v>222</v>
      </c>
    </row>
    <row r="175" spans="1:1" x14ac:dyDescent="0.25">
      <c r="A175" t="s">
        <v>223</v>
      </c>
    </row>
    <row r="176" spans="1:1" x14ac:dyDescent="0.25">
      <c r="A176" t="s">
        <v>224</v>
      </c>
    </row>
    <row r="177" spans="1:1" x14ac:dyDescent="0.25">
      <c r="A177" t="s">
        <v>225</v>
      </c>
    </row>
    <row r="178" spans="1:1" x14ac:dyDescent="0.25">
      <c r="A178" t="s">
        <v>226</v>
      </c>
    </row>
    <row r="179" spans="1:1" x14ac:dyDescent="0.25">
      <c r="A179" t="s">
        <v>227</v>
      </c>
    </row>
    <row r="180" spans="1:1" x14ac:dyDescent="0.25">
      <c r="A180" t="s">
        <v>228</v>
      </c>
    </row>
    <row r="181" spans="1:1" x14ac:dyDescent="0.25">
      <c r="A181" t="s">
        <v>229</v>
      </c>
    </row>
    <row r="182" spans="1:1" x14ac:dyDescent="0.25">
      <c r="A182" t="s">
        <v>230</v>
      </c>
    </row>
    <row r="183" spans="1:1" x14ac:dyDescent="0.25">
      <c r="A183" t="s">
        <v>231</v>
      </c>
    </row>
    <row r="184" spans="1:1" x14ac:dyDescent="0.25">
      <c r="A184" t="s">
        <v>232</v>
      </c>
    </row>
    <row r="185" spans="1:1" x14ac:dyDescent="0.25">
      <c r="A185" t="s">
        <v>233</v>
      </c>
    </row>
    <row r="186" spans="1:1" x14ac:dyDescent="0.25">
      <c r="A186" t="s">
        <v>234</v>
      </c>
    </row>
    <row r="187" spans="1:1" x14ac:dyDescent="0.25">
      <c r="A187" t="s">
        <v>235</v>
      </c>
    </row>
    <row r="188" spans="1:1" x14ac:dyDescent="0.25">
      <c r="A188" t="s">
        <v>236</v>
      </c>
    </row>
    <row r="189" spans="1:1" x14ac:dyDescent="0.25">
      <c r="A189" t="s">
        <v>237</v>
      </c>
    </row>
    <row r="190" spans="1:1" x14ac:dyDescent="0.25">
      <c r="A190" t="s">
        <v>238</v>
      </c>
    </row>
    <row r="191" spans="1:1" x14ac:dyDescent="0.25">
      <c r="A191" t="s">
        <v>239</v>
      </c>
    </row>
    <row r="192" spans="1:1" x14ac:dyDescent="0.25">
      <c r="A192" t="s">
        <v>240</v>
      </c>
    </row>
    <row r="193" spans="1:1" x14ac:dyDescent="0.25">
      <c r="A193" t="s">
        <v>241</v>
      </c>
    </row>
    <row r="194" spans="1:1" x14ac:dyDescent="0.25">
      <c r="A194" t="s">
        <v>242</v>
      </c>
    </row>
    <row r="195" spans="1:1" x14ac:dyDescent="0.25">
      <c r="A195" t="s">
        <v>243</v>
      </c>
    </row>
    <row r="196" spans="1:1" x14ac:dyDescent="0.25">
      <c r="A196" t="s">
        <v>244</v>
      </c>
    </row>
    <row r="197" spans="1:1" x14ac:dyDescent="0.25">
      <c r="A197" t="s">
        <v>245</v>
      </c>
    </row>
    <row r="198" spans="1:1" x14ac:dyDescent="0.25">
      <c r="A198" t="s">
        <v>246</v>
      </c>
    </row>
    <row r="199" spans="1:1" x14ac:dyDescent="0.25">
      <c r="A199" t="s">
        <v>247</v>
      </c>
    </row>
    <row r="200" spans="1:1" x14ac:dyDescent="0.25">
      <c r="A200" t="s">
        <v>248</v>
      </c>
    </row>
    <row r="201" spans="1:1" x14ac:dyDescent="0.25">
      <c r="A201" t="s">
        <v>249</v>
      </c>
    </row>
    <row r="202" spans="1:1" x14ac:dyDescent="0.25">
      <c r="A202" t="s">
        <v>250</v>
      </c>
    </row>
    <row r="203" spans="1:1" x14ac:dyDescent="0.25">
      <c r="A203" t="s">
        <v>251</v>
      </c>
    </row>
    <row r="204" spans="1:1" x14ac:dyDescent="0.25">
      <c r="A204" t="s">
        <v>252</v>
      </c>
    </row>
    <row r="205" spans="1:1" x14ac:dyDescent="0.25">
      <c r="A205" t="s">
        <v>253</v>
      </c>
    </row>
    <row r="206" spans="1:1" x14ac:dyDescent="0.25">
      <c r="A206" t="s">
        <v>254</v>
      </c>
    </row>
    <row r="207" spans="1:1" x14ac:dyDescent="0.25">
      <c r="A207" t="s">
        <v>255</v>
      </c>
    </row>
    <row r="208" spans="1:1" x14ac:dyDescent="0.25">
      <c r="A208" t="s">
        <v>256</v>
      </c>
    </row>
    <row r="209" spans="1:1" x14ac:dyDescent="0.25">
      <c r="A209" t="s">
        <v>257</v>
      </c>
    </row>
    <row r="210" spans="1:1" x14ac:dyDescent="0.25">
      <c r="A210" t="s">
        <v>258</v>
      </c>
    </row>
    <row r="211" spans="1:1" x14ac:dyDescent="0.25">
      <c r="A211" t="s">
        <v>259</v>
      </c>
    </row>
    <row r="212" spans="1:1" x14ac:dyDescent="0.25">
      <c r="A212" t="s">
        <v>260</v>
      </c>
    </row>
    <row r="213" spans="1:1" x14ac:dyDescent="0.25">
      <c r="A213" t="s">
        <v>261</v>
      </c>
    </row>
    <row r="214" spans="1:1" x14ac:dyDescent="0.25">
      <c r="A214" t="s">
        <v>262</v>
      </c>
    </row>
    <row r="215" spans="1:1" x14ac:dyDescent="0.25">
      <c r="A215" t="s">
        <v>263</v>
      </c>
    </row>
    <row r="216" spans="1:1" x14ac:dyDescent="0.25">
      <c r="A216" t="s">
        <v>264</v>
      </c>
    </row>
    <row r="217" spans="1:1" x14ac:dyDescent="0.25">
      <c r="A217" t="s">
        <v>265</v>
      </c>
    </row>
    <row r="218" spans="1:1" x14ac:dyDescent="0.25">
      <c r="A218" t="s">
        <v>266</v>
      </c>
    </row>
    <row r="219" spans="1:1" x14ac:dyDescent="0.25">
      <c r="A219" t="s">
        <v>267</v>
      </c>
    </row>
    <row r="220" spans="1:1" x14ac:dyDescent="0.25">
      <c r="A220" t="s">
        <v>268</v>
      </c>
    </row>
    <row r="221" spans="1:1" x14ac:dyDescent="0.25">
      <c r="A221" t="s">
        <v>269</v>
      </c>
    </row>
    <row r="222" spans="1:1" x14ac:dyDescent="0.25">
      <c r="A222" t="s">
        <v>270</v>
      </c>
    </row>
    <row r="223" spans="1:1" x14ac:dyDescent="0.25">
      <c r="A223" t="s">
        <v>271</v>
      </c>
    </row>
    <row r="224" spans="1:1" x14ac:dyDescent="0.25">
      <c r="A224" t="s">
        <v>272</v>
      </c>
    </row>
    <row r="225" spans="1:1" x14ac:dyDescent="0.25">
      <c r="A225" t="s">
        <v>273</v>
      </c>
    </row>
    <row r="226" spans="1:1" x14ac:dyDescent="0.25">
      <c r="A226" t="s">
        <v>274</v>
      </c>
    </row>
    <row r="227" spans="1:1" x14ac:dyDescent="0.25">
      <c r="A227" t="s">
        <v>275</v>
      </c>
    </row>
    <row r="228" spans="1:1" x14ac:dyDescent="0.25">
      <c r="A228" t="s">
        <v>276</v>
      </c>
    </row>
    <row r="229" spans="1:1" x14ac:dyDescent="0.25">
      <c r="A229" t="s">
        <v>277</v>
      </c>
    </row>
    <row r="230" spans="1:1" x14ac:dyDescent="0.25">
      <c r="A230" t="s">
        <v>278</v>
      </c>
    </row>
    <row r="231" spans="1:1" x14ac:dyDescent="0.25">
      <c r="A231" t="s">
        <v>279</v>
      </c>
    </row>
    <row r="232" spans="1:1" x14ac:dyDescent="0.25">
      <c r="A232" t="s">
        <v>280</v>
      </c>
    </row>
    <row r="233" spans="1:1" x14ac:dyDescent="0.25">
      <c r="A233" t="s">
        <v>281</v>
      </c>
    </row>
    <row r="234" spans="1:1" x14ac:dyDescent="0.25">
      <c r="A234" t="s">
        <v>282</v>
      </c>
    </row>
    <row r="235" spans="1:1" x14ac:dyDescent="0.25">
      <c r="A235" t="s">
        <v>283</v>
      </c>
    </row>
    <row r="236" spans="1:1" x14ac:dyDescent="0.25">
      <c r="A236" t="s">
        <v>284</v>
      </c>
    </row>
    <row r="237" spans="1:1" x14ac:dyDescent="0.25">
      <c r="A237" t="s">
        <v>285</v>
      </c>
    </row>
    <row r="238" spans="1:1" x14ac:dyDescent="0.25">
      <c r="A238" t="s">
        <v>286</v>
      </c>
    </row>
    <row r="239" spans="1:1" x14ac:dyDescent="0.25">
      <c r="A239" t="s">
        <v>287</v>
      </c>
    </row>
    <row r="240" spans="1:1" x14ac:dyDescent="0.25">
      <c r="A240" t="s">
        <v>288</v>
      </c>
    </row>
    <row r="241" spans="1:1" x14ac:dyDescent="0.25">
      <c r="A241" t="s">
        <v>289</v>
      </c>
    </row>
    <row r="242" spans="1:1" x14ac:dyDescent="0.25">
      <c r="A242" t="s">
        <v>290</v>
      </c>
    </row>
    <row r="243" spans="1:1" x14ac:dyDescent="0.25">
      <c r="A243" t="s">
        <v>291</v>
      </c>
    </row>
    <row r="244" spans="1:1" x14ac:dyDescent="0.25">
      <c r="A244" t="s">
        <v>292</v>
      </c>
    </row>
    <row r="245" spans="1:1" x14ac:dyDescent="0.25">
      <c r="A245" t="s">
        <v>293</v>
      </c>
    </row>
    <row r="246" spans="1:1" x14ac:dyDescent="0.25">
      <c r="A246" t="s">
        <v>294</v>
      </c>
    </row>
    <row r="247" spans="1:1" x14ac:dyDescent="0.25">
      <c r="A247" t="s">
        <v>295</v>
      </c>
    </row>
    <row r="248" spans="1:1" x14ac:dyDescent="0.25">
      <c r="A248" t="s">
        <v>296</v>
      </c>
    </row>
    <row r="249" spans="1:1" x14ac:dyDescent="0.25">
      <c r="A249" t="s">
        <v>297</v>
      </c>
    </row>
    <row r="250" spans="1:1" x14ac:dyDescent="0.25">
      <c r="A250" t="s">
        <v>298</v>
      </c>
    </row>
    <row r="251" spans="1:1" x14ac:dyDescent="0.25">
      <c r="A251" t="s">
        <v>299</v>
      </c>
    </row>
    <row r="252" spans="1:1" x14ac:dyDescent="0.25">
      <c r="A252" t="s">
        <v>300</v>
      </c>
    </row>
    <row r="253" spans="1:1" x14ac:dyDescent="0.25">
      <c r="A253" t="s">
        <v>301</v>
      </c>
    </row>
    <row r="254" spans="1:1" x14ac:dyDescent="0.25">
      <c r="A254" t="s">
        <v>302</v>
      </c>
    </row>
    <row r="255" spans="1:1" x14ac:dyDescent="0.25">
      <c r="A255" t="s">
        <v>303</v>
      </c>
    </row>
    <row r="256" spans="1:1" x14ac:dyDescent="0.25">
      <c r="A256" t="s">
        <v>304</v>
      </c>
    </row>
    <row r="257" spans="1:1" x14ac:dyDescent="0.25">
      <c r="A257" t="s">
        <v>305</v>
      </c>
    </row>
    <row r="258" spans="1:1" x14ac:dyDescent="0.25">
      <c r="A258" t="s">
        <v>306</v>
      </c>
    </row>
    <row r="259" spans="1:1" x14ac:dyDescent="0.25">
      <c r="A259" t="s">
        <v>307</v>
      </c>
    </row>
    <row r="260" spans="1:1" x14ac:dyDescent="0.25">
      <c r="A260" t="s">
        <v>308</v>
      </c>
    </row>
    <row r="261" spans="1:1" x14ac:dyDescent="0.25">
      <c r="A261" t="s">
        <v>309</v>
      </c>
    </row>
    <row r="262" spans="1:1" x14ac:dyDescent="0.25">
      <c r="A262" t="s">
        <v>310</v>
      </c>
    </row>
    <row r="263" spans="1:1" x14ac:dyDescent="0.25">
      <c r="A263" t="s">
        <v>311</v>
      </c>
    </row>
    <row r="264" spans="1:1" x14ac:dyDescent="0.25">
      <c r="A264" t="s">
        <v>312</v>
      </c>
    </row>
    <row r="265" spans="1:1" x14ac:dyDescent="0.25">
      <c r="A265" t="s">
        <v>313</v>
      </c>
    </row>
    <row r="266" spans="1:1" x14ac:dyDescent="0.25">
      <c r="A266" t="s">
        <v>314</v>
      </c>
    </row>
    <row r="267" spans="1:1" x14ac:dyDescent="0.25">
      <c r="A267" t="s">
        <v>315</v>
      </c>
    </row>
    <row r="268" spans="1:1" x14ac:dyDescent="0.25">
      <c r="A268" t="s">
        <v>316</v>
      </c>
    </row>
    <row r="269" spans="1:1" x14ac:dyDescent="0.25">
      <c r="A269" t="s">
        <v>317</v>
      </c>
    </row>
    <row r="270" spans="1:1" x14ac:dyDescent="0.25">
      <c r="A270" t="s">
        <v>318</v>
      </c>
    </row>
    <row r="271" spans="1:1" x14ac:dyDescent="0.25">
      <c r="A271" t="s">
        <v>319</v>
      </c>
    </row>
    <row r="272" spans="1:1" x14ac:dyDescent="0.25">
      <c r="A272" t="s">
        <v>320</v>
      </c>
    </row>
    <row r="273" spans="1:1" x14ac:dyDescent="0.25">
      <c r="A273" t="s">
        <v>321</v>
      </c>
    </row>
    <row r="274" spans="1:1" x14ac:dyDescent="0.25">
      <c r="A274" t="s">
        <v>322</v>
      </c>
    </row>
    <row r="275" spans="1:1" x14ac:dyDescent="0.25">
      <c r="A275" t="s">
        <v>323</v>
      </c>
    </row>
    <row r="276" spans="1:1" x14ac:dyDescent="0.25">
      <c r="A276" t="s">
        <v>324</v>
      </c>
    </row>
    <row r="277" spans="1:1" x14ac:dyDescent="0.25">
      <c r="A277" t="s">
        <v>325</v>
      </c>
    </row>
    <row r="278" spans="1:1" x14ac:dyDescent="0.25">
      <c r="A278" t="s">
        <v>326</v>
      </c>
    </row>
    <row r="279" spans="1:1" x14ac:dyDescent="0.25">
      <c r="A279" t="s">
        <v>327</v>
      </c>
    </row>
    <row r="280" spans="1:1" x14ac:dyDescent="0.25">
      <c r="A280" t="s">
        <v>328</v>
      </c>
    </row>
    <row r="281" spans="1:1" x14ac:dyDescent="0.25">
      <c r="A281" t="s">
        <v>329</v>
      </c>
    </row>
    <row r="282" spans="1:1" x14ac:dyDescent="0.25">
      <c r="A282" t="s">
        <v>330</v>
      </c>
    </row>
    <row r="283" spans="1:1" x14ac:dyDescent="0.25">
      <c r="A283" t="s">
        <v>331</v>
      </c>
    </row>
    <row r="284" spans="1:1" x14ac:dyDescent="0.25">
      <c r="A284" t="s">
        <v>332</v>
      </c>
    </row>
    <row r="285" spans="1:1" x14ac:dyDescent="0.25">
      <c r="A285" t="s">
        <v>333</v>
      </c>
    </row>
    <row r="286" spans="1:1" x14ac:dyDescent="0.25">
      <c r="A286" t="s">
        <v>334</v>
      </c>
    </row>
    <row r="287" spans="1:1" x14ac:dyDescent="0.25">
      <c r="A287" t="s">
        <v>335</v>
      </c>
    </row>
    <row r="288" spans="1:1" x14ac:dyDescent="0.25">
      <c r="A288" t="s">
        <v>336</v>
      </c>
    </row>
    <row r="289" spans="1:1" x14ac:dyDescent="0.25">
      <c r="A289" t="s">
        <v>337</v>
      </c>
    </row>
    <row r="290" spans="1:1" x14ac:dyDescent="0.25">
      <c r="A290" t="s">
        <v>338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94"/>
  <sheetViews>
    <sheetView workbookViewId="0">
      <pane xSplit="6" ySplit="1" topLeftCell="G2" activePane="bottomRight" state="frozen"/>
      <selection pane="bottomRight"/>
    </sheetView>
  </sheetViews>
  <sheetFormatPr defaultRowHeight="15" outlineLevelRow="0" outlineLevelCol="0" x14ac:dyDescent="55"/>
  <cols>
    <col min="1" max="1" width="12.57" customWidth="1"/>
    <col min="2" max="2" width="73.43" customWidth="1"/>
    <col min="3" max="3" width="13.43" customWidth="1"/>
    <col min="4" max="4" width="24.57" customWidth="1"/>
    <col min="5" max="5" width="26.57" customWidth="1"/>
    <col min="6" max="6" width="21.57" customWidth="1"/>
    <col min="7" max="22" width="14.43" customWidth="1"/>
    <col min="23" max="24" width="21" customWidth="1"/>
    <col min="25" max="26" width="15.43" customWidth="1"/>
    <col min="27" max="29" width="14.43" customWidth="1"/>
    <col min="30" max="30" width="10.14" customWidth="1"/>
    <col min="31" max="31" width="9.43" customWidth="1"/>
    <col min="32" max="32" width="9.57" customWidth="1"/>
    <col min="33" max="33" width="6.57" customWidth="1"/>
  </cols>
  <sheetData>
    <row r="1" ht="24" customHeight="1" spans="6:33" x14ac:dyDescent="0.25">
      <c r="F1" s="1" t="s">
        <v>339</v>
      </c>
      <c r="G1" s="1" t="s">
        <v>340</v>
      </c>
      <c r="H1" s="1" t="s">
        <v>341</v>
      </c>
      <c r="I1" s="1" t="s">
        <v>342</v>
      </c>
      <c r="J1" s="1" t="s">
        <v>343</v>
      </c>
      <c r="K1" s="1" t="s">
        <v>344</v>
      </c>
      <c r="L1" s="1" t="s">
        <v>345</v>
      </c>
      <c r="M1" s="1" t="s">
        <v>346</v>
      </c>
      <c r="N1" s="1" t="s">
        <v>347</v>
      </c>
      <c r="O1" s="1" t="s">
        <v>348</v>
      </c>
      <c r="P1" s="1" t="s">
        <v>349</v>
      </c>
      <c r="Q1" s="1" t="s">
        <v>350</v>
      </c>
      <c r="R1" s="1" t="s">
        <v>351</v>
      </c>
      <c r="S1" s="1" t="s">
        <v>352</v>
      </c>
      <c r="T1" s="1" t="s">
        <v>353</v>
      </c>
      <c r="U1" s="1" t="s">
        <v>354</v>
      </c>
      <c r="V1" s="1" t="s">
        <v>355</v>
      </c>
      <c r="W1" s="1">
        <v>2024</v>
      </c>
      <c r="X1" s="1">
        <v>2025</v>
      </c>
      <c r="Y1" s="1">
        <v>2024</v>
      </c>
      <c r="Z1" s="1">
        <v>2025</v>
      </c>
      <c r="AA1" s="1" t="s">
        <v>356</v>
      </c>
      <c r="AB1" s="1" t="s">
        <v>357</v>
      </c>
      <c r="AC1" s="1" t="s">
        <v>358</v>
      </c>
      <c r="AD1" s="1" t="s">
        <v>359</v>
      </c>
      <c r="AE1" s="1" t="s">
        <v>360</v>
      </c>
      <c r="AF1" s="1" t="s">
        <v>361</v>
      </c>
      <c r="AG1" s="1" t="s">
        <v>362</v>
      </c>
    </row>
    <row r="2" spans="6:33" x14ac:dyDescent="0.25">
      <c r="F2" s="2" t="s">
        <v>363</v>
      </c>
      <c r="G2" s="3">
        <v>9072784</v>
      </c>
      <c r="H2" s="3">
        <v>0</v>
      </c>
      <c r="I2" s="3">
        <v>1490000</v>
      </c>
      <c r="J2" s="3">
        <v>35341000</v>
      </c>
      <c r="K2" s="3">
        <v>0</v>
      </c>
      <c r="L2" s="3">
        <v>291025000</v>
      </c>
      <c r="M2" s="3">
        <v>230669500</v>
      </c>
      <c r="N2" s="3">
        <v>703294527.3</v>
      </c>
      <c r="O2" s="3">
        <v>265263750</v>
      </c>
      <c r="P2" s="3">
        <v>171555498.3</v>
      </c>
      <c r="Q2" s="3">
        <v>20487500</v>
      </c>
      <c r="R2" s="3">
        <v>248532500.0204</v>
      </c>
      <c r="S2" s="3">
        <v>454450</v>
      </c>
      <c r="T2" s="3">
        <v>29500000</v>
      </c>
      <c r="U2" s="3">
        <v>293252400.3105</v>
      </c>
      <c r="V2" s="3">
        <v>44700000</v>
      </c>
      <c r="W2" s="4">
        <v>0.1474957264391599</v>
      </c>
      <c r="X2" s="4">
        <v>0.07849995392166391</v>
      </c>
      <c r="Y2" s="3">
        <f>SUM(G2:R2)</f>
      </c>
      <c r="Z2" s="3">
        <f>SUM(S2:V2)</f>
      </c>
      <c r="AA2" s="3">
        <f>AVERAGE(T2:V2)</f>
      </c>
      <c r="AB2" s="3">
        <f>AVERAGE(Q2:V2)</f>
      </c>
      <c r="AC2" s="3">
        <f>AVERAGE(N2:V2)</f>
      </c>
      <c r="AD2" s="4">
        <f>IFERROR((AA2*2)/(AB2+AC2), 0)</f>
      </c>
      <c r="AE2" s="4">
        <f>IFERROR(Z2/SUM(G2:J2), 0)</f>
      </c>
      <c r="AF2" s="4">
        <f>IFERROR(Z2/SUM(G2:J2), 0)</f>
      </c>
      <c r="AG2" s="4">
        <f>IFERROR(V2/J2, 0)</f>
      </c>
    </row>
    <row r="3" spans="6:33" x14ac:dyDescent="0.25">
      <c r="F3" s="2" t="s">
        <v>364</v>
      </c>
      <c r="G3" s="3">
        <v>82600000</v>
      </c>
      <c r="H3" s="3">
        <v>21500000.02</v>
      </c>
      <c r="I3" s="3">
        <v>285257795.84000003</v>
      </c>
      <c r="J3" s="3">
        <v>16553410.125</v>
      </c>
      <c r="K3" s="3">
        <v>63779700</v>
      </c>
      <c r="L3" s="3">
        <v>1047102700</v>
      </c>
      <c r="M3" s="3">
        <v>317691400</v>
      </c>
      <c r="N3" s="3">
        <v>190763100</v>
      </c>
      <c r="O3" s="3">
        <v>95700000</v>
      </c>
      <c r="P3" s="3">
        <v>190359984.4225</v>
      </c>
      <c r="Q3" s="3">
        <v>658724099.94885</v>
      </c>
      <c r="R3" s="3">
        <v>-58965599.91262001</v>
      </c>
      <c r="S3" s="3">
        <v>5250000</v>
      </c>
      <c r="T3" s="3">
        <v>0</v>
      </c>
      <c r="U3" s="3">
        <v>0</v>
      </c>
      <c r="V3" s="3">
        <v>305723467.06</v>
      </c>
      <c r="W3" s="4">
        <v>0.21721197841690293</v>
      </c>
      <c r="X3" s="4">
        <v>0.06635212911764957</v>
      </c>
      <c r="Y3" s="3">
        <f>SUM(G3:R3)</f>
      </c>
      <c r="Z3" s="3">
        <f>SUM(S3:V3)</f>
      </c>
      <c r="AA3" s="3">
        <f>AVERAGE(T3:V3)</f>
      </c>
      <c r="AB3" s="3">
        <f>AVERAGE(Q3:V3)</f>
      </c>
      <c r="AC3" s="3">
        <f>AVERAGE(N3:V3)</f>
      </c>
      <c r="AD3" s="4">
        <f>IFERROR((AA3*2)/(AB3+AC3), 0)</f>
      </c>
      <c r="AE3" s="4">
        <f>IFERROR(Z3/SUM(G3:J3), 0)</f>
      </c>
      <c r="AF3" s="4">
        <f>IFERROR(Z3/SUM(G3:J3), 0)</f>
      </c>
      <c r="AG3" s="4">
        <f>IFERROR(V3/J3, 0)</f>
      </c>
    </row>
    <row r="4" spans="6:33" x14ac:dyDescent="0.25">
      <c r="F4" s="2" t="s">
        <v>365</v>
      </c>
      <c r="G4" s="3">
        <v>2655000</v>
      </c>
      <c r="H4" s="3">
        <v>45312000</v>
      </c>
      <c r="I4" s="3">
        <v>31058200</v>
      </c>
      <c r="J4" s="3">
        <v>0</v>
      </c>
      <c r="K4" s="3">
        <v>0</v>
      </c>
      <c r="L4" s="3">
        <v>82211700</v>
      </c>
      <c r="M4" s="3">
        <v>897000</v>
      </c>
      <c r="N4" s="3">
        <v>1583750</v>
      </c>
      <c r="O4" s="3">
        <v>93065000</v>
      </c>
      <c r="P4" s="3">
        <v>40074250</v>
      </c>
      <c r="Q4" s="3">
        <v>-3070150.352</v>
      </c>
      <c r="R4" s="3">
        <v>35400000</v>
      </c>
      <c r="S4" s="3">
        <v>0</v>
      </c>
      <c r="T4" s="3">
        <v>31080000</v>
      </c>
      <c r="U4" s="3">
        <v>9300000</v>
      </c>
      <c r="V4" s="3">
        <v>553000</v>
      </c>
      <c r="W4" s="4">
        <v>0.02456257970683269</v>
      </c>
      <c r="X4" s="4">
        <v>0.008733837413365943</v>
      </c>
      <c r="Y4" s="3">
        <f>SUM(G4:R4)</f>
      </c>
      <c r="Z4" s="3">
        <f>SUM(S4:V4)</f>
      </c>
      <c r="AA4" s="3">
        <f>AVERAGE(T4:V4)</f>
      </c>
      <c r="AB4" s="3">
        <f>AVERAGE(Q4:V4)</f>
      </c>
      <c r="AC4" s="3">
        <f>AVERAGE(N4:V4)</f>
      </c>
      <c r="AD4" s="4">
        <f>IFERROR((AA4*2)/(AB4+AC4), 0)</f>
      </c>
      <c r="AE4" s="4">
        <f>IFERROR(Z4/SUM(G4:J4), 0)</f>
      </c>
      <c r="AF4" s="4">
        <f>IFERROR(Z4/SUM(G4:J4), 0)</f>
      </c>
      <c r="AG4" s="4">
        <f>IFERROR(V4/J4, 0)</f>
      </c>
    </row>
    <row r="5" spans="6:33" x14ac:dyDescent="0.25">
      <c r="F5" s="2" t="s">
        <v>366</v>
      </c>
      <c r="G5" s="3">
        <v>0</v>
      </c>
      <c r="H5" s="3">
        <v>0</v>
      </c>
      <c r="I5" s="3">
        <v>6686250</v>
      </c>
      <c r="J5" s="3">
        <v>0</v>
      </c>
      <c r="K5" s="3">
        <v>0</v>
      </c>
      <c r="L5" s="3">
        <v>30812500</v>
      </c>
      <c r="M5" s="3">
        <v>16986000</v>
      </c>
      <c r="N5" s="3">
        <v>28380600</v>
      </c>
      <c r="O5" s="3">
        <v>13410000</v>
      </c>
      <c r="P5" s="3">
        <v>17880000</v>
      </c>
      <c r="Q5" s="3">
        <v>22350000</v>
      </c>
      <c r="R5" s="3">
        <v>27050000.275</v>
      </c>
      <c r="S5" s="3">
        <v>14250000.165</v>
      </c>
      <c r="T5" s="3">
        <v>23750000.405</v>
      </c>
      <c r="U5" s="3">
        <v>28500000.486</v>
      </c>
      <c r="V5" s="3">
        <v>19000000.324</v>
      </c>
      <c r="W5" s="4">
        <v>0.01220383667296566</v>
      </c>
      <c r="X5" s="4">
        <v>0.018243058434404606</v>
      </c>
      <c r="Y5" s="3">
        <f>SUM(G5:R5)</f>
      </c>
      <c r="Z5" s="3">
        <f>SUM(S5:V5)</f>
      </c>
      <c r="AA5" s="3">
        <f>AVERAGE(T5:V5)</f>
      </c>
      <c r="AB5" s="3">
        <f>AVERAGE(Q5:V5)</f>
      </c>
      <c r="AC5" s="3">
        <f>AVERAGE(N5:V5)</f>
      </c>
      <c r="AD5" s="4">
        <f>IFERROR((AA5*2)/(AB5+AC5), 0)</f>
      </c>
      <c r="AE5" s="4">
        <f>IFERROR(Z5/SUM(G5:J5), 0)</f>
      </c>
      <c r="AF5" s="4">
        <f>IFERROR(Z5/SUM(G5:J5), 0)</f>
      </c>
      <c r="AG5" s="4">
        <f>IFERROR(V5/J5, 0)</f>
      </c>
    </row>
    <row r="6" spans="6:33" x14ac:dyDescent="0.25">
      <c r="F6" s="2" t="s">
        <v>367</v>
      </c>
      <c r="G6" s="3">
        <v>0</v>
      </c>
      <c r="H6" s="3">
        <v>5900000</v>
      </c>
      <c r="I6" s="3">
        <v>15107500</v>
      </c>
      <c r="J6" s="3">
        <v>19223004.999999993</v>
      </c>
      <c r="K6" s="3">
        <v>695200</v>
      </c>
      <c r="L6" s="3">
        <v>9090000</v>
      </c>
      <c r="M6" s="3">
        <v>14444980</v>
      </c>
      <c r="N6" s="3">
        <v>4768999.84</v>
      </c>
      <c r="O6" s="3">
        <v>727360</v>
      </c>
      <c r="P6" s="3">
        <v>21390380</v>
      </c>
      <c r="Q6" s="3">
        <v>37124500</v>
      </c>
      <c r="R6" s="3">
        <v>40753750.001853004</v>
      </c>
      <c r="S6" s="3">
        <v>4689500.165</v>
      </c>
      <c r="T6" s="3">
        <v>31660850.2995</v>
      </c>
      <c r="U6" s="3">
        <v>13791000</v>
      </c>
      <c r="V6" s="3">
        <v>7988000.003</v>
      </c>
      <c r="W6" s="4">
        <v>0.012626933286926786</v>
      </c>
      <c r="X6" s="4">
        <v>0.012403007253993417</v>
      </c>
      <c r="Y6" s="3">
        <f>SUM(G6:R6)</f>
      </c>
      <c r="Z6" s="3">
        <f>SUM(S6:V6)</f>
      </c>
      <c r="AA6" s="3">
        <f>AVERAGE(T6:V6)</f>
      </c>
      <c r="AB6" s="3">
        <f>AVERAGE(Q6:V6)</f>
      </c>
      <c r="AC6" s="3">
        <f>AVERAGE(N6:V6)</f>
      </c>
      <c r="AD6" s="4">
        <f>IFERROR((AA6*2)/(AB6+AC6), 0)</f>
      </c>
      <c r="AE6" s="4">
        <f>IFERROR(Z6/SUM(G6:J6), 0)</f>
      </c>
      <c r="AF6" s="4">
        <f>IFERROR(Z6/SUM(G6:J6), 0)</f>
      </c>
      <c r="AG6" s="4">
        <f>IFERROR(V6/J6, 0)</f>
      </c>
    </row>
    <row r="7" spans="6:33" x14ac:dyDescent="0.25">
      <c r="F7" s="2" t="s">
        <v>368</v>
      </c>
      <c r="G7" s="3">
        <v>0</v>
      </c>
      <c r="H7" s="3">
        <v>0</v>
      </c>
      <c r="I7" s="3">
        <v>17700000</v>
      </c>
      <c r="J7" s="3">
        <v>17700000</v>
      </c>
      <c r="K7" s="3">
        <v>0</v>
      </c>
      <c r="L7" s="3">
        <v>0</v>
      </c>
      <c r="M7" s="3">
        <v>11935499.844999999</v>
      </c>
      <c r="N7" s="3">
        <v>4225499.999999999</v>
      </c>
      <c r="O7" s="3">
        <v>7109999.999999999</v>
      </c>
      <c r="P7" s="3">
        <v>7109999.999999999</v>
      </c>
      <c r="Q7" s="3">
        <v>0</v>
      </c>
      <c r="R7" s="3">
        <v>3950000</v>
      </c>
      <c r="S7" s="3">
        <v>0</v>
      </c>
      <c r="T7" s="3">
        <v>0</v>
      </c>
      <c r="U7" s="3">
        <v>0</v>
      </c>
      <c r="V7" s="3">
        <v>0</v>
      </c>
      <c r="W7" s="4">
        <v>0.005203044301027979</v>
      </c>
      <c r="X7" s="4">
        <v>0</v>
      </c>
      <c r="Y7" s="3">
        <f>SUM(G7:R7)</f>
      </c>
      <c r="Z7" s="3">
        <f>SUM(S7:V7)</f>
      </c>
      <c r="AA7" s="3">
        <f>AVERAGE(T7:V7)</f>
      </c>
      <c r="AB7" s="3">
        <f>AVERAGE(Q7:V7)</f>
      </c>
      <c r="AC7" s="3">
        <f>AVERAGE(N7:V7)</f>
      </c>
      <c r="AD7" s="4">
        <f>IFERROR((AA7*2)/(AB7+AC7), 0)</f>
      </c>
      <c r="AE7" s="4">
        <f>IFERROR(Z7/SUM(G7:J7), 0)</f>
      </c>
      <c r="AF7" s="4">
        <f>IFERROR(Z7/SUM(G7:J7), 0)</f>
      </c>
      <c r="AG7" s="4">
        <f>IFERROR(V7/J7, 0)</f>
      </c>
    </row>
    <row r="8" spans="6:33" x14ac:dyDescent="0.25">
      <c r="F8" s="2" t="s">
        <v>369</v>
      </c>
      <c r="G8" s="3">
        <v>37800000</v>
      </c>
      <c r="H8" s="3">
        <v>30484999.698</v>
      </c>
      <c r="I8" s="3">
        <v>70572250</v>
      </c>
      <c r="J8" s="3">
        <v>134321797.75</v>
      </c>
      <c r="K8" s="3">
        <v>27929000</v>
      </c>
      <c r="L8" s="3">
        <v>49374499.5</v>
      </c>
      <c r="M8" s="3">
        <v>163901499.075</v>
      </c>
      <c r="N8" s="3">
        <v>156990750</v>
      </c>
      <c r="O8" s="3">
        <v>95475500</v>
      </c>
      <c r="P8" s="3">
        <v>58490000</v>
      </c>
      <c r="Q8" s="3">
        <v>138311000.0048</v>
      </c>
      <c r="R8" s="3">
        <v>87959900</v>
      </c>
      <c r="S8" s="3">
        <v>31589999.958</v>
      </c>
      <c r="T8" s="3">
        <v>105770000.25</v>
      </c>
      <c r="U8" s="3">
        <v>34915500</v>
      </c>
      <c r="V8" s="3">
        <v>16598200.0595</v>
      </c>
      <c r="W8" s="4">
        <v>0.07846696092917126</v>
      </c>
      <c r="X8" s="4">
        <v>0.040299811638461795</v>
      </c>
      <c r="Y8" s="3">
        <f>SUM(G8:R8)</f>
      </c>
      <c r="Z8" s="3">
        <f>SUM(S8:V8)</f>
      </c>
      <c r="AA8" s="3">
        <f>AVERAGE(T8:V8)</f>
      </c>
      <c r="AB8" s="3">
        <f>AVERAGE(Q8:V8)</f>
      </c>
      <c r="AC8" s="3">
        <f>AVERAGE(N8:V8)</f>
      </c>
      <c r="AD8" s="4">
        <f>IFERROR((AA8*2)/(AB8+AC8), 0)</f>
      </c>
      <c r="AE8" s="4">
        <f>IFERROR(Z8/SUM(G8:J8), 0)</f>
      </c>
      <c r="AF8" s="4">
        <f>IFERROR(Z8/SUM(G8:J8), 0)</f>
      </c>
      <c r="AG8" s="4">
        <f>IFERROR(V8/J8, 0)</f>
      </c>
    </row>
    <row r="9" spans="6:33" x14ac:dyDescent="0.25">
      <c r="F9" s="2" t="s">
        <v>370</v>
      </c>
      <c r="G9" s="3">
        <v>11044800</v>
      </c>
      <c r="H9" s="3">
        <v>4672800</v>
      </c>
      <c r="I9" s="3">
        <v>4248013.924</v>
      </c>
      <c r="J9" s="3">
        <v>13550390.589999998</v>
      </c>
      <c r="K9" s="3">
        <v>25671582.172500003</v>
      </c>
      <c r="L9" s="3">
        <v>49784370.79</v>
      </c>
      <c r="M9" s="3">
        <v>61829993.5375</v>
      </c>
      <c r="N9" s="3">
        <v>409985170.48</v>
      </c>
      <c r="O9" s="3">
        <v>100930750.02</v>
      </c>
      <c r="P9" s="3">
        <v>62256799.825</v>
      </c>
      <c r="Q9" s="3">
        <v>121490036.406</v>
      </c>
      <c r="R9" s="3">
        <v>54976006.08615299</v>
      </c>
      <c r="S9" s="3">
        <v>30942250.0052</v>
      </c>
      <c r="T9" s="3">
        <v>60234000.1913</v>
      </c>
      <c r="U9" s="3">
        <v>63336400.1878</v>
      </c>
      <c r="V9" s="3">
        <v>99512400.08552499</v>
      </c>
      <c r="W9" s="4">
        <v>0.06867955172274363</v>
      </c>
      <c r="X9" s="4">
        <v>0.054201096663462955</v>
      </c>
      <c r="Y9" s="3">
        <f>SUM(G9:R9)</f>
      </c>
      <c r="Z9" s="3">
        <f>SUM(S9:V9)</f>
      </c>
      <c r="AA9" s="3">
        <f>AVERAGE(T9:V9)</f>
      </c>
      <c r="AB9" s="3">
        <f>AVERAGE(Q9:V9)</f>
      </c>
      <c r="AC9" s="3">
        <f>AVERAGE(N9:V9)</f>
      </c>
      <c r="AD9" s="4">
        <f>IFERROR((AA9*2)/(AB9+AC9), 0)</f>
      </c>
      <c r="AE9" s="4">
        <f>IFERROR(Z9/SUM(G9:J9), 0)</f>
      </c>
      <c r="AF9" s="4">
        <f>IFERROR(Z9/SUM(G9:J9), 0)</f>
      </c>
      <c r="AG9" s="4">
        <f>IFERROR(V9/J9, 0)</f>
      </c>
    </row>
    <row r="10" spans="6:33" x14ac:dyDescent="0.25">
      <c r="F10" s="2" t="s">
        <v>371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446600250</v>
      </c>
      <c r="N10" s="3">
        <v>710367250</v>
      </c>
      <c r="O10" s="3">
        <v>932383500</v>
      </c>
      <c r="P10" s="3">
        <v>708061250</v>
      </c>
      <c r="Q10" s="3">
        <v>2193239000</v>
      </c>
      <c r="R10" s="3">
        <v>819761000</v>
      </c>
      <c r="S10" s="3">
        <v>369890500</v>
      </c>
      <c r="T10" s="3">
        <v>477609300</v>
      </c>
      <c r="U10" s="3">
        <v>930873000</v>
      </c>
      <c r="V10" s="3">
        <v>1601999999.9999998</v>
      </c>
      <c r="W10" s="4">
        <v>0.43354938852426916</v>
      </c>
      <c r="X10" s="4">
        <v>0.7212671055569978</v>
      </c>
      <c r="Y10" s="3">
        <f>SUM(G10:R10)</f>
      </c>
      <c r="Z10" s="3">
        <f>SUM(S10:V10)</f>
      </c>
      <c r="AA10" s="3">
        <f>AVERAGE(T10:V10)</f>
      </c>
      <c r="AB10" s="3">
        <f>AVERAGE(Q10:V10)</f>
      </c>
      <c r="AC10" s="3">
        <f>AVERAGE(N10:V10)</f>
      </c>
      <c r="AD10" s="4">
        <f>IFERROR((AA10*2)/(AB10+AC10), 0)</f>
      </c>
      <c r="AE10" s="4">
        <f>IFERROR(Z10/SUM(G10:J10), 0)</f>
      </c>
      <c r="AF10" s="4">
        <f>IFERROR(Z10/SUM(G10:J10), 0)</f>
      </c>
      <c r="AG10" s="4">
        <f>IFERROR(V10/J10, 0)</f>
      </c>
    </row>
    <row r="11" spans="6:33" x14ac:dyDescent="0.25">
      <c r="F11" s="5" t="s">
        <v>372</v>
      </c>
      <c r="G11" s="6">
        <f>SUM(G2:G10)</f>
      </c>
      <c r="H11" s="6">
        <f>SUM(H2:H10)</f>
      </c>
      <c r="I11" s="6">
        <f>SUM(I2:I10)</f>
      </c>
      <c r="J11" s="6">
        <f>SUM(J2:J10)</f>
      </c>
      <c r="K11" s="6">
        <f>SUM(K2:K10)</f>
      </c>
      <c r="L11" s="6">
        <f>SUM(L2:L10)</f>
      </c>
      <c r="M11" s="6">
        <f>SUM(M2:M10)</f>
      </c>
      <c r="N11" s="6">
        <f>SUM(N2:N10)</f>
      </c>
      <c r="O11" s="6">
        <f>SUM(O2:O10)</f>
      </c>
      <c r="P11" s="6">
        <f>SUM(P2:P10)</f>
      </c>
      <c r="Q11" s="6">
        <f>SUM(Q2:Q10)</f>
      </c>
      <c r="R11" s="6">
        <f>SUM(R2:R10)</f>
      </c>
      <c r="S11" s="6">
        <f>SUM(S2:S10)</f>
      </c>
      <c r="T11" s="6">
        <f>SUM(T2:T10)</f>
      </c>
      <c r="U11" s="6">
        <f>SUM(U2:U10)</f>
      </c>
      <c r="V11" s="6">
        <f>SUM(V2:V10)</f>
      </c>
      <c r="W11" s="7">
        <v>0</v>
      </c>
      <c r="X11" s="7">
        <v>0</v>
      </c>
      <c r="Y11" s="6">
        <f>SUM(Y2:Y10)</f>
      </c>
      <c r="Z11" s="6">
        <f>SUM(Z2:Z10)</f>
      </c>
      <c r="AA11" s="6">
        <f>SUM(AA2:AA10)</f>
      </c>
      <c r="AB11" s="6">
        <f>SUM(AB2:AB10)</f>
      </c>
      <c r="AC11" s="6">
        <f>SUM(AC2:AC10)</f>
      </c>
      <c r="AD11" s="7">
        <f>IFERROR((AA11*2)/(AB11+AC11), 0)</f>
      </c>
      <c r="AE11" s="7">
        <f>IFERROR(Z11/SUM(G11:J11), 0)</f>
      </c>
      <c r="AF11" s="7">
        <f>IFERROR(Z11/SUM(G11:J11), 0)</f>
      </c>
      <c r="AG11" s="7">
        <f>IFERROR(V11/J11, 0)</f>
      </c>
    </row>
    <row r="12" ht="14.25" customHeight="1" spans="6:29" x14ac:dyDescent="0.25">
      <c r="F12">
        <v>1</v>
      </c>
      <c r="G12">
        <v>56</v>
      </c>
      <c r="H12">
        <v>56</v>
      </c>
      <c r="W12">
        <v>57</v>
      </c>
      <c r="Y12">
        <v>62</v>
      </c>
      <c r="AA12">
        <v>56</v>
      </c>
      <c r="AB12">
        <v>55.25</v>
      </c>
      <c r="AC12">
        <v>53.857142857142854</v>
      </c>
    </row>
    <row r="13" ht="24" customHeight="1" spans="6:33" x14ac:dyDescent="0.25">
      <c r="F13" s="1" t="s">
        <v>373</v>
      </c>
      <c r="G13" s="1" t="s">
        <v>340</v>
      </c>
      <c r="H13" s="1" t="s">
        <v>341</v>
      </c>
      <c r="I13" s="1" t="s">
        <v>342</v>
      </c>
      <c r="J13" s="1" t="s">
        <v>343</v>
      </c>
      <c r="K13" s="1" t="s">
        <v>344</v>
      </c>
      <c r="L13" s="1" t="s">
        <v>345</v>
      </c>
      <c r="M13" s="1" t="s">
        <v>346</v>
      </c>
      <c r="N13" s="1" t="s">
        <v>347</v>
      </c>
      <c r="O13" s="1" t="s">
        <v>348</v>
      </c>
      <c r="P13" s="1" t="s">
        <v>349</v>
      </c>
      <c r="Q13" s="1" t="s">
        <v>350</v>
      </c>
      <c r="R13" s="1" t="s">
        <v>351</v>
      </c>
      <c r="S13" s="1" t="s">
        <v>352</v>
      </c>
      <c r="T13" s="1" t="s">
        <v>353</v>
      </c>
      <c r="U13" s="1" t="s">
        <v>354</v>
      </c>
      <c r="V13" s="1" t="s">
        <v>355</v>
      </c>
      <c r="W13" s="1"/>
      <c r="X13" s="1"/>
      <c r="Y13" s="1">
        <v>2024</v>
      </c>
      <c r="Z13" s="1">
        <v>2025</v>
      </c>
      <c r="AA13" s="1" t="s">
        <v>356</v>
      </c>
      <c r="AB13" s="1" t="s">
        <v>357</v>
      </c>
      <c r="AC13" s="1" t="s">
        <v>358</v>
      </c>
      <c r="AD13" s="1" t="s">
        <v>359</v>
      </c>
      <c r="AE13" s="1" t="s">
        <v>360</v>
      </c>
      <c r="AF13" s="1" t="s">
        <v>361</v>
      </c>
      <c r="AG13" s="1" t="s">
        <v>362</v>
      </c>
    </row>
    <row r="14" spans="6:33" x14ac:dyDescent="0.25">
      <c r="F14" s="2" t="s">
        <v>374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4"/>
      <c r="X14" s="4"/>
      <c r="Y14" s="3">
        <f>SUM(G14:R14)</f>
      </c>
      <c r="Z14" s="3">
        <f>SUM(S14:V14)</f>
      </c>
      <c r="AA14" s="3">
        <f>AVERAGE(T14:V14)</f>
      </c>
      <c r="AB14" s="3">
        <f>AVERAGE(Q14:V14)</f>
      </c>
      <c r="AC14" s="3">
        <f>AVERAGE(N14:V14)</f>
      </c>
      <c r="AD14" s="4">
        <f>IFERROR((AA14*2)/(AB14+AC14), 0)</f>
      </c>
      <c r="AE14" s="4">
        <f>IFERROR(Z14/SUM(G14:J14), 0)</f>
      </c>
      <c r="AF14" s="4">
        <f>IFERROR(Z14/SUM(G14:J14), 0)</f>
      </c>
      <c r="AG14" s="4">
        <f>IFERROR(V14/J14, 0)</f>
      </c>
    </row>
    <row r="15" spans="6:33" x14ac:dyDescent="0.25">
      <c r="F15" s="2" t="s">
        <v>375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4"/>
      <c r="X15" s="4"/>
      <c r="Y15" s="3">
        <f>SUM(G15:R15)</f>
      </c>
      <c r="Z15" s="3">
        <f>SUM(S15:V15)</f>
      </c>
      <c r="AA15" s="3">
        <f>AVERAGE(T15:V15)</f>
      </c>
      <c r="AB15" s="3">
        <f>AVERAGE(Q15:V15)</f>
      </c>
      <c r="AC15" s="3">
        <f>AVERAGE(N15:V15)</f>
      </c>
      <c r="AD15" s="4">
        <f>IFERROR((AA15*2)/(AB15+AC15), 0)</f>
      </c>
      <c r="AE15" s="4">
        <f>IFERROR(Z15/SUM(G15:J15), 0)</f>
      </c>
      <c r="AF15" s="4">
        <f>IFERROR(Z15/SUM(G15:J15), 0)</f>
      </c>
      <c r="AG15" s="4">
        <f>IFERROR(V15/J15, 0)</f>
      </c>
    </row>
    <row r="16" spans="6:33" x14ac:dyDescent="0.25">
      <c r="F16" s="2" t="s">
        <v>376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4"/>
      <c r="X16" s="4"/>
      <c r="Y16" s="3">
        <f>SUM(G16:R16)</f>
      </c>
      <c r="Z16" s="3">
        <f>SUM(S16:V16)</f>
      </c>
      <c r="AA16" s="3">
        <f>AVERAGE(T16:V16)</f>
      </c>
      <c r="AB16" s="3">
        <f>AVERAGE(Q16:V16)</f>
      </c>
      <c r="AC16" s="3">
        <f>AVERAGE(N16:V16)</f>
      </c>
      <c r="AD16" s="4">
        <f>IFERROR((AA16*2)/(AB16+AC16), 0)</f>
      </c>
      <c r="AE16" s="4">
        <f>IFERROR(Z16/SUM(G16:J16), 0)</f>
      </c>
      <c r="AF16" s="4">
        <f>IFERROR(Z16/SUM(G16:J16), 0)</f>
      </c>
      <c r="AG16" s="4">
        <f>IFERROR(V16/J16, 0)</f>
      </c>
    </row>
    <row r="17" spans="6:33" x14ac:dyDescent="0.25">
      <c r="F17" s="2" t="s">
        <v>377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4"/>
      <c r="X17" s="4"/>
      <c r="Y17" s="3">
        <f>SUM(G17:R17)</f>
      </c>
      <c r="Z17" s="3">
        <f>SUM(S17:V17)</f>
      </c>
      <c r="AA17" s="3">
        <f>AVERAGE(T17:V17)</f>
      </c>
      <c r="AB17" s="3">
        <f>AVERAGE(Q17:V17)</f>
      </c>
      <c r="AC17" s="3">
        <f>AVERAGE(N17:V17)</f>
      </c>
      <c r="AD17" s="4">
        <f>IFERROR((AA17*2)/(AB17+AC17), 0)</f>
      </c>
      <c r="AE17" s="4">
        <f>IFERROR(Z17/SUM(G17:J17), 0)</f>
      </c>
      <c r="AF17" s="4">
        <f>IFERROR(Z17/SUM(G17:J17), 0)</f>
      </c>
      <c r="AG17" s="4">
        <f>IFERROR(V17/J17, 0)</f>
      </c>
    </row>
    <row r="18" spans="6:33" x14ac:dyDescent="0.25">
      <c r="F18" s="2" t="s">
        <v>378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4"/>
      <c r="X18" s="4"/>
      <c r="Y18" s="3">
        <f>SUM(G18:R18)</f>
      </c>
      <c r="Z18" s="3">
        <f>SUM(S18:V18)</f>
      </c>
      <c r="AA18" s="3">
        <f>AVERAGE(T18:V18)</f>
      </c>
      <c r="AB18" s="3">
        <f>AVERAGE(Q18:V18)</f>
      </c>
      <c r="AC18" s="3">
        <f>AVERAGE(N18:V18)</f>
      </c>
      <c r="AD18" s="4">
        <f>IFERROR((AA18*2)/(AB18+AC18), 0)</f>
      </c>
      <c r="AE18" s="4">
        <f>IFERROR(Z18/SUM(G18:J18), 0)</f>
      </c>
      <c r="AF18" s="4">
        <f>IFERROR(Z18/SUM(G18:J18), 0)</f>
      </c>
      <c r="AG18" s="4">
        <f>IFERROR(V18/J18, 0)</f>
      </c>
    </row>
    <row r="19" spans="6:33" x14ac:dyDescent="0.25">
      <c r="F19" s="2" t="s">
        <v>379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4"/>
      <c r="X19" s="4"/>
      <c r="Y19" s="3">
        <f>SUM(G19:R19)</f>
      </c>
      <c r="Z19" s="3">
        <f>SUM(S19:V19)</f>
      </c>
      <c r="AA19" s="3">
        <f>AVERAGE(T19:V19)</f>
      </c>
      <c r="AB19" s="3">
        <f>AVERAGE(Q19:V19)</f>
      </c>
      <c r="AC19" s="3">
        <f>AVERAGE(N19:V19)</f>
      </c>
      <c r="AD19" s="4">
        <f>IFERROR((AA19*2)/(AB19+AC19), 0)</f>
      </c>
      <c r="AE19" s="4">
        <f>IFERROR(Z19/SUM(G19:J19), 0)</f>
      </c>
      <c r="AF19" s="4">
        <f>IFERROR(Z19/SUM(G19:J19), 0)</f>
      </c>
      <c r="AG19" s="4">
        <f>IFERROR(V19/J19, 0)</f>
      </c>
    </row>
    <row r="20" spans="6:33" x14ac:dyDescent="0.25">
      <c r="F20" s="5" t="s">
        <v>372</v>
      </c>
      <c r="G20" s="6">
        <f>SUM(G14:G19)</f>
      </c>
      <c r="H20" s="6">
        <f>SUM(H14:H19)</f>
      </c>
      <c r="I20" s="6">
        <f>SUM(I14:I19)</f>
      </c>
      <c r="J20" s="6">
        <f>SUM(J14:J19)</f>
      </c>
      <c r="K20" s="6">
        <f>SUM(K14:K19)</f>
      </c>
      <c r="L20" s="6">
        <f>SUM(L14:L19)</f>
      </c>
      <c r="M20" s="6">
        <f>SUM(M14:M19)</f>
      </c>
      <c r="N20" s="6">
        <f>SUM(N14:N19)</f>
      </c>
      <c r="O20" s="6">
        <f>SUM(O14:O19)</f>
      </c>
      <c r="P20" s="6">
        <f>SUM(P14:P19)</f>
      </c>
      <c r="Q20" s="6">
        <f>SUM(Q14:Q19)</f>
      </c>
      <c r="R20" s="6">
        <f>SUM(R14:R19)</f>
      </c>
      <c r="S20" s="6">
        <f>SUM(S14:S19)</f>
      </c>
      <c r="T20" s="6">
        <f>SUM(T14:T19)</f>
      </c>
      <c r="U20" s="6">
        <f>SUM(U14:U19)</f>
      </c>
      <c r="V20" s="6">
        <f>SUM(V14:V19)</f>
      </c>
      <c r="W20" s="7"/>
      <c r="X20" s="7"/>
      <c r="Y20" s="6">
        <f>SUM(Y14:Y19)</f>
      </c>
      <c r="Z20" s="6">
        <f>SUM(Z14:Z19)</f>
      </c>
      <c r="AA20" s="6">
        <f>SUM(AA14:AA19)</f>
      </c>
      <c r="AB20" s="6">
        <f>SUM(AB14:AB19)</f>
      </c>
      <c r="AC20" s="6">
        <f>SUM(AC14:AC19)</f>
      </c>
      <c r="AD20" s="7">
        <f>IFERROR((AA20*2)/(AB20+AC20), 0)</f>
      </c>
      <c r="AE20" s="7">
        <f>IFERROR(Z20/SUM(G20:J20), 0)</f>
      </c>
      <c r="AF20" s="7">
        <f>IFERROR(Z20/SUM(G20:J20), 0)</f>
      </c>
      <c r="AG20" s="7">
        <f>IFERROR(V20/J20, 0)</f>
      </c>
    </row>
    <row r="21" ht="14.25" customHeight="1" hidden="1" spans="7:29" x14ac:dyDescent="0.25">
      <c r="G21">
        <v>34</v>
      </c>
      <c r="H21">
        <v>38</v>
      </c>
      <c r="Y21">
        <v>194</v>
      </c>
      <c r="AA21">
        <v>38</v>
      </c>
      <c r="AB21">
        <v>24</v>
      </c>
      <c r="AC21">
        <v>26.285714285714285</v>
      </c>
    </row>
    <row r="22" ht="24" customHeight="1" spans="4:33" x14ac:dyDescent="0.25">
      <c r="D22" s="1" t="s">
        <v>380</v>
      </c>
      <c r="E22" s="1" t="s">
        <v>381</v>
      </c>
      <c r="F22" s="1" t="s">
        <v>382</v>
      </c>
      <c r="G22" s="1" t="s">
        <v>340</v>
      </c>
      <c r="H22" s="1" t="s">
        <v>341</v>
      </c>
      <c r="I22" s="1" t="s">
        <v>342</v>
      </c>
      <c r="J22" s="1" t="s">
        <v>343</v>
      </c>
      <c r="K22" s="1" t="s">
        <v>344</v>
      </c>
      <c r="L22" s="1" t="s">
        <v>345</v>
      </c>
      <c r="M22" s="1" t="s">
        <v>346</v>
      </c>
      <c r="N22" s="1" t="s">
        <v>347</v>
      </c>
      <c r="O22" s="1" t="s">
        <v>348</v>
      </c>
      <c r="P22" s="1" t="s">
        <v>349</v>
      </c>
      <c r="Q22" s="1" t="s">
        <v>350</v>
      </c>
      <c r="R22" s="1" t="s">
        <v>351</v>
      </c>
      <c r="S22" s="1" t="s">
        <v>352</v>
      </c>
      <c r="T22" s="1" t="s">
        <v>353</v>
      </c>
      <c r="U22" s="1" t="s">
        <v>354</v>
      </c>
      <c r="V22" s="1" t="s">
        <v>355</v>
      </c>
      <c r="W22" s="1"/>
      <c r="X22" s="1"/>
      <c r="Y22" s="1">
        <v>2024</v>
      </c>
      <c r="Z22" s="1">
        <v>2025</v>
      </c>
      <c r="AA22" s="1" t="s">
        <v>356</v>
      </c>
      <c r="AB22" s="1" t="s">
        <v>357</v>
      </c>
      <c r="AC22" s="1" t="s">
        <v>358</v>
      </c>
      <c r="AD22" s="1" t="s">
        <v>359</v>
      </c>
      <c r="AE22" s="1" t="s">
        <v>360</v>
      </c>
      <c r="AF22" s="1" t="s">
        <v>361</v>
      </c>
      <c r="AG22" s="1" t="s">
        <v>362</v>
      </c>
    </row>
    <row r="23" spans="4:33" x14ac:dyDescent="0.25">
      <c r="D23" s="2" t="s">
        <v>383</v>
      </c>
      <c r="E23" s="2" t="s">
        <v>384</v>
      </c>
      <c r="F23" s="2" t="s">
        <v>385</v>
      </c>
      <c r="G23" s="3">
        <v>143172584</v>
      </c>
      <c r="H23" s="3">
        <v>107869799.71800001</v>
      </c>
      <c r="I23" s="3">
        <v>408064745.84000003</v>
      </c>
      <c r="J23" s="3">
        <v>178119207.875</v>
      </c>
      <c r="K23" s="3">
        <v>92403900</v>
      </c>
      <c r="L23" s="3">
        <v>1454756985.7600002</v>
      </c>
      <c r="M23" s="3">
        <v>1197138028.92</v>
      </c>
      <c r="N23" s="3">
        <v>1792213996.2099998</v>
      </c>
      <c r="O23" s="3">
        <v>1511845060</v>
      </c>
      <c r="P23" s="3">
        <v>1207670862.5475</v>
      </c>
      <c r="Q23" s="3">
        <v>3128390599.9538503</v>
      </c>
      <c r="R23" s="3">
        <v>1066717434.4296331</v>
      </c>
      <c r="S23" s="3">
        <v>438685950.123</v>
      </c>
      <c r="T23" s="3">
        <v>703625150.5495</v>
      </c>
      <c r="U23" s="3">
        <v>1185718900.3105</v>
      </c>
      <c r="V23" s="3">
        <v>1988761717.0599997</v>
      </c>
      <c r="W23" s="4"/>
      <c r="X23" s="4"/>
      <c r="Y23" s="3">
        <f>SUM(G23:R23)</f>
      </c>
      <c r="Z23" s="3">
        <f>SUM(S23:V23)</f>
      </c>
      <c r="AA23" s="3">
        <f>AVERAGE(T23:V23)</f>
      </c>
      <c r="AB23" s="3">
        <f>AVERAGE(Q23:V23)</f>
      </c>
      <c r="AC23" s="3">
        <f>AVERAGE(N23:V23)</f>
      </c>
      <c r="AD23" s="4">
        <f>IFERROR((AA23*2)/(AB23+AC23), 0)</f>
      </c>
      <c r="AE23" s="4">
        <f>IFERROR(Z23/SUM(G23:J23), 0)</f>
      </c>
      <c r="AF23" s="4">
        <f>IFERROR(Z23/SUM(G23:J23), 0)</f>
      </c>
      <c r="AG23" s="4">
        <f>IFERROR(V23/J23, 0)</f>
      </c>
    </row>
    <row r="24" spans="4:33" x14ac:dyDescent="0.25">
      <c r="D24" s="2" t="s">
        <v>386</v>
      </c>
      <c r="E24" s="2" t="s">
        <v>387</v>
      </c>
      <c r="F24" s="2" t="s">
        <v>388</v>
      </c>
      <c r="G24" s="3">
        <v>0</v>
      </c>
      <c r="H24" s="3">
        <v>0</v>
      </c>
      <c r="I24" s="3">
        <v>16193263.923999999</v>
      </c>
      <c r="J24" s="3">
        <v>33990395.58999999</v>
      </c>
      <c r="K24" s="3">
        <v>25671582.172500003</v>
      </c>
      <c r="L24" s="3">
        <v>116943784.53</v>
      </c>
      <c r="M24" s="3">
        <v>59328093.5375</v>
      </c>
      <c r="N24" s="3">
        <v>139627300</v>
      </c>
      <c r="O24" s="3">
        <v>87988650</v>
      </c>
      <c r="P24" s="3">
        <v>49602300</v>
      </c>
      <c r="Q24" s="3">
        <v>57123583.96779999</v>
      </c>
      <c r="R24" s="3">
        <v>189372122.03388</v>
      </c>
      <c r="S24" s="3">
        <v>14250000.165</v>
      </c>
      <c r="T24" s="3">
        <v>42606800.405</v>
      </c>
      <c r="U24" s="3">
        <v>178007000.441</v>
      </c>
      <c r="V24" s="3">
        <v>60937198.985599995</v>
      </c>
      <c r="W24" s="4"/>
      <c r="X24" s="4"/>
      <c r="Y24" s="3">
        <f>SUM(G24:R24)</f>
      </c>
      <c r="Z24" s="3">
        <f>SUM(S24:V24)</f>
      </c>
      <c r="AA24" s="3">
        <f>AVERAGE(T24:V24)</f>
      </c>
      <c r="AB24" s="3">
        <f>AVERAGE(Q24:V24)</f>
      </c>
      <c r="AC24" s="3">
        <f>AVERAGE(N24:V24)</f>
      </c>
      <c r="AD24" s="4">
        <f>IFERROR((AA24*2)/(AB24+AC24), 0)</f>
      </c>
      <c r="AE24" s="4">
        <f>IFERROR(Z24/SUM(G24:J24), 0)</f>
      </c>
      <c r="AF24" s="4">
        <f>IFERROR(Z24/SUM(G24:J24), 0)</f>
      </c>
      <c r="AG24" s="4">
        <f>IFERROR(V24/J24, 0)</f>
      </c>
    </row>
    <row r="25" spans="4:33" x14ac:dyDescent="0.25">
      <c r="D25" s="2" t="s">
        <v>389</v>
      </c>
      <c r="E25" s="2" t="s">
        <v>390</v>
      </c>
      <c r="F25" s="2" t="s">
        <v>391</v>
      </c>
      <c r="G25" s="3">
        <v>0</v>
      </c>
      <c r="H25" s="3">
        <v>0</v>
      </c>
      <c r="I25" s="3">
        <v>7862000</v>
      </c>
      <c r="J25" s="3">
        <v>24580000</v>
      </c>
      <c r="K25" s="3">
        <v>0</v>
      </c>
      <c r="L25" s="3">
        <v>12480000</v>
      </c>
      <c r="M25" s="3">
        <v>8490000</v>
      </c>
      <c r="N25" s="3">
        <v>278518351.41</v>
      </c>
      <c r="O25" s="3">
        <v>4232150.0200000005</v>
      </c>
      <c r="P25" s="3">
        <v>19905000</v>
      </c>
      <c r="Q25" s="3">
        <v>3141802.086</v>
      </c>
      <c r="R25" s="3">
        <v>3328000.0072729997</v>
      </c>
      <c r="S25" s="3">
        <v>4130750.0052</v>
      </c>
      <c r="T25" s="3">
        <v>13372200.1913</v>
      </c>
      <c r="U25" s="3">
        <v>10242400.2328</v>
      </c>
      <c r="V25" s="3">
        <v>46376151.486425</v>
      </c>
      <c r="W25" s="4"/>
      <c r="X25" s="4"/>
      <c r="Y25" s="3">
        <f>SUM(G25:R25)</f>
      </c>
      <c r="Z25" s="3">
        <f>SUM(S25:V25)</f>
      </c>
      <c r="AA25" s="3">
        <f>AVERAGE(T25:V25)</f>
      </c>
      <c r="AB25" s="3">
        <f>AVERAGE(Q25:V25)</f>
      </c>
      <c r="AC25" s="3">
        <f>AVERAGE(N25:V25)</f>
      </c>
      <c r="AD25" s="4">
        <f>IFERROR((AA25*2)/(AB25+AC25), 0)</f>
      </c>
      <c r="AE25" s="4">
        <f>IFERROR(Z25/SUM(G25:J25), 0)</f>
      </c>
      <c r="AF25" s="4">
        <f>IFERROR(Z25/SUM(G25:J25), 0)</f>
      </c>
      <c r="AG25" s="4">
        <f>IFERROR(V25/J25, 0)</f>
      </c>
    </row>
    <row r="26" spans="4:33" x14ac:dyDescent="0.25">
      <c r="D26" s="5"/>
      <c r="E26" s="5"/>
      <c r="F26" s="5" t="s">
        <v>372</v>
      </c>
      <c r="G26" s="6">
        <f>SUM(G23:G25)</f>
      </c>
      <c r="H26" s="6">
        <f>SUM(H23:H25)</f>
      </c>
      <c r="I26" s="6">
        <f>SUM(I23:I25)</f>
      </c>
      <c r="J26" s="6">
        <f>SUM(J23:J25)</f>
      </c>
      <c r="K26" s="6">
        <f>SUM(K23:K25)</f>
      </c>
      <c r="L26" s="6">
        <f>SUM(L23:L25)</f>
      </c>
      <c r="M26" s="6">
        <f>SUM(M23:M25)</f>
      </c>
      <c r="N26" s="6">
        <f>SUM(N23:N25)</f>
      </c>
      <c r="O26" s="6">
        <f>SUM(O23:O25)</f>
      </c>
      <c r="P26" s="6">
        <f>SUM(P23:P25)</f>
      </c>
      <c r="Q26" s="6">
        <f>SUM(Q23:Q25)</f>
      </c>
      <c r="R26" s="6">
        <f>SUM(R23:R25)</f>
      </c>
      <c r="S26" s="6">
        <f>SUM(S23:S25)</f>
      </c>
      <c r="T26" s="6">
        <f>SUM(T23:T25)</f>
      </c>
      <c r="U26" s="6">
        <f>SUM(U23:U25)</f>
      </c>
      <c r="V26" s="6">
        <f>SUM(V23:V25)</f>
      </c>
      <c r="W26" s="7"/>
      <c r="X26" s="7"/>
      <c r="Y26" s="6">
        <f>SUM(Y23:Y25)</f>
      </c>
      <c r="Z26" s="6">
        <f>SUM(Z23:Z25)</f>
      </c>
      <c r="AA26" s="6">
        <f>SUM(AA23:AA25)</f>
      </c>
      <c r="AB26" s="6">
        <f>SUM(AB23:AB25)</f>
      </c>
      <c r="AC26" s="6">
        <f>SUM(AC23:AC25)</f>
      </c>
      <c r="AD26" s="7">
        <f>IFERROR((AA26*2)/(AB26+AC26), 0)</f>
      </c>
      <c r="AE26" s="7">
        <f>IFERROR(Z26/SUM(G26:J26), 0)</f>
      </c>
      <c r="AF26" s="7">
        <f>IFERROR(Z26/SUM(G26:J26), 0)</f>
      </c>
      <c r="AG26" s="7">
        <f>IFERROR(V26/J26, 0)</f>
      </c>
    </row>
    <row r="27" ht="14.25" customHeight="1" spans="7:33" x14ac:dyDescent="0.25">
      <c r="G27">
        <v>39</v>
      </c>
      <c r="H27">
        <v>43</v>
      </c>
      <c r="Z27">
        <v>0</v>
      </c>
      <c r="AF27">
        <v>0.6267029972752044</v>
      </c>
      <c r="AG27">
        <v>0</v>
      </c>
    </row>
    <row r="28" ht="24" customHeight="1" spans="1:33" x14ac:dyDescent="0.25">
      <c r="A28" s="1" t="s">
        <v>392</v>
      </c>
      <c r="B28" s="1" t="s">
        <v>393</v>
      </c>
      <c r="C28" s="1" t="s">
        <v>339</v>
      </c>
      <c r="D28" s="1" t="s">
        <v>394</v>
      </c>
      <c r="E28" s="1" t="s">
        <v>395</v>
      </c>
      <c r="F28" s="1" t="s">
        <v>373</v>
      </c>
      <c r="G28" s="1" t="s">
        <v>340</v>
      </c>
      <c r="H28" s="1" t="s">
        <v>341</v>
      </c>
      <c r="I28" s="1" t="s">
        <v>342</v>
      </c>
      <c r="J28" s="1" t="s">
        <v>343</v>
      </c>
      <c r="K28" s="1" t="s">
        <v>344</v>
      </c>
      <c r="L28" s="1" t="s">
        <v>345</v>
      </c>
      <c r="M28" s="1" t="s">
        <v>346</v>
      </c>
      <c r="N28" s="1" t="s">
        <v>347</v>
      </c>
      <c r="O28" s="1" t="s">
        <v>348</v>
      </c>
      <c r="P28" s="1" t="s">
        <v>349</v>
      </c>
      <c r="Q28" s="1" t="s">
        <v>350</v>
      </c>
      <c r="R28" s="1" t="s">
        <v>351</v>
      </c>
      <c r="S28" s="1" t="s">
        <v>352</v>
      </c>
      <c r="T28" s="1" t="s">
        <v>353</v>
      </c>
      <c r="U28" s="1" t="s">
        <v>354</v>
      </c>
      <c r="V28" s="1" t="s">
        <v>355</v>
      </c>
      <c r="W28" s="1"/>
      <c r="X28" s="1"/>
      <c r="Y28" s="1">
        <v>2024</v>
      </c>
      <c r="Z28" s="1">
        <v>2025</v>
      </c>
      <c r="AA28" s="1" t="s">
        <v>356</v>
      </c>
      <c r="AB28" s="1" t="s">
        <v>357</v>
      </c>
      <c r="AC28" s="1" t="s">
        <v>358</v>
      </c>
      <c r="AD28" s="1" t="s">
        <v>359</v>
      </c>
      <c r="AE28" s="1" t="s">
        <v>360</v>
      </c>
      <c r="AF28" s="1" t="s">
        <v>361</v>
      </c>
      <c r="AG28" s="1" t="s">
        <v>362</v>
      </c>
    </row>
    <row r="29" spans="1:33" x14ac:dyDescent="0.25">
      <c r="A29" s="2">
        <v>1</v>
      </c>
      <c r="B29" s="2" t="s">
        <v>2</v>
      </c>
      <c r="C29" s="2" t="s">
        <v>370</v>
      </c>
      <c r="D29" s="2"/>
      <c r="E29" s="2"/>
      <c r="F29" s="2"/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72639219.07</v>
      </c>
      <c r="O29" s="3">
        <v>24885000</v>
      </c>
      <c r="P29" s="3">
        <v>0</v>
      </c>
      <c r="Q29" s="3">
        <v>15920834.32</v>
      </c>
      <c r="R29" s="3">
        <v>26878656.07888</v>
      </c>
      <c r="S29" s="3">
        <v>2492000</v>
      </c>
      <c r="T29" s="3">
        <v>3178000</v>
      </c>
      <c r="U29" s="3">
        <v>0</v>
      </c>
      <c r="V29" s="3">
        <v>0</v>
      </c>
      <c r="W29" s="4"/>
      <c r="X29" s="4"/>
      <c r="Y29" s="3">
        <f>SUM(G29:R29)</f>
      </c>
      <c r="Z29" s="3">
        <f>SUM(S29:V29)</f>
      </c>
      <c r="AA29" s="3">
        <f>AVERAGE(T29:V29)</f>
      </c>
      <c r="AB29" s="3">
        <f>AVERAGE(Q29:V29)</f>
      </c>
      <c r="AC29" s="3">
        <f>AVERAGE(N29:V29)</f>
      </c>
      <c r="AD29" s="4">
        <f>IFERROR((AA29*2)/(AB29+AC29), 0)</f>
      </c>
      <c r="AE29" s="4">
        <f>IFERROR(Z29/SUM(G29:J29), 0)</f>
      </c>
      <c r="AF29" s="4">
        <f>IFERROR(Z29/SUM(G29:J29), 0)</f>
      </c>
      <c r="AG29" s="4">
        <f>IFERROR(V29/J29, 0)</f>
      </c>
    </row>
    <row r="30" spans="1:33" x14ac:dyDescent="0.25">
      <c r="A30" s="2">
        <v>2</v>
      </c>
      <c r="B30" s="2" t="s">
        <v>4</v>
      </c>
      <c r="C30" s="2" t="s">
        <v>363</v>
      </c>
      <c r="D30" s="2"/>
      <c r="E30" s="2"/>
      <c r="F30" s="2"/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19305002.1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4"/>
      <c r="X30" s="4"/>
      <c r="Y30" s="3">
        <f>SUM(G30:R30)</f>
      </c>
      <c r="Z30" s="3">
        <f>SUM(S30:V30)</f>
      </c>
      <c r="AA30" s="3">
        <f>AVERAGE(T30:V30)</f>
      </c>
      <c r="AB30" s="3">
        <f>AVERAGE(Q30:V30)</f>
      </c>
      <c r="AC30" s="3">
        <f>AVERAGE(N30:V30)</f>
      </c>
      <c r="AD30" s="4">
        <f>IFERROR((AA30*2)/(AB30+AC30), 0)</f>
      </c>
      <c r="AE30" s="4">
        <f>IFERROR(Z30/SUM(G30:J30), 0)</f>
      </c>
      <c r="AF30" s="4">
        <f>IFERROR(Z30/SUM(G30:J30), 0)</f>
      </c>
      <c r="AG30" s="4">
        <f>IFERROR(V30/J30, 0)</f>
      </c>
    </row>
    <row r="31" spans="1:33" x14ac:dyDescent="0.25">
      <c r="A31" s="2">
        <v>3</v>
      </c>
      <c r="B31" s="2" t="s">
        <v>6</v>
      </c>
      <c r="C31" s="2" t="s">
        <v>367</v>
      </c>
      <c r="D31" s="2"/>
      <c r="E31" s="2"/>
      <c r="F31" s="2"/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10445000</v>
      </c>
      <c r="V31" s="3">
        <v>0</v>
      </c>
      <c r="W31" s="4"/>
      <c r="X31" s="4"/>
      <c r="Y31" s="3">
        <f>SUM(G31:R31)</f>
      </c>
      <c r="Z31" s="3">
        <f>SUM(S31:V31)</f>
      </c>
      <c r="AA31" s="3">
        <f>AVERAGE(T31:V31)</f>
      </c>
      <c r="AB31" s="3">
        <f>AVERAGE(Q31:V31)</f>
      </c>
      <c r="AC31" s="3">
        <f>AVERAGE(N31:V31)</f>
      </c>
      <c r="AD31" s="4">
        <f>IFERROR((AA31*2)/(AB31+AC31), 0)</f>
      </c>
      <c r="AE31" s="4">
        <f>IFERROR(Z31/SUM(G31:J31), 0)</f>
      </c>
      <c r="AF31" s="4">
        <f>IFERROR(Z31/SUM(G31:J31), 0)</f>
      </c>
      <c r="AG31" s="4">
        <f>IFERROR(V31/J31, 0)</f>
      </c>
    </row>
    <row r="32" spans="1:33" x14ac:dyDescent="0.25">
      <c r="A32" s="2">
        <v>4</v>
      </c>
      <c r="B32" s="2" t="s">
        <v>10</v>
      </c>
      <c r="C32" s="2" t="s">
        <v>363</v>
      </c>
      <c r="D32" s="2"/>
      <c r="E32" s="2"/>
      <c r="F32" s="2"/>
      <c r="G32" s="3">
        <v>9072784</v>
      </c>
      <c r="H32" s="3">
        <v>0</v>
      </c>
      <c r="I32" s="3">
        <v>0</v>
      </c>
      <c r="J32" s="3">
        <v>34515000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4"/>
      <c r="X32" s="4"/>
      <c r="Y32" s="3">
        <f>SUM(G32:R32)</f>
      </c>
      <c r="Z32" s="3">
        <f>SUM(S32:V32)</f>
      </c>
      <c r="AA32" s="3">
        <f>AVERAGE(T32:V32)</f>
      </c>
      <c r="AB32" s="3">
        <f>AVERAGE(Q32:V32)</f>
      </c>
      <c r="AC32" s="3">
        <f>AVERAGE(N32:V32)</f>
      </c>
      <c r="AD32" s="4">
        <f>IFERROR((AA32*2)/(AB32+AC32), 0)</f>
      </c>
      <c r="AE32" s="4">
        <f>IFERROR(Z32/SUM(G32:J32), 0)</f>
      </c>
      <c r="AF32" s="4">
        <f>IFERROR(Z32/SUM(G32:J32), 0)</f>
      </c>
      <c r="AG32" s="4">
        <f>IFERROR(V32/J32, 0)</f>
      </c>
    </row>
    <row r="33" spans="1:33" x14ac:dyDescent="0.25">
      <c r="A33" s="2">
        <v>5</v>
      </c>
      <c r="B33" s="2" t="s">
        <v>12</v>
      </c>
      <c r="C33" s="2" t="s">
        <v>367</v>
      </c>
      <c r="D33" s="2"/>
      <c r="E33" s="2"/>
      <c r="F33" s="2"/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2366000</v>
      </c>
      <c r="M33" s="3">
        <v>1888250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4"/>
      <c r="X33" s="4"/>
      <c r="Y33" s="3">
        <f>SUM(G33:R33)</f>
      </c>
      <c r="Z33" s="3">
        <f>SUM(S33:V33)</f>
      </c>
      <c r="AA33" s="3">
        <f>AVERAGE(T33:V33)</f>
      </c>
      <c r="AB33" s="3">
        <f>AVERAGE(Q33:V33)</f>
      </c>
      <c r="AC33" s="3">
        <f>AVERAGE(N33:V33)</f>
      </c>
      <c r="AD33" s="4">
        <f>IFERROR((AA33*2)/(AB33+AC33), 0)</f>
      </c>
      <c r="AE33" s="4">
        <f>IFERROR(Z33/SUM(G33:J33), 0)</f>
      </c>
      <c r="AF33" s="4">
        <f>IFERROR(Z33/SUM(G33:J33), 0)</f>
      </c>
      <c r="AG33" s="4">
        <f>IFERROR(V33/J33, 0)</f>
      </c>
    </row>
    <row r="34" spans="1:33" x14ac:dyDescent="0.25">
      <c r="A34" s="2">
        <v>6</v>
      </c>
      <c r="B34" s="2" t="s">
        <v>14</v>
      </c>
      <c r="C34" s="2" t="s">
        <v>367</v>
      </c>
      <c r="D34" s="2"/>
      <c r="E34" s="2"/>
      <c r="F34" s="2"/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400000.0000049999</v>
      </c>
      <c r="S34" s="3">
        <v>0</v>
      </c>
      <c r="T34" s="3">
        <v>0</v>
      </c>
      <c r="U34" s="3">
        <v>0</v>
      </c>
      <c r="V34" s="3">
        <v>0</v>
      </c>
      <c r="W34" s="4"/>
      <c r="X34" s="4"/>
      <c r="Y34" s="3">
        <f>SUM(G34:R34)</f>
      </c>
      <c r="Z34" s="3">
        <f>SUM(S34:V34)</f>
      </c>
      <c r="AA34" s="3">
        <f>AVERAGE(T34:V34)</f>
      </c>
      <c r="AB34" s="3">
        <f>AVERAGE(Q34:V34)</f>
      </c>
      <c r="AC34" s="3">
        <f>AVERAGE(N34:V34)</f>
      </c>
      <c r="AD34" s="4">
        <f>IFERROR((AA34*2)/(AB34+AC34), 0)</f>
      </c>
      <c r="AE34" s="4">
        <f>IFERROR(Z34/SUM(G34:J34), 0)</f>
      </c>
      <c r="AF34" s="4">
        <f>IFERROR(Z34/SUM(G34:J34), 0)</f>
      </c>
      <c r="AG34" s="4">
        <f>IFERROR(V34/J34, 0)</f>
      </c>
    </row>
    <row r="35" spans="1:33" x14ac:dyDescent="0.25">
      <c r="A35" s="2">
        <v>7</v>
      </c>
      <c r="B35" s="2" t="s">
        <v>18</v>
      </c>
      <c r="C35" s="2" t="s">
        <v>367</v>
      </c>
      <c r="D35" s="2"/>
      <c r="E35" s="2"/>
      <c r="F35" s="2"/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357500</v>
      </c>
      <c r="U35" s="3">
        <v>0</v>
      </c>
      <c r="V35" s="3">
        <v>0</v>
      </c>
      <c r="W35" s="4"/>
      <c r="X35" s="4"/>
      <c r="Y35" s="3">
        <f>SUM(G35:R35)</f>
      </c>
      <c r="Z35" s="3">
        <f>SUM(S35:V35)</f>
      </c>
      <c r="AA35" s="3">
        <f>AVERAGE(T35:V35)</f>
      </c>
      <c r="AB35" s="3">
        <f>AVERAGE(Q35:V35)</f>
      </c>
      <c r="AC35" s="3">
        <f>AVERAGE(N35:V35)</f>
      </c>
      <c r="AD35" s="4">
        <f>IFERROR((AA35*2)/(AB35+AC35), 0)</f>
      </c>
      <c r="AE35" s="4">
        <f>IFERROR(Z35/SUM(G35:J35), 0)</f>
      </c>
      <c r="AF35" s="4">
        <f>IFERROR(Z35/SUM(G35:J35), 0)</f>
      </c>
      <c r="AG35" s="4">
        <f>IFERROR(V35/J35, 0)</f>
      </c>
    </row>
    <row r="36" spans="1:33" x14ac:dyDescent="0.25">
      <c r="A36" s="2">
        <v>8</v>
      </c>
      <c r="B36" s="2" t="s">
        <v>20</v>
      </c>
      <c r="C36" s="2" t="s">
        <v>370</v>
      </c>
      <c r="D36" s="2"/>
      <c r="E36" s="2"/>
      <c r="F36" s="2"/>
      <c r="G36" s="3">
        <v>1699200</v>
      </c>
      <c r="H36" s="3">
        <v>2548800</v>
      </c>
      <c r="I36" s="3">
        <v>0</v>
      </c>
      <c r="J36" s="3">
        <v>4024797.205</v>
      </c>
      <c r="K36" s="3">
        <v>3427197.62</v>
      </c>
      <c r="L36" s="3">
        <v>0</v>
      </c>
      <c r="M36" s="3">
        <v>0</v>
      </c>
      <c r="N36" s="3">
        <v>0</v>
      </c>
      <c r="O36" s="3">
        <v>0</v>
      </c>
      <c r="P36" s="3">
        <v>4989600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4"/>
      <c r="X36" s="4"/>
      <c r="Y36" s="3">
        <f>SUM(G36:R36)</f>
      </c>
      <c r="Z36" s="3">
        <f>SUM(S36:V36)</f>
      </c>
      <c r="AA36" s="3">
        <f>AVERAGE(T36:V36)</f>
      </c>
      <c r="AB36" s="3">
        <f>AVERAGE(Q36:V36)</f>
      </c>
      <c r="AC36" s="3">
        <f>AVERAGE(N36:V36)</f>
      </c>
      <c r="AD36" s="4">
        <f>IFERROR((AA36*2)/(AB36+AC36), 0)</f>
      </c>
      <c r="AE36" s="4">
        <f>IFERROR(Z36/SUM(G36:J36), 0)</f>
      </c>
      <c r="AF36" s="4">
        <f>IFERROR(Z36/SUM(G36:J36), 0)</f>
      </c>
      <c r="AG36" s="4">
        <f>IFERROR(V36/J36, 0)</f>
      </c>
    </row>
    <row r="37" spans="1:33" x14ac:dyDescent="0.25">
      <c r="A37" s="2">
        <v>9</v>
      </c>
      <c r="B37" s="2" t="s">
        <v>22</v>
      </c>
      <c r="C37" s="2" t="s">
        <v>363</v>
      </c>
      <c r="D37" s="2"/>
      <c r="E37" s="2"/>
      <c r="F37" s="2"/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147630000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4"/>
      <c r="X37" s="4"/>
      <c r="Y37" s="3">
        <f>SUM(G37:R37)</f>
      </c>
      <c r="Z37" s="3">
        <f>SUM(S37:V37)</f>
      </c>
      <c r="AA37" s="3">
        <f>AVERAGE(T37:V37)</f>
      </c>
      <c r="AB37" s="3">
        <f>AVERAGE(Q37:V37)</f>
      </c>
      <c r="AC37" s="3">
        <f>AVERAGE(N37:V37)</f>
      </c>
      <c r="AD37" s="4">
        <f>IFERROR((AA37*2)/(AB37+AC37), 0)</f>
      </c>
      <c r="AE37" s="4">
        <f>IFERROR(Z37/SUM(G37:J37), 0)</f>
      </c>
      <c r="AF37" s="4">
        <f>IFERROR(Z37/SUM(G37:J37), 0)</f>
      </c>
      <c r="AG37" s="4">
        <f>IFERROR(V37/J37, 0)</f>
      </c>
    </row>
    <row r="38" spans="1:33" x14ac:dyDescent="0.25">
      <c r="A38" s="2">
        <v>10</v>
      </c>
      <c r="B38" s="2" t="s">
        <v>24</v>
      </c>
      <c r="C38" s="2" t="s">
        <v>367</v>
      </c>
      <c r="D38" s="2"/>
      <c r="E38" s="2"/>
      <c r="F38" s="2"/>
      <c r="G38" s="3">
        <v>0</v>
      </c>
      <c r="H38" s="3">
        <v>0</v>
      </c>
      <c r="I38" s="3">
        <v>0</v>
      </c>
      <c r="J38" s="3">
        <v>16000004.999999993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6550000</v>
      </c>
      <c r="R38" s="3">
        <v>0</v>
      </c>
      <c r="S38" s="3">
        <v>1335000</v>
      </c>
      <c r="T38" s="3">
        <v>1200000</v>
      </c>
      <c r="U38" s="3">
        <v>0</v>
      </c>
      <c r="V38" s="3">
        <v>0</v>
      </c>
      <c r="W38" s="4"/>
      <c r="X38" s="4"/>
      <c r="Y38" s="3">
        <f>SUM(G38:R38)</f>
      </c>
      <c r="Z38" s="3">
        <f>SUM(S38:V38)</f>
      </c>
      <c r="AA38" s="3">
        <f>AVERAGE(T38:V38)</f>
      </c>
      <c r="AB38" s="3">
        <f>AVERAGE(Q38:V38)</f>
      </c>
      <c r="AC38" s="3">
        <f>AVERAGE(N38:V38)</f>
      </c>
      <c r="AD38" s="4">
        <f>IFERROR((AA38*2)/(AB38+AC38), 0)</f>
      </c>
      <c r="AE38" s="4">
        <f>IFERROR(Z38/SUM(G38:J38), 0)</f>
      </c>
      <c r="AF38" s="4">
        <f>IFERROR(Z38/SUM(G38:J38), 0)</f>
      </c>
      <c r="AG38" s="4">
        <f>IFERROR(V38/J38, 0)</f>
      </c>
    </row>
    <row r="39" spans="1:33" x14ac:dyDescent="0.25">
      <c r="A39" s="2">
        <v>11</v>
      </c>
      <c r="B39" s="2" t="s">
        <v>26</v>
      </c>
      <c r="C39" s="2" t="s">
        <v>366</v>
      </c>
      <c r="D39" s="2"/>
      <c r="E39" s="2"/>
      <c r="F39" s="2"/>
      <c r="G39" s="3">
        <v>0</v>
      </c>
      <c r="H39" s="3">
        <v>0</v>
      </c>
      <c r="I39" s="3">
        <v>2028750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4"/>
      <c r="X39" s="4"/>
      <c r="Y39" s="3">
        <f>SUM(G39:R39)</f>
      </c>
      <c r="Z39" s="3">
        <f>SUM(S39:V39)</f>
      </c>
      <c r="AA39" s="3">
        <f>AVERAGE(T39:V39)</f>
      </c>
      <c r="AB39" s="3">
        <f>AVERAGE(Q39:V39)</f>
      </c>
      <c r="AC39" s="3">
        <f>AVERAGE(N39:V39)</f>
      </c>
      <c r="AD39" s="4">
        <f>IFERROR((AA39*2)/(AB39+AC39), 0)</f>
      </c>
      <c r="AE39" s="4">
        <f>IFERROR(Z39/SUM(G39:J39), 0)</f>
      </c>
      <c r="AF39" s="4">
        <f>IFERROR(Z39/SUM(G39:J39), 0)</f>
      </c>
      <c r="AG39" s="4">
        <f>IFERROR(V39/J39, 0)</f>
      </c>
    </row>
    <row r="40" spans="1:33" x14ac:dyDescent="0.25">
      <c r="A40" s="2">
        <v>12</v>
      </c>
      <c r="B40" s="2" t="s">
        <v>28</v>
      </c>
      <c r="C40" s="2" t="s">
        <v>363</v>
      </c>
      <c r="D40" s="2"/>
      <c r="E40" s="2"/>
      <c r="F40" s="2"/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22189995.200000003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4"/>
      <c r="X40" s="4"/>
      <c r="Y40" s="3">
        <f>SUM(G40:R40)</f>
      </c>
      <c r="Z40" s="3">
        <f>SUM(S40:V40)</f>
      </c>
      <c r="AA40" s="3">
        <f>AVERAGE(T40:V40)</f>
      </c>
      <c r="AB40" s="3">
        <f>AVERAGE(Q40:V40)</f>
      </c>
      <c r="AC40" s="3">
        <f>AVERAGE(N40:V40)</f>
      </c>
      <c r="AD40" s="4">
        <f>IFERROR((AA40*2)/(AB40+AC40), 0)</f>
      </c>
      <c r="AE40" s="4">
        <f>IFERROR(Z40/SUM(G40:J40), 0)</f>
      </c>
      <c r="AF40" s="4">
        <f>IFERROR(Z40/SUM(G40:J40), 0)</f>
      </c>
      <c r="AG40" s="4">
        <f>IFERROR(V40/J40, 0)</f>
      </c>
    </row>
    <row r="41" spans="1:33" x14ac:dyDescent="0.25">
      <c r="A41" s="2">
        <v>13</v>
      </c>
      <c r="B41" s="2" t="s">
        <v>34</v>
      </c>
      <c r="C41" s="2" t="s">
        <v>370</v>
      </c>
      <c r="D41" s="2"/>
      <c r="E41" s="2"/>
      <c r="F41" s="2"/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14141000</v>
      </c>
      <c r="R41" s="3">
        <v>15243750</v>
      </c>
      <c r="S41" s="3">
        <v>9352250</v>
      </c>
      <c r="T41" s="3">
        <v>10627000</v>
      </c>
      <c r="U41" s="3">
        <v>13800000</v>
      </c>
      <c r="V41" s="3">
        <v>12168250</v>
      </c>
      <c r="W41" s="4"/>
      <c r="X41" s="4"/>
      <c r="Y41" s="3">
        <f>SUM(G41:R41)</f>
      </c>
      <c r="Z41" s="3">
        <f>SUM(S41:V41)</f>
      </c>
      <c r="AA41" s="3">
        <f>AVERAGE(T41:V41)</f>
      </c>
      <c r="AB41" s="3">
        <f>AVERAGE(Q41:V41)</f>
      </c>
      <c r="AC41" s="3">
        <f>AVERAGE(N41:V41)</f>
      </c>
      <c r="AD41" s="4">
        <f>IFERROR((AA41*2)/(AB41+AC41), 0)</f>
      </c>
      <c r="AE41" s="4">
        <f>IFERROR(Z41/SUM(G41:J41), 0)</f>
      </c>
      <c r="AF41" s="4">
        <f>IFERROR(Z41/SUM(G41:J41), 0)</f>
      </c>
      <c r="AG41" s="4">
        <f>IFERROR(V41/J41, 0)</f>
      </c>
    </row>
    <row r="42" spans="1:33" x14ac:dyDescent="0.25">
      <c r="A42" s="2">
        <v>14</v>
      </c>
      <c r="B42" s="2" t="s">
        <v>36</v>
      </c>
      <c r="C42" s="2" t="s">
        <v>363</v>
      </c>
      <c r="D42" s="2"/>
      <c r="E42" s="2"/>
      <c r="F42" s="2"/>
      <c r="G42" s="3">
        <v>0</v>
      </c>
      <c r="H42" s="3">
        <v>0</v>
      </c>
      <c r="I42" s="3">
        <v>0</v>
      </c>
      <c r="J42" s="3">
        <v>826000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4"/>
      <c r="X42" s="4"/>
      <c r="Y42" s="3">
        <f>SUM(G42:R42)</f>
      </c>
      <c r="Z42" s="3">
        <f>SUM(S42:V42)</f>
      </c>
      <c r="AA42" s="3">
        <f>AVERAGE(T42:V42)</f>
      </c>
      <c r="AB42" s="3">
        <f>AVERAGE(Q42:V42)</f>
      </c>
      <c r="AC42" s="3">
        <f>AVERAGE(N42:V42)</f>
      </c>
      <c r="AD42" s="4">
        <f>IFERROR((AA42*2)/(AB42+AC42), 0)</f>
      </c>
      <c r="AE42" s="4">
        <f>IFERROR(Z42/SUM(G42:J42), 0)</f>
      </c>
      <c r="AF42" s="4">
        <f>IFERROR(Z42/SUM(G42:J42), 0)</f>
      </c>
      <c r="AG42" s="4">
        <f>IFERROR(V42/J42, 0)</f>
      </c>
    </row>
    <row r="43" spans="1:33" x14ac:dyDescent="0.25">
      <c r="A43" s="2">
        <v>15</v>
      </c>
      <c r="B43" s="2" t="s">
        <v>38</v>
      </c>
      <c r="C43" s="2" t="s">
        <v>367</v>
      </c>
      <c r="D43" s="2"/>
      <c r="E43" s="2"/>
      <c r="F43" s="2"/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6720000.001848</v>
      </c>
      <c r="S43" s="3">
        <v>0</v>
      </c>
      <c r="T43" s="3">
        <v>0</v>
      </c>
      <c r="U43" s="3">
        <v>0</v>
      </c>
      <c r="V43" s="3">
        <v>0</v>
      </c>
      <c r="W43" s="4"/>
      <c r="X43" s="4"/>
      <c r="Y43" s="3">
        <f>SUM(G43:R43)</f>
      </c>
      <c r="Z43" s="3">
        <f>SUM(S43:V43)</f>
      </c>
      <c r="AA43" s="3">
        <f>AVERAGE(T43:V43)</f>
      </c>
      <c r="AB43" s="3">
        <f>AVERAGE(Q43:V43)</f>
      </c>
      <c r="AC43" s="3">
        <f>AVERAGE(N43:V43)</f>
      </c>
      <c r="AD43" s="4">
        <f>IFERROR((AA43*2)/(AB43+AC43), 0)</f>
      </c>
      <c r="AE43" s="4">
        <f>IFERROR(Z43/SUM(G43:J43), 0)</f>
      </c>
      <c r="AF43" s="4">
        <f>IFERROR(Z43/SUM(G43:J43), 0)</f>
      </c>
      <c r="AG43" s="4">
        <f>IFERROR(V43/J43, 0)</f>
      </c>
    </row>
    <row r="44" spans="1:33" x14ac:dyDescent="0.25">
      <c r="A44" s="2">
        <v>16</v>
      </c>
      <c r="B44" s="2" t="s">
        <v>40</v>
      </c>
      <c r="C44" s="2" t="s">
        <v>369</v>
      </c>
      <c r="D44" s="2"/>
      <c r="E44" s="2"/>
      <c r="F44" s="2"/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25848000</v>
      </c>
      <c r="P44" s="3">
        <v>1980000</v>
      </c>
      <c r="Q44" s="3">
        <v>4554000</v>
      </c>
      <c r="R44" s="3">
        <v>23540400</v>
      </c>
      <c r="S44" s="3">
        <v>0</v>
      </c>
      <c r="T44" s="3">
        <v>0</v>
      </c>
      <c r="U44" s="3">
        <v>0</v>
      </c>
      <c r="V44" s="3">
        <v>0</v>
      </c>
      <c r="W44" s="4"/>
      <c r="X44" s="4"/>
      <c r="Y44" s="3">
        <f>SUM(G44:R44)</f>
      </c>
      <c r="Z44" s="3">
        <f>SUM(S44:V44)</f>
      </c>
      <c r="AA44" s="3">
        <f>AVERAGE(T44:V44)</f>
      </c>
      <c r="AB44" s="3">
        <f>AVERAGE(Q44:V44)</f>
      </c>
      <c r="AC44" s="3">
        <f>AVERAGE(N44:V44)</f>
      </c>
      <c r="AD44" s="4">
        <f>IFERROR((AA44*2)/(AB44+AC44), 0)</f>
      </c>
      <c r="AE44" s="4">
        <f>IFERROR(Z44/SUM(G44:J44), 0)</f>
      </c>
      <c r="AF44" s="4">
        <f>IFERROR(Z44/SUM(G44:J44), 0)</f>
      </c>
      <c r="AG44" s="4">
        <f>IFERROR(V44/J44, 0)</f>
      </c>
    </row>
    <row r="45" spans="1:33" x14ac:dyDescent="0.25">
      <c r="A45" s="2">
        <v>17</v>
      </c>
      <c r="B45" s="2" t="s">
        <v>42</v>
      </c>
      <c r="C45" s="2" t="s">
        <v>367</v>
      </c>
      <c r="D45" s="2"/>
      <c r="E45" s="2"/>
      <c r="F45" s="2"/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578500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4"/>
      <c r="X45" s="4"/>
      <c r="Y45" s="3">
        <f>SUM(G45:R45)</f>
      </c>
      <c r="Z45" s="3">
        <f>SUM(S45:V45)</f>
      </c>
      <c r="AA45" s="3">
        <f>AVERAGE(T45:V45)</f>
      </c>
      <c r="AB45" s="3">
        <f>AVERAGE(Q45:V45)</f>
      </c>
      <c r="AC45" s="3">
        <f>AVERAGE(N45:V45)</f>
      </c>
      <c r="AD45" s="4">
        <f>IFERROR((AA45*2)/(AB45+AC45), 0)</f>
      </c>
      <c r="AE45" s="4">
        <f>IFERROR(Z45/SUM(G45:J45), 0)</f>
      </c>
      <c r="AF45" s="4">
        <f>IFERROR(Z45/SUM(G45:J45), 0)</f>
      </c>
      <c r="AG45" s="4">
        <f>IFERROR(V45/J45, 0)</f>
      </c>
    </row>
    <row r="46" spans="1:33" x14ac:dyDescent="0.25">
      <c r="A46" s="2">
        <v>18</v>
      </c>
      <c r="B46" s="2" t="s">
        <v>44</v>
      </c>
      <c r="C46" s="2" t="s">
        <v>367</v>
      </c>
      <c r="D46" s="2"/>
      <c r="E46" s="2"/>
      <c r="F46" s="2"/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474000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4"/>
      <c r="X46" s="4"/>
      <c r="Y46" s="3">
        <f>SUM(G46:R46)</f>
      </c>
      <c r="Z46" s="3">
        <f>SUM(S46:V46)</f>
      </c>
      <c r="AA46" s="3">
        <f>AVERAGE(T46:V46)</f>
      </c>
      <c r="AB46" s="3">
        <f>AVERAGE(Q46:V46)</f>
      </c>
      <c r="AC46" s="3">
        <f>AVERAGE(N46:V46)</f>
      </c>
      <c r="AD46" s="4">
        <f>IFERROR((AA46*2)/(AB46+AC46), 0)</f>
      </c>
      <c r="AE46" s="4">
        <f>IFERROR(Z46/SUM(G46:J46), 0)</f>
      </c>
      <c r="AF46" s="4">
        <f>IFERROR(Z46/SUM(G46:J46), 0)</f>
      </c>
      <c r="AG46" s="4">
        <f>IFERROR(V46/J46, 0)</f>
      </c>
    </row>
    <row r="47" spans="1:33" x14ac:dyDescent="0.25">
      <c r="A47" s="2">
        <v>19</v>
      </c>
      <c r="B47" s="2" t="s">
        <v>46</v>
      </c>
      <c r="C47" s="2" t="s">
        <v>367</v>
      </c>
      <c r="D47" s="2"/>
      <c r="E47" s="2"/>
      <c r="F47" s="2"/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2251500.0029999996</v>
      </c>
      <c r="W47" s="4"/>
      <c r="X47" s="4"/>
      <c r="Y47" s="3">
        <f>SUM(G47:R47)</f>
      </c>
      <c r="Z47" s="3">
        <f>SUM(S47:V47)</f>
      </c>
      <c r="AA47" s="3">
        <f>AVERAGE(T47:V47)</f>
      </c>
      <c r="AB47" s="3">
        <f>AVERAGE(Q47:V47)</f>
      </c>
      <c r="AC47" s="3">
        <f>AVERAGE(N47:V47)</f>
      </c>
      <c r="AD47" s="4">
        <f>IFERROR((AA47*2)/(AB47+AC47), 0)</f>
      </c>
      <c r="AE47" s="4">
        <f>IFERROR(Z47/SUM(G47:J47), 0)</f>
      </c>
      <c r="AF47" s="4">
        <f>IFERROR(Z47/SUM(G47:J47), 0)</f>
      </c>
      <c r="AG47" s="4">
        <f>IFERROR(V47/J47, 0)</f>
      </c>
    </row>
    <row r="48" spans="1:33" x14ac:dyDescent="0.25">
      <c r="A48" s="2">
        <v>20</v>
      </c>
      <c r="B48" s="2" t="s">
        <v>48</v>
      </c>
      <c r="C48" s="2" t="s">
        <v>367</v>
      </c>
      <c r="D48" s="2"/>
      <c r="E48" s="2"/>
      <c r="F48" s="2"/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4431250.1559999995</v>
      </c>
      <c r="U48" s="3">
        <v>2962500</v>
      </c>
      <c r="V48" s="3">
        <v>0</v>
      </c>
      <c r="W48" s="4"/>
      <c r="X48" s="4"/>
      <c r="Y48" s="3">
        <f>SUM(G48:R48)</f>
      </c>
      <c r="Z48" s="3">
        <f>SUM(S48:V48)</f>
      </c>
      <c r="AA48" s="3">
        <f>AVERAGE(T48:V48)</f>
      </c>
      <c r="AB48" s="3">
        <f>AVERAGE(Q48:V48)</f>
      </c>
      <c r="AC48" s="3">
        <f>AVERAGE(N48:V48)</f>
      </c>
      <c r="AD48" s="4">
        <f>IFERROR((AA48*2)/(AB48+AC48), 0)</f>
      </c>
      <c r="AE48" s="4">
        <f>IFERROR(Z48/SUM(G48:J48), 0)</f>
      </c>
      <c r="AF48" s="4">
        <f>IFERROR(Z48/SUM(G48:J48), 0)</f>
      </c>
      <c r="AG48" s="4">
        <f>IFERROR(V48/J48, 0)</f>
      </c>
    </row>
    <row r="49" spans="1:33" x14ac:dyDescent="0.25">
      <c r="A49" s="2">
        <v>21</v>
      </c>
      <c r="B49" s="2" t="s">
        <v>52</v>
      </c>
      <c r="C49" s="2" t="s">
        <v>396</v>
      </c>
      <c r="D49" s="2"/>
      <c r="E49" s="2"/>
      <c r="F49" s="2"/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24780000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4"/>
      <c r="X49" s="4"/>
      <c r="Y49" s="3">
        <f>SUM(G49:R49)</f>
      </c>
      <c r="Z49" s="3">
        <f>SUM(S49:V49)</f>
      </c>
      <c r="AA49" s="3">
        <f>AVERAGE(T49:V49)</f>
      </c>
      <c r="AB49" s="3">
        <f>AVERAGE(Q49:V49)</f>
      </c>
      <c r="AC49" s="3">
        <f>AVERAGE(N49:V49)</f>
      </c>
      <c r="AD49" s="4">
        <f>IFERROR((AA49*2)/(AB49+AC49), 0)</f>
      </c>
      <c r="AE49" s="4">
        <f>IFERROR(Z49/SUM(G49:J49), 0)</f>
      </c>
      <c r="AF49" s="4">
        <f>IFERROR(Z49/SUM(G49:J49), 0)</f>
      </c>
      <c r="AG49" s="4">
        <f>IFERROR(V49/J49, 0)</f>
      </c>
    </row>
    <row r="50" spans="1:33" x14ac:dyDescent="0.25">
      <c r="A50" s="2">
        <v>22</v>
      </c>
      <c r="B50" s="2" t="s">
        <v>58</v>
      </c>
      <c r="C50" s="2" t="s">
        <v>363</v>
      </c>
      <c r="D50" s="2"/>
      <c r="E50" s="2"/>
      <c r="F50" s="2"/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103680000</v>
      </c>
      <c r="V50" s="3">
        <v>0</v>
      </c>
      <c r="W50" s="4"/>
      <c r="X50" s="4"/>
      <c r="Y50" s="3">
        <f>SUM(G50:R50)</f>
      </c>
      <c r="Z50" s="3">
        <f>SUM(S50:V50)</f>
      </c>
      <c r="AA50" s="3">
        <f>AVERAGE(T50:V50)</f>
      </c>
      <c r="AB50" s="3">
        <f>AVERAGE(Q50:V50)</f>
      </c>
      <c r="AC50" s="3">
        <f>AVERAGE(N50:V50)</f>
      </c>
      <c r="AD50" s="4">
        <f>IFERROR((AA50*2)/(AB50+AC50), 0)</f>
      </c>
      <c r="AE50" s="4">
        <f>IFERROR(Z50/SUM(G50:J50), 0)</f>
      </c>
      <c r="AF50" s="4">
        <f>IFERROR(Z50/SUM(G50:J50), 0)</f>
      </c>
      <c r="AG50" s="4">
        <f>IFERROR(V50/J50, 0)</f>
      </c>
    </row>
    <row r="51" spans="1:33" x14ac:dyDescent="0.25">
      <c r="A51" s="2">
        <v>23</v>
      </c>
      <c r="B51" s="2" t="s">
        <v>64</v>
      </c>
      <c r="C51" s="2" t="s">
        <v>369</v>
      </c>
      <c r="D51" s="2"/>
      <c r="E51" s="2"/>
      <c r="F51" s="2"/>
      <c r="G51" s="3">
        <v>20296000</v>
      </c>
      <c r="H51" s="3">
        <v>0</v>
      </c>
      <c r="I51" s="3">
        <v>4366000</v>
      </c>
      <c r="J51" s="3">
        <v>0</v>
      </c>
      <c r="K51" s="3">
        <v>0</v>
      </c>
      <c r="L51" s="3">
        <v>0</v>
      </c>
      <c r="M51" s="3">
        <v>2360000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4"/>
      <c r="X51" s="4"/>
      <c r="Y51" s="3">
        <f>SUM(G51:R51)</f>
      </c>
      <c r="Z51" s="3">
        <f>SUM(S51:V51)</f>
      </c>
      <c r="AA51" s="3">
        <f>AVERAGE(T51:V51)</f>
      </c>
      <c r="AB51" s="3">
        <f>AVERAGE(Q51:V51)</f>
      </c>
      <c r="AC51" s="3">
        <f>AVERAGE(N51:V51)</f>
      </c>
      <c r="AD51" s="4">
        <f>IFERROR((AA51*2)/(AB51+AC51), 0)</f>
      </c>
      <c r="AE51" s="4">
        <f>IFERROR(Z51/SUM(G51:J51), 0)</f>
      </c>
      <c r="AF51" s="4">
        <f>IFERROR(Z51/SUM(G51:J51), 0)</f>
      </c>
      <c r="AG51" s="4">
        <f>IFERROR(V51/J51, 0)</f>
      </c>
    </row>
    <row r="52" spans="1:33" x14ac:dyDescent="0.25">
      <c r="A52" s="2">
        <v>24</v>
      </c>
      <c r="B52" s="2" t="s">
        <v>66</v>
      </c>
      <c r="C52" s="2" t="s">
        <v>365</v>
      </c>
      <c r="D52" s="2"/>
      <c r="E52" s="2"/>
      <c r="F52" s="2"/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897000</v>
      </c>
      <c r="N52" s="3">
        <v>341250</v>
      </c>
      <c r="O52" s="3">
        <v>4030000</v>
      </c>
      <c r="P52" s="3">
        <v>2824250</v>
      </c>
      <c r="Q52" s="3">
        <v>623000</v>
      </c>
      <c r="R52" s="3">
        <v>0</v>
      </c>
      <c r="S52" s="3">
        <v>0</v>
      </c>
      <c r="T52" s="3">
        <v>0</v>
      </c>
      <c r="U52" s="3">
        <v>0</v>
      </c>
      <c r="V52" s="3">
        <v>553000</v>
      </c>
      <c r="W52" s="4"/>
      <c r="X52" s="4"/>
      <c r="Y52" s="3">
        <f>SUM(G52:R52)</f>
      </c>
      <c r="Z52" s="3">
        <f>SUM(S52:V52)</f>
      </c>
      <c r="AA52" s="3">
        <f>AVERAGE(T52:V52)</f>
      </c>
      <c r="AB52" s="3">
        <f>AVERAGE(Q52:V52)</f>
      </c>
      <c r="AC52" s="3">
        <f>AVERAGE(N52:V52)</f>
      </c>
      <c r="AD52" s="4">
        <f>IFERROR((AA52*2)/(AB52+AC52), 0)</f>
      </c>
      <c r="AE52" s="4">
        <f>IFERROR(Z52/SUM(G52:J52), 0)</f>
      </c>
      <c r="AF52" s="4">
        <f>IFERROR(Z52/SUM(G52:J52), 0)</f>
      </c>
      <c r="AG52" s="4">
        <f>IFERROR(V52/J52, 0)</f>
      </c>
    </row>
    <row r="53" spans="1:33" x14ac:dyDescent="0.25">
      <c r="A53" s="2">
        <v>25</v>
      </c>
      <c r="B53" s="2" t="s">
        <v>68</v>
      </c>
      <c r="C53" s="2" t="s">
        <v>363</v>
      </c>
      <c r="D53" s="2"/>
      <c r="E53" s="2"/>
      <c r="F53" s="2"/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67795000</v>
      </c>
      <c r="M53" s="3">
        <v>0</v>
      </c>
      <c r="N53" s="3">
        <v>79872000</v>
      </c>
      <c r="O53" s="3">
        <v>38463750</v>
      </c>
      <c r="P53" s="3">
        <v>0</v>
      </c>
      <c r="Q53" s="3">
        <v>0</v>
      </c>
      <c r="R53" s="3">
        <v>140432500</v>
      </c>
      <c r="S53" s="3">
        <v>0</v>
      </c>
      <c r="T53" s="3">
        <v>0</v>
      </c>
      <c r="U53" s="3">
        <v>0</v>
      </c>
      <c r="V53" s="3">
        <v>0</v>
      </c>
      <c r="W53" s="4"/>
      <c r="X53" s="4"/>
      <c r="Y53" s="3">
        <f>SUM(G53:R53)</f>
      </c>
      <c r="Z53" s="3">
        <f>SUM(S53:V53)</f>
      </c>
      <c r="AA53" s="3">
        <f>AVERAGE(T53:V53)</f>
      </c>
      <c r="AB53" s="3">
        <f>AVERAGE(Q53:V53)</f>
      </c>
      <c r="AC53" s="3">
        <f>AVERAGE(N53:V53)</f>
      </c>
      <c r="AD53" s="4">
        <f>IFERROR((AA53*2)/(AB53+AC53), 0)</f>
      </c>
      <c r="AE53" s="4">
        <f>IFERROR(Z53/SUM(G53:J53), 0)</f>
      </c>
      <c r="AF53" s="4">
        <f>IFERROR(Z53/SUM(G53:J53), 0)</f>
      </c>
      <c r="AG53" s="4">
        <f>IFERROR(V53/J53, 0)</f>
      </c>
    </row>
    <row r="54" spans="1:33" x14ac:dyDescent="0.25">
      <c r="A54" s="2">
        <v>26</v>
      </c>
      <c r="B54" s="2" t="s">
        <v>70</v>
      </c>
      <c r="C54" s="2" t="s">
        <v>363</v>
      </c>
      <c r="D54" s="2"/>
      <c r="E54" s="2"/>
      <c r="F54" s="2"/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503750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4"/>
      <c r="X54" s="4"/>
      <c r="Y54" s="3">
        <f>SUM(G54:R54)</f>
      </c>
      <c r="Z54" s="3">
        <f>SUM(S54:V54)</f>
      </c>
      <c r="AA54" s="3">
        <f>AVERAGE(T54:V54)</f>
      </c>
      <c r="AB54" s="3">
        <f>AVERAGE(Q54:V54)</f>
      </c>
      <c r="AC54" s="3">
        <f>AVERAGE(N54:V54)</f>
      </c>
      <c r="AD54" s="4">
        <f>IFERROR((AA54*2)/(AB54+AC54), 0)</f>
      </c>
      <c r="AE54" s="4">
        <f>IFERROR(Z54/SUM(G54:J54), 0)</f>
      </c>
      <c r="AF54" s="4">
        <f>IFERROR(Z54/SUM(G54:J54), 0)</f>
      </c>
      <c r="AG54" s="4">
        <f>IFERROR(V54/J54, 0)</f>
      </c>
    </row>
    <row r="55" spans="1:33" x14ac:dyDescent="0.25">
      <c r="A55" s="2">
        <v>27</v>
      </c>
      <c r="B55" s="2" t="s">
        <v>72</v>
      </c>
      <c r="C55" s="2" t="s">
        <v>364</v>
      </c>
      <c r="D55" s="2"/>
      <c r="E55" s="2"/>
      <c r="F55" s="2"/>
      <c r="G55" s="3">
        <v>82600000</v>
      </c>
      <c r="H55" s="3">
        <v>21500000.02</v>
      </c>
      <c r="I55" s="3">
        <v>285257795.84000003</v>
      </c>
      <c r="J55" s="3">
        <v>5400010.125</v>
      </c>
      <c r="K55" s="3">
        <v>0</v>
      </c>
      <c r="L55" s="3">
        <v>906472000</v>
      </c>
      <c r="M55" s="3">
        <v>36458500</v>
      </c>
      <c r="N55" s="3">
        <v>13750000</v>
      </c>
      <c r="O55" s="3">
        <v>0</v>
      </c>
      <c r="P55" s="3">
        <v>52749984.5</v>
      </c>
      <c r="Q55" s="3">
        <v>489343000</v>
      </c>
      <c r="R55" s="3">
        <v>-123905599.91262001</v>
      </c>
      <c r="S55" s="3">
        <v>5250000</v>
      </c>
      <c r="T55" s="3">
        <v>0</v>
      </c>
      <c r="U55" s="3">
        <v>0</v>
      </c>
      <c r="V55" s="3">
        <v>270000000.05999994</v>
      </c>
      <c r="W55" s="4"/>
      <c r="X55" s="4"/>
      <c r="Y55" s="3">
        <f>SUM(G55:R55)</f>
      </c>
      <c r="Z55" s="3">
        <f>SUM(S55:V55)</f>
      </c>
      <c r="AA55" s="3">
        <f>AVERAGE(T55:V55)</f>
      </c>
      <c r="AB55" s="3">
        <f>AVERAGE(Q55:V55)</f>
      </c>
      <c r="AC55" s="3">
        <f>AVERAGE(N55:V55)</f>
      </c>
      <c r="AD55" s="4">
        <f>IFERROR((AA55*2)/(AB55+AC55), 0)</f>
      </c>
      <c r="AE55" s="4">
        <f>IFERROR(Z55/SUM(G55:J55), 0)</f>
      </c>
      <c r="AF55" s="4">
        <f>IFERROR(Z55/SUM(G55:J55), 0)</f>
      </c>
      <c r="AG55" s="4">
        <f>IFERROR(V55/J55, 0)</f>
      </c>
    </row>
    <row r="56" spans="1:33" x14ac:dyDescent="0.25">
      <c r="A56" s="2">
        <v>28</v>
      </c>
      <c r="B56" s="2" t="s">
        <v>74</v>
      </c>
      <c r="C56" s="2" t="s">
        <v>369</v>
      </c>
      <c r="D56" s="2"/>
      <c r="E56" s="2"/>
      <c r="F56" s="2"/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3047500</v>
      </c>
      <c r="N56" s="3">
        <v>5892500</v>
      </c>
      <c r="O56" s="3">
        <v>8327500</v>
      </c>
      <c r="P56" s="3">
        <v>8065000</v>
      </c>
      <c r="Q56" s="3">
        <v>0</v>
      </c>
      <c r="R56" s="3">
        <v>6182500</v>
      </c>
      <c r="S56" s="3">
        <v>7015000</v>
      </c>
      <c r="T56" s="3">
        <v>6250000</v>
      </c>
      <c r="U56" s="3">
        <v>9453000</v>
      </c>
      <c r="V56" s="3">
        <v>10439700</v>
      </c>
      <c r="W56" s="4"/>
      <c r="X56" s="4"/>
      <c r="Y56" s="3">
        <f>SUM(G56:R56)</f>
      </c>
      <c r="Z56" s="3">
        <f>SUM(S56:V56)</f>
      </c>
      <c r="AA56" s="3">
        <f>AVERAGE(T56:V56)</f>
      </c>
      <c r="AB56" s="3">
        <f>AVERAGE(Q56:V56)</f>
      </c>
      <c r="AC56" s="3">
        <f>AVERAGE(N56:V56)</f>
      </c>
      <c r="AD56" s="4">
        <f>IFERROR((AA56*2)/(AB56+AC56), 0)</f>
      </c>
      <c r="AE56" s="4">
        <f>IFERROR(Z56/SUM(G56:J56), 0)</f>
      </c>
      <c r="AF56" s="4">
        <f>IFERROR(Z56/SUM(G56:J56), 0)</f>
      </c>
      <c r="AG56" s="4">
        <f>IFERROR(V56/J56, 0)</f>
      </c>
    </row>
    <row r="57" spans="1:33" x14ac:dyDescent="0.25">
      <c r="A57" s="2">
        <v>29</v>
      </c>
      <c r="B57" s="2" t="s">
        <v>76</v>
      </c>
      <c r="C57" s="2" t="s">
        <v>369</v>
      </c>
      <c r="D57" s="2"/>
      <c r="E57" s="2"/>
      <c r="F57" s="2"/>
      <c r="G57" s="3">
        <v>0</v>
      </c>
      <c r="H57" s="3">
        <v>0</v>
      </c>
      <c r="I57" s="3">
        <v>8260000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4"/>
      <c r="X57" s="4"/>
      <c r="Y57" s="3">
        <f>SUM(G57:R57)</f>
      </c>
      <c r="Z57" s="3">
        <f>SUM(S57:V57)</f>
      </c>
      <c r="AA57" s="3">
        <f>AVERAGE(T57:V57)</f>
      </c>
      <c r="AB57" s="3">
        <f>AVERAGE(Q57:V57)</f>
      </c>
      <c r="AC57" s="3">
        <f>AVERAGE(N57:V57)</f>
      </c>
      <c r="AD57" s="4">
        <f>IFERROR((AA57*2)/(AB57+AC57), 0)</f>
      </c>
      <c r="AE57" s="4">
        <f>IFERROR(Z57/SUM(G57:J57), 0)</f>
      </c>
      <c r="AF57" s="4">
        <f>IFERROR(Z57/SUM(G57:J57), 0)</f>
      </c>
      <c r="AG57" s="4">
        <f>IFERROR(V57/J57, 0)</f>
      </c>
    </row>
    <row r="58" spans="1:33" x14ac:dyDescent="0.25">
      <c r="A58" s="2">
        <v>30</v>
      </c>
      <c r="B58" s="2" t="s">
        <v>84</v>
      </c>
      <c r="C58" s="2" t="s">
        <v>369</v>
      </c>
      <c r="D58" s="2"/>
      <c r="E58" s="2"/>
      <c r="F58" s="2"/>
      <c r="G58" s="3">
        <v>5310000</v>
      </c>
      <c r="H58" s="3">
        <v>5959000</v>
      </c>
      <c r="I58" s="3">
        <v>7143500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4"/>
      <c r="X58" s="4"/>
      <c r="Y58" s="3">
        <f>SUM(G58:R58)</f>
      </c>
      <c r="Z58" s="3">
        <f>SUM(S58:V58)</f>
      </c>
      <c r="AA58" s="3">
        <f>AVERAGE(T58:V58)</f>
      </c>
      <c r="AB58" s="3">
        <f>AVERAGE(Q58:V58)</f>
      </c>
      <c r="AC58" s="3">
        <f>AVERAGE(N58:V58)</f>
      </c>
      <c r="AD58" s="4">
        <f>IFERROR((AA58*2)/(AB58+AC58), 0)</f>
      </c>
      <c r="AE58" s="4">
        <f>IFERROR(Z58/SUM(G58:J58), 0)</f>
      </c>
      <c r="AF58" s="4">
        <f>IFERROR(Z58/SUM(G58:J58), 0)</f>
      </c>
      <c r="AG58" s="4">
        <f>IFERROR(V58/J58, 0)</f>
      </c>
    </row>
    <row r="59" spans="1:33" x14ac:dyDescent="0.25">
      <c r="A59" s="2">
        <v>31</v>
      </c>
      <c r="B59" s="2" t="s">
        <v>86</v>
      </c>
      <c r="C59" s="2" t="s">
        <v>369</v>
      </c>
      <c r="D59" s="2"/>
      <c r="E59" s="2"/>
      <c r="F59" s="2"/>
      <c r="G59" s="3">
        <v>0</v>
      </c>
      <c r="H59" s="3">
        <v>0</v>
      </c>
      <c r="I59" s="3">
        <v>0</v>
      </c>
      <c r="J59" s="3">
        <v>0</v>
      </c>
      <c r="K59" s="3">
        <v>20160000</v>
      </c>
      <c r="L59" s="3">
        <v>0</v>
      </c>
      <c r="M59" s="3">
        <v>0</v>
      </c>
      <c r="N59" s="3">
        <v>12000000</v>
      </c>
      <c r="O59" s="3">
        <v>0</v>
      </c>
      <c r="P59" s="3">
        <v>11462500</v>
      </c>
      <c r="Q59" s="3">
        <v>12360000</v>
      </c>
      <c r="R59" s="3">
        <v>8437000</v>
      </c>
      <c r="S59" s="3">
        <v>7775000</v>
      </c>
      <c r="T59" s="3">
        <v>12200000</v>
      </c>
      <c r="U59" s="3">
        <v>25462500</v>
      </c>
      <c r="V59" s="3">
        <v>0</v>
      </c>
      <c r="W59" s="4"/>
      <c r="X59" s="4"/>
      <c r="Y59" s="3">
        <f>SUM(G59:R59)</f>
      </c>
      <c r="Z59" s="3">
        <f>SUM(S59:V59)</f>
      </c>
      <c r="AA59" s="3">
        <f>AVERAGE(T59:V59)</f>
      </c>
      <c r="AB59" s="3">
        <f>AVERAGE(Q59:V59)</f>
      </c>
      <c r="AC59" s="3">
        <f>AVERAGE(N59:V59)</f>
      </c>
      <c r="AD59" s="4">
        <f>IFERROR((AA59*2)/(AB59+AC59), 0)</f>
      </c>
      <c r="AE59" s="4">
        <f>IFERROR(Z59/SUM(G59:J59), 0)</f>
      </c>
      <c r="AF59" s="4">
        <f>IFERROR(Z59/SUM(G59:J59), 0)</f>
      </c>
      <c r="AG59" s="4">
        <f>IFERROR(V59/J59, 0)</f>
      </c>
    </row>
    <row r="60" spans="1:33" x14ac:dyDescent="0.25">
      <c r="A60" s="2">
        <v>32</v>
      </c>
      <c r="B60" s="2" t="s">
        <v>88</v>
      </c>
      <c r="C60" s="2" t="s">
        <v>367</v>
      </c>
      <c r="D60" s="2"/>
      <c r="E60" s="2"/>
      <c r="F60" s="2"/>
      <c r="G60" s="3">
        <v>0</v>
      </c>
      <c r="H60" s="3">
        <v>5900000</v>
      </c>
      <c r="I60" s="3">
        <v>8992500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4"/>
      <c r="X60" s="4"/>
      <c r="Y60" s="3">
        <f>SUM(G60:R60)</f>
      </c>
      <c r="Z60" s="3">
        <f>SUM(S60:V60)</f>
      </c>
      <c r="AA60" s="3">
        <f>AVERAGE(T60:V60)</f>
      </c>
      <c r="AB60" s="3">
        <f>AVERAGE(Q60:V60)</f>
      </c>
      <c r="AC60" s="3">
        <f>AVERAGE(N60:V60)</f>
      </c>
      <c r="AD60" s="4">
        <f>IFERROR((AA60*2)/(AB60+AC60), 0)</f>
      </c>
      <c r="AE60" s="4">
        <f>IFERROR(Z60/SUM(G60:J60), 0)</f>
      </c>
      <c r="AF60" s="4">
        <f>IFERROR(Z60/SUM(G60:J60), 0)</f>
      </c>
      <c r="AG60" s="4">
        <f>IFERROR(V60/J60, 0)</f>
      </c>
    </row>
    <row r="61" spans="1:33" x14ac:dyDescent="0.25">
      <c r="A61" s="2">
        <v>33</v>
      </c>
      <c r="B61" s="2" t="s">
        <v>90</v>
      </c>
      <c r="C61" s="2" t="s">
        <v>365</v>
      </c>
      <c r="D61" s="2"/>
      <c r="E61" s="2"/>
      <c r="F61" s="2"/>
      <c r="G61" s="3">
        <v>2655000</v>
      </c>
      <c r="H61" s="3">
        <v>45312000</v>
      </c>
      <c r="I61" s="3">
        <v>0</v>
      </c>
      <c r="J61" s="3">
        <v>0</v>
      </c>
      <c r="K61" s="3">
        <v>0</v>
      </c>
      <c r="L61" s="3">
        <v>38940000</v>
      </c>
      <c r="M61" s="3">
        <v>0</v>
      </c>
      <c r="N61" s="3">
        <v>0</v>
      </c>
      <c r="O61" s="3">
        <v>14160000</v>
      </c>
      <c r="P61" s="3">
        <v>0</v>
      </c>
      <c r="Q61" s="3">
        <v>0</v>
      </c>
      <c r="R61" s="3">
        <v>35400000</v>
      </c>
      <c r="S61" s="3">
        <v>0</v>
      </c>
      <c r="T61" s="3">
        <v>31080000</v>
      </c>
      <c r="U61" s="3">
        <v>0</v>
      </c>
      <c r="V61" s="3">
        <v>0</v>
      </c>
      <c r="W61" s="4"/>
      <c r="X61" s="4"/>
      <c r="Y61" s="3">
        <f>SUM(G61:R61)</f>
      </c>
      <c r="Z61" s="3">
        <f>SUM(S61:V61)</f>
      </c>
      <c r="AA61" s="3">
        <f>AVERAGE(T61:V61)</f>
      </c>
      <c r="AB61" s="3">
        <f>AVERAGE(Q61:V61)</f>
      </c>
      <c r="AC61" s="3">
        <f>AVERAGE(N61:V61)</f>
      </c>
      <c r="AD61" s="4">
        <f>IFERROR((AA61*2)/(AB61+AC61), 0)</f>
      </c>
      <c r="AE61" s="4">
        <f>IFERROR(Z61/SUM(G61:J61), 0)</f>
      </c>
      <c r="AF61" s="4">
        <f>IFERROR(Z61/SUM(G61:J61), 0)</f>
      </c>
      <c r="AG61" s="4">
        <f>IFERROR(V61/J61, 0)</f>
      </c>
    </row>
    <row r="62" spans="1:33" x14ac:dyDescent="0.25">
      <c r="A62" s="2">
        <v>34</v>
      </c>
      <c r="B62" s="2" t="s">
        <v>92</v>
      </c>
      <c r="C62" s="2" t="s">
        <v>365</v>
      </c>
      <c r="D62" s="2"/>
      <c r="E62" s="2"/>
      <c r="F62" s="2"/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43271700</v>
      </c>
      <c r="M62" s="3">
        <v>0</v>
      </c>
      <c r="N62" s="3">
        <v>0</v>
      </c>
      <c r="O62" s="3">
        <v>0</v>
      </c>
      <c r="P62" s="3">
        <v>0</v>
      </c>
      <c r="Q62" s="3">
        <v>-3693150.352</v>
      </c>
      <c r="R62" s="3">
        <v>0</v>
      </c>
      <c r="S62" s="3">
        <v>0</v>
      </c>
      <c r="T62" s="3">
        <v>0</v>
      </c>
      <c r="U62" s="3">
        <v>9300000</v>
      </c>
      <c r="V62" s="3">
        <v>0</v>
      </c>
      <c r="W62" s="4"/>
      <c r="X62" s="4"/>
      <c r="Y62" s="3">
        <f>SUM(G62:R62)</f>
      </c>
      <c r="Z62" s="3">
        <f>SUM(S62:V62)</f>
      </c>
      <c r="AA62" s="3">
        <f>AVERAGE(T62:V62)</f>
      </c>
      <c r="AB62" s="3">
        <f>AVERAGE(Q62:V62)</f>
      </c>
      <c r="AC62" s="3">
        <f>AVERAGE(N62:V62)</f>
      </c>
      <c r="AD62" s="4">
        <f>IFERROR((AA62*2)/(AB62+AC62), 0)</f>
      </c>
      <c r="AE62" s="4">
        <f>IFERROR(Z62/SUM(G62:J62), 0)</f>
      </c>
      <c r="AF62" s="4">
        <f>IFERROR(Z62/SUM(G62:J62), 0)</f>
      </c>
      <c r="AG62" s="4">
        <f>IFERROR(V62/J62, 0)</f>
      </c>
    </row>
    <row r="63" spans="1:33" x14ac:dyDescent="0.25">
      <c r="A63" s="2">
        <v>35</v>
      </c>
      <c r="B63" s="2" t="s">
        <v>94</v>
      </c>
      <c r="C63" s="2" t="s">
        <v>366</v>
      </c>
      <c r="D63" s="2"/>
      <c r="E63" s="2"/>
      <c r="F63" s="2"/>
      <c r="G63" s="3">
        <v>0</v>
      </c>
      <c r="H63" s="3">
        <v>0</v>
      </c>
      <c r="I63" s="3">
        <v>2655000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4"/>
      <c r="X63" s="4"/>
      <c r="Y63" s="3">
        <f>SUM(G63:R63)</f>
      </c>
      <c r="Z63" s="3">
        <f>SUM(S63:V63)</f>
      </c>
      <c r="AA63" s="3">
        <f>AVERAGE(T63:V63)</f>
      </c>
      <c r="AB63" s="3">
        <f>AVERAGE(Q63:V63)</f>
      </c>
      <c r="AC63" s="3">
        <f>AVERAGE(N63:V63)</f>
      </c>
      <c r="AD63" s="4">
        <f>IFERROR((AA63*2)/(AB63+AC63), 0)</f>
      </c>
      <c r="AE63" s="4">
        <f>IFERROR(Z63/SUM(G63:J63), 0)</f>
      </c>
      <c r="AF63" s="4">
        <f>IFERROR(Z63/SUM(G63:J63), 0)</f>
      </c>
      <c r="AG63" s="4">
        <f>IFERROR(V63/J63, 0)</f>
      </c>
    </row>
    <row r="64" spans="1:33" x14ac:dyDescent="0.25">
      <c r="A64" s="2">
        <v>36</v>
      </c>
      <c r="B64" s="2" t="s">
        <v>96</v>
      </c>
      <c r="C64" s="2" t="s">
        <v>369</v>
      </c>
      <c r="D64" s="2"/>
      <c r="E64" s="2"/>
      <c r="F64" s="2"/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23250000</v>
      </c>
      <c r="M64" s="3">
        <v>0</v>
      </c>
      <c r="N64" s="3">
        <v>31890000</v>
      </c>
      <c r="O64" s="3">
        <v>0</v>
      </c>
      <c r="P64" s="3">
        <v>0</v>
      </c>
      <c r="Q64" s="3">
        <v>102888500.005</v>
      </c>
      <c r="R64" s="3">
        <v>0</v>
      </c>
      <c r="S64" s="3">
        <v>0</v>
      </c>
      <c r="T64" s="3">
        <v>25375000.25</v>
      </c>
      <c r="U64" s="3">
        <v>0</v>
      </c>
      <c r="V64" s="3">
        <v>0</v>
      </c>
      <c r="W64" s="4"/>
      <c r="X64" s="4"/>
      <c r="Y64" s="3">
        <f>SUM(G64:R64)</f>
      </c>
      <c r="Z64" s="3">
        <f>SUM(S64:V64)</f>
      </c>
      <c r="AA64" s="3">
        <f>AVERAGE(T64:V64)</f>
      </c>
      <c r="AB64" s="3">
        <f>AVERAGE(Q64:V64)</f>
      </c>
      <c r="AC64" s="3">
        <f>AVERAGE(N64:V64)</f>
      </c>
      <c r="AD64" s="4">
        <f>IFERROR((AA64*2)/(AB64+AC64), 0)</f>
      </c>
      <c r="AE64" s="4">
        <f>IFERROR(Z64/SUM(G64:J64), 0)</f>
      </c>
      <c r="AF64" s="4">
        <f>IFERROR(Z64/SUM(G64:J64), 0)</f>
      </c>
      <c r="AG64" s="4">
        <f>IFERROR(V64/J64, 0)</f>
      </c>
    </row>
    <row r="65" spans="1:33" x14ac:dyDescent="0.25">
      <c r="A65" s="2">
        <v>37</v>
      </c>
      <c r="B65" s="2" t="s">
        <v>98</v>
      </c>
      <c r="C65" s="2" t="s">
        <v>369</v>
      </c>
      <c r="D65" s="2"/>
      <c r="E65" s="2"/>
      <c r="F65" s="2"/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2910000</v>
      </c>
      <c r="N65" s="3">
        <v>0</v>
      </c>
      <c r="O65" s="3">
        <v>3395000</v>
      </c>
      <c r="P65" s="3">
        <v>0</v>
      </c>
      <c r="Q65" s="3">
        <v>0</v>
      </c>
      <c r="R65" s="3">
        <v>0</v>
      </c>
      <c r="S65" s="3">
        <v>0</v>
      </c>
      <c r="T65" s="3">
        <v>10150000</v>
      </c>
      <c r="U65" s="3">
        <v>0</v>
      </c>
      <c r="V65" s="3">
        <v>0</v>
      </c>
      <c r="W65" s="4"/>
      <c r="X65" s="4"/>
      <c r="Y65" s="3">
        <f>SUM(G65:R65)</f>
      </c>
      <c r="Z65" s="3">
        <f>SUM(S65:V65)</f>
      </c>
      <c r="AA65" s="3">
        <f>AVERAGE(T65:V65)</f>
      </c>
      <c r="AB65" s="3">
        <f>AVERAGE(Q65:V65)</f>
      </c>
      <c r="AC65" s="3">
        <f>AVERAGE(N65:V65)</f>
      </c>
      <c r="AD65" s="4">
        <f>IFERROR((AA65*2)/(AB65+AC65), 0)</f>
      </c>
      <c r="AE65" s="4">
        <f>IFERROR(Z65/SUM(G65:J65), 0)</f>
      </c>
      <c r="AF65" s="4">
        <f>IFERROR(Z65/SUM(G65:J65), 0)</f>
      </c>
      <c r="AG65" s="4">
        <f>IFERROR(V65/J65, 0)</f>
      </c>
    </row>
    <row r="66" spans="1:33" x14ac:dyDescent="0.25">
      <c r="A66" s="2">
        <v>38</v>
      </c>
      <c r="B66" s="2" t="s">
        <v>100</v>
      </c>
      <c r="C66" s="2" t="s">
        <v>363</v>
      </c>
      <c r="D66" s="2"/>
      <c r="E66" s="2"/>
      <c r="F66" s="2"/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207880000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4"/>
      <c r="X66" s="4"/>
      <c r="Y66" s="3">
        <f>SUM(G66:R66)</f>
      </c>
      <c r="Z66" s="3">
        <f>SUM(S66:V66)</f>
      </c>
      <c r="AA66" s="3">
        <f>AVERAGE(T66:V66)</f>
      </c>
      <c r="AB66" s="3">
        <f>AVERAGE(Q66:V66)</f>
      </c>
      <c r="AC66" s="3">
        <f>AVERAGE(N66:V66)</f>
      </c>
      <c r="AD66" s="4">
        <f>IFERROR((AA66*2)/(AB66+AC66), 0)</f>
      </c>
      <c r="AE66" s="4">
        <f>IFERROR(Z66/SUM(G66:J66), 0)</f>
      </c>
      <c r="AF66" s="4">
        <f>IFERROR(Z66/SUM(G66:J66), 0)</f>
      </c>
      <c r="AG66" s="4">
        <f>IFERROR(V66/J66, 0)</f>
      </c>
    </row>
    <row r="67" spans="1:33" x14ac:dyDescent="0.25">
      <c r="A67" s="2">
        <v>39</v>
      </c>
      <c r="B67" s="2" t="s">
        <v>101</v>
      </c>
      <c r="C67" s="2" t="s">
        <v>363</v>
      </c>
      <c r="D67" s="2"/>
      <c r="E67" s="2"/>
      <c r="F67" s="2"/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8505000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4"/>
      <c r="X67" s="4"/>
      <c r="Y67" s="3">
        <f>SUM(G67:R67)</f>
      </c>
      <c r="Z67" s="3">
        <f>SUM(S67:V67)</f>
      </c>
      <c r="AA67" s="3">
        <f>AVERAGE(T67:V67)</f>
      </c>
      <c r="AB67" s="3">
        <f>AVERAGE(Q67:V67)</f>
      </c>
      <c r="AC67" s="3">
        <f>AVERAGE(N67:V67)</f>
      </c>
      <c r="AD67" s="4">
        <f>IFERROR((AA67*2)/(AB67+AC67), 0)</f>
      </c>
      <c r="AE67" s="4">
        <f>IFERROR(Z67/SUM(G67:J67), 0)</f>
      </c>
      <c r="AF67" s="4">
        <f>IFERROR(Z67/SUM(G67:J67), 0)</f>
      </c>
      <c r="AG67" s="4">
        <f>IFERROR(V67/J67, 0)</f>
      </c>
    </row>
    <row r="68" spans="1:33" x14ac:dyDescent="0.25">
      <c r="A68" s="2">
        <v>40</v>
      </c>
      <c r="B68" s="2" t="s">
        <v>102</v>
      </c>
      <c r="C68" s="2" t="s">
        <v>369</v>
      </c>
      <c r="D68" s="2"/>
      <c r="E68" s="2"/>
      <c r="F68" s="2"/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2794999.5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4"/>
      <c r="X68" s="4"/>
      <c r="Y68" s="3">
        <f>SUM(G68:R68)</f>
      </c>
      <c r="Z68" s="3">
        <f>SUM(S68:V68)</f>
      </c>
      <c r="AA68" s="3">
        <f>AVERAGE(T68:V68)</f>
      </c>
      <c r="AB68" s="3">
        <f>AVERAGE(Q68:V68)</f>
      </c>
      <c r="AC68" s="3">
        <f>AVERAGE(N68:V68)</f>
      </c>
      <c r="AD68" s="4">
        <f>IFERROR((AA68*2)/(AB68+AC68), 0)</f>
      </c>
      <c r="AE68" s="4">
        <f>IFERROR(Z68/SUM(G68:J68), 0)</f>
      </c>
      <c r="AF68" s="4">
        <f>IFERROR(Z68/SUM(G68:J68), 0)</f>
      </c>
      <c r="AG68" s="4">
        <f>IFERROR(V68/J68, 0)</f>
      </c>
    </row>
    <row r="69" spans="1:33" x14ac:dyDescent="0.25">
      <c r="A69" s="2">
        <v>41</v>
      </c>
      <c r="B69" s="2" t="s">
        <v>103</v>
      </c>
      <c r="C69" s="2" t="s">
        <v>367</v>
      </c>
      <c r="D69" s="2"/>
      <c r="E69" s="2"/>
      <c r="F69" s="2"/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5736500</v>
      </c>
      <c r="W69" s="4"/>
      <c r="X69" s="4"/>
      <c r="Y69" s="3">
        <f>SUM(G69:R69)</f>
      </c>
      <c r="Z69" s="3">
        <f>SUM(S69:V69)</f>
      </c>
      <c r="AA69" s="3">
        <f>AVERAGE(T69:V69)</f>
      </c>
      <c r="AB69" s="3">
        <f>AVERAGE(Q69:V69)</f>
      </c>
      <c r="AC69" s="3">
        <f>AVERAGE(N69:V69)</f>
      </c>
      <c r="AD69" s="4">
        <f>IFERROR((AA69*2)/(AB69+AC69), 0)</f>
      </c>
      <c r="AE69" s="4">
        <f>IFERROR(Z69/SUM(G69:J69), 0)</f>
      </c>
      <c r="AF69" s="4">
        <f>IFERROR(Z69/SUM(G69:J69), 0)</f>
      </c>
      <c r="AG69" s="4">
        <f>IFERROR(V69/J69, 0)</f>
      </c>
    </row>
    <row r="70" spans="1:33" x14ac:dyDescent="0.25">
      <c r="A70" s="2">
        <v>42</v>
      </c>
      <c r="B70" s="2" t="s">
        <v>104</v>
      </c>
      <c r="C70" s="2" t="s">
        <v>363</v>
      </c>
      <c r="D70" s="2"/>
      <c r="E70" s="2"/>
      <c r="F70" s="2"/>
      <c r="G70" s="3">
        <v>0</v>
      </c>
      <c r="H70" s="3">
        <v>0</v>
      </c>
      <c r="I70" s="3">
        <v>1490000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4"/>
      <c r="X70" s="4"/>
      <c r="Y70" s="3">
        <f>SUM(G70:R70)</f>
      </c>
      <c r="Z70" s="3">
        <f>SUM(S70:V70)</f>
      </c>
      <c r="AA70" s="3">
        <f>AVERAGE(T70:V70)</f>
      </c>
      <c r="AB70" s="3">
        <f>AVERAGE(Q70:V70)</f>
      </c>
      <c r="AC70" s="3">
        <f>AVERAGE(N70:V70)</f>
      </c>
      <c r="AD70" s="4">
        <f>IFERROR((AA70*2)/(AB70+AC70), 0)</f>
      </c>
      <c r="AE70" s="4">
        <f>IFERROR(Z70/SUM(G70:J70), 0)</f>
      </c>
      <c r="AF70" s="4">
        <f>IFERROR(Z70/SUM(G70:J70), 0)</f>
      </c>
      <c r="AG70" s="4">
        <f>IFERROR(V70/J70, 0)</f>
      </c>
    </row>
    <row r="71" spans="1:33" x14ac:dyDescent="0.25">
      <c r="A71" s="2">
        <v>43</v>
      </c>
      <c r="B71" s="2" t="s">
        <v>106</v>
      </c>
      <c r="C71" s="2" t="s">
        <v>367</v>
      </c>
      <c r="D71" s="2"/>
      <c r="E71" s="2"/>
      <c r="F71" s="2"/>
      <c r="G71" s="3">
        <v>0</v>
      </c>
      <c r="H71" s="3">
        <v>0</v>
      </c>
      <c r="I71" s="3">
        <v>2670000</v>
      </c>
      <c r="J71" s="3">
        <v>0</v>
      </c>
      <c r="K71" s="3">
        <v>0</v>
      </c>
      <c r="L71" s="3">
        <v>0</v>
      </c>
      <c r="M71" s="3">
        <v>0</v>
      </c>
      <c r="N71" s="3">
        <v>1157000</v>
      </c>
      <c r="O71" s="3">
        <v>0</v>
      </c>
      <c r="P71" s="3">
        <v>2717000</v>
      </c>
      <c r="Q71" s="3">
        <v>1215500</v>
      </c>
      <c r="R71" s="3">
        <v>775000</v>
      </c>
      <c r="S71" s="3">
        <v>2746750.165</v>
      </c>
      <c r="T71" s="3">
        <v>750000.0112500001</v>
      </c>
      <c r="U71" s="3">
        <v>0</v>
      </c>
      <c r="V71" s="3">
        <v>0</v>
      </c>
      <c r="W71" s="4"/>
      <c r="X71" s="4"/>
      <c r="Y71" s="3">
        <f>SUM(G71:R71)</f>
      </c>
      <c r="Z71" s="3">
        <f>SUM(S71:V71)</f>
      </c>
      <c r="AA71" s="3">
        <f>AVERAGE(T71:V71)</f>
      </c>
      <c r="AB71" s="3">
        <f>AVERAGE(Q71:V71)</f>
      </c>
      <c r="AC71" s="3">
        <f>AVERAGE(N71:V71)</f>
      </c>
      <c r="AD71" s="4">
        <f>IFERROR((AA71*2)/(AB71+AC71), 0)</f>
      </c>
      <c r="AE71" s="4">
        <f>IFERROR(Z71/SUM(G71:J71), 0)</f>
      </c>
      <c r="AF71" s="4">
        <f>IFERROR(Z71/SUM(G71:J71), 0)</f>
      </c>
      <c r="AG71" s="4">
        <f>IFERROR(V71/J71, 0)</f>
      </c>
    </row>
    <row r="72" spans="1:33" x14ac:dyDescent="0.25">
      <c r="A72" s="2">
        <v>44</v>
      </c>
      <c r="B72" s="2" t="s">
        <v>107</v>
      </c>
      <c r="C72" s="2" t="s">
        <v>367</v>
      </c>
      <c r="D72" s="2"/>
      <c r="E72" s="2"/>
      <c r="F72" s="2"/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767000</v>
      </c>
      <c r="O72" s="3">
        <v>312000</v>
      </c>
      <c r="P72" s="3">
        <v>2564250</v>
      </c>
      <c r="Q72" s="3">
        <v>383500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4"/>
      <c r="X72" s="4"/>
      <c r="Y72" s="3">
        <f>SUM(G72:R72)</f>
      </c>
      <c r="Z72" s="3">
        <f>SUM(S72:V72)</f>
      </c>
      <c r="AA72" s="3">
        <f>AVERAGE(T72:V72)</f>
      </c>
      <c r="AB72" s="3">
        <f>AVERAGE(Q72:V72)</f>
      </c>
      <c r="AC72" s="3">
        <f>AVERAGE(N72:V72)</f>
      </c>
      <c r="AD72" s="4">
        <f>IFERROR((AA72*2)/(AB72+AC72), 0)</f>
      </c>
      <c r="AE72" s="4">
        <f>IFERROR(Z72/SUM(G72:J72), 0)</f>
      </c>
      <c r="AF72" s="4">
        <f>IFERROR(Z72/SUM(G72:J72), 0)</f>
      </c>
      <c r="AG72" s="4">
        <f>IFERROR(V72/J72, 0)</f>
      </c>
    </row>
    <row r="73" spans="1:33" x14ac:dyDescent="0.25">
      <c r="A73" s="2">
        <v>45</v>
      </c>
      <c r="B73" s="2" t="s">
        <v>108</v>
      </c>
      <c r="C73" s="2" t="s">
        <v>367</v>
      </c>
      <c r="D73" s="2"/>
      <c r="E73" s="2"/>
      <c r="F73" s="2"/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484250</v>
      </c>
      <c r="N73" s="3">
        <v>968500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357500</v>
      </c>
      <c r="U73" s="3">
        <v>0</v>
      </c>
      <c r="V73" s="3">
        <v>0</v>
      </c>
      <c r="W73" s="4"/>
      <c r="X73" s="4"/>
      <c r="Y73" s="3">
        <f>SUM(G73:R73)</f>
      </c>
      <c r="Z73" s="3">
        <f>SUM(S73:V73)</f>
      </c>
      <c r="AA73" s="3">
        <f>AVERAGE(T73:V73)</f>
      </c>
      <c r="AB73" s="3">
        <f>AVERAGE(Q73:V73)</f>
      </c>
      <c r="AC73" s="3">
        <f>AVERAGE(N73:V73)</f>
      </c>
      <c r="AD73" s="4">
        <f>IFERROR((AA73*2)/(AB73+AC73), 0)</f>
      </c>
      <c r="AE73" s="4">
        <f>IFERROR(Z73/SUM(G73:J73), 0)</f>
      </c>
      <c r="AF73" s="4">
        <f>IFERROR(Z73/SUM(G73:J73), 0)</f>
      </c>
      <c r="AG73" s="4">
        <f>IFERROR(V73/J73, 0)</f>
      </c>
    </row>
    <row r="74" spans="1:33" x14ac:dyDescent="0.25">
      <c r="A74" s="2">
        <v>46</v>
      </c>
      <c r="B74" s="2" t="s">
        <v>109</v>
      </c>
      <c r="C74" s="2" t="s">
        <v>367</v>
      </c>
      <c r="D74" s="2"/>
      <c r="E74" s="2"/>
      <c r="F74" s="2"/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20962500</v>
      </c>
      <c r="R74" s="3">
        <v>31612750</v>
      </c>
      <c r="S74" s="3">
        <v>0</v>
      </c>
      <c r="T74" s="3">
        <v>11209250</v>
      </c>
      <c r="U74" s="3">
        <v>0</v>
      </c>
      <c r="V74" s="3">
        <v>0</v>
      </c>
      <c r="W74" s="4"/>
      <c r="X74" s="4"/>
      <c r="Y74" s="3">
        <f>SUM(G74:R74)</f>
      </c>
      <c r="Z74" s="3">
        <f>SUM(S74:V74)</f>
      </c>
      <c r="AA74" s="3">
        <f>AVERAGE(T74:V74)</f>
      </c>
      <c r="AB74" s="3">
        <f>AVERAGE(Q74:V74)</f>
      </c>
      <c r="AC74" s="3">
        <f>AVERAGE(N74:V74)</f>
      </c>
      <c r="AD74" s="4">
        <f>IFERROR((AA74*2)/(AB74+AC74), 0)</f>
      </c>
      <c r="AE74" s="4">
        <f>IFERROR(Z74/SUM(G74:J74), 0)</f>
      </c>
      <c r="AF74" s="4">
        <f>IFERROR(Z74/SUM(G74:J74), 0)</f>
      </c>
      <c r="AG74" s="4">
        <f>IFERROR(V74/J74, 0)</f>
      </c>
    </row>
    <row r="75" spans="1:33" x14ac:dyDescent="0.25">
      <c r="A75" s="2">
        <v>47</v>
      </c>
      <c r="B75" s="2" t="s">
        <v>111</v>
      </c>
      <c r="C75" s="2" t="s">
        <v>370</v>
      </c>
      <c r="D75" s="2"/>
      <c r="E75" s="2"/>
      <c r="F75" s="2"/>
      <c r="G75" s="3">
        <v>0</v>
      </c>
      <c r="H75" s="3">
        <v>2124000</v>
      </c>
      <c r="I75" s="3">
        <v>0</v>
      </c>
      <c r="J75" s="3">
        <v>3175197.7950000004</v>
      </c>
      <c r="K75" s="3">
        <v>0</v>
      </c>
      <c r="L75" s="3">
        <v>0</v>
      </c>
      <c r="M75" s="3">
        <v>1497600</v>
      </c>
      <c r="N75" s="3">
        <v>0</v>
      </c>
      <c r="O75" s="3">
        <v>3492000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1965600</v>
      </c>
      <c r="V75" s="3">
        <v>0</v>
      </c>
      <c r="W75" s="4"/>
      <c r="X75" s="4"/>
      <c r="Y75" s="3">
        <f>SUM(G75:R75)</f>
      </c>
      <c r="Z75" s="3">
        <f>SUM(S75:V75)</f>
      </c>
      <c r="AA75" s="3">
        <f>AVERAGE(T75:V75)</f>
      </c>
      <c r="AB75" s="3">
        <f>AVERAGE(Q75:V75)</f>
      </c>
      <c r="AC75" s="3">
        <f>AVERAGE(N75:V75)</f>
      </c>
      <c r="AD75" s="4">
        <f>IFERROR((AA75*2)/(AB75+AC75), 0)</f>
      </c>
      <c r="AE75" s="4">
        <f>IFERROR(Z75/SUM(G75:J75), 0)</f>
      </c>
      <c r="AF75" s="4">
        <f>IFERROR(Z75/SUM(G75:J75), 0)</f>
      </c>
      <c r="AG75" s="4">
        <f>IFERROR(V75/J75, 0)</f>
      </c>
    </row>
    <row r="76" spans="1:33" x14ac:dyDescent="0.25">
      <c r="A76" s="2">
        <v>48</v>
      </c>
      <c r="B76" s="2" t="s">
        <v>112</v>
      </c>
      <c r="C76" s="2" t="s">
        <v>370</v>
      </c>
      <c r="D76" s="2"/>
      <c r="E76" s="2"/>
      <c r="F76" s="2"/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9262793.5675</v>
      </c>
      <c r="M76" s="3">
        <v>0</v>
      </c>
      <c r="N76" s="3">
        <v>0</v>
      </c>
      <c r="O76" s="3">
        <v>849600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4"/>
      <c r="X76" s="4"/>
      <c r="Y76" s="3">
        <f>SUM(G76:R76)</f>
      </c>
      <c r="Z76" s="3">
        <f>SUM(S76:V76)</f>
      </c>
      <c r="AA76" s="3">
        <f>AVERAGE(T76:V76)</f>
      </c>
      <c r="AB76" s="3">
        <f>AVERAGE(Q76:V76)</f>
      </c>
      <c r="AC76" s="3">
        <f>AVERAGE(N76:V76)</f>
      </c>
      <c r="AD76" s="4">
        <f>IFERROR((AA76*2)/(AB76+AC76), 0)</f>
      </c>
      <c r="AE76" s="4">
        <f>IFERROR(Z76/SUM(G76:J76), 0)</f>
      </c>
      <c r="AF76" s="4">
        <f>IFERROR(Z76/SUM(G76:J76), 0)</f>
      </c>
      <c r="AG76" s="4">
        <f>IFERROR(V76/J76, 0)</f>
      </c>
    </row>
    <row r="77" spans="1:33" x14ac:dyDescent="0.25">
      <c r="A77" s="2">
        <v>49</v>
      </c>
      <c r="B77" s="2" t="s">
        <v>113</v>
      </c>
      <c r="C77" s="2" t="s">
        <v>370</v>
      </c>
      <c r="D77" s="2"/>
      <c r="E77" s="2"/>
      <c r="F77" s="2"/>
      <c r="G77" s="3">
        <v>2548800</v>
      </c>
      <c r="H77" s="3">
        <v>0</v>
      </c>
      <c r="I77" s="3">
        <v>0</v>
      </c>
      <c r="J77" s="3">
        <v>6350395.590000001</v>
      </c>
      <c r="K77" s="3">
        <v>2145598.5100000002</v>
      </c>
      <c r="L77" s="3">
        <v>0</v>
      </c>
      <c r="M77" s="3">
        <v>5205600</v>
      </c>
      <c r="N77" s="3">
        <v>2275200</v>
      </c>
      <c r="O77" s="3">
        <v>0</v>
      </c>
      <c r="P77" s="3">
        <v>0</v>
      </c>
      <c r="Q77" s="3">
        <v>3074400</v>
      </c>
      <c r="R77" s="3">
        <v>0</v>
      </c>
      <c r="S77" s="3">
        <v>0</v>
      </c>
      <c r="T77" s="3">
        <v>0</v>
      </c>
      <c r="U77" s="3">
        <v>0</v>
      </c>
      <c r="V77" s="3">
        <v>1540800</v>
      </c>
      <c r="W77" s="4"/>
      <c r="X77" s="4"/>
      <c r="Y77" s="3">
        <f>SUM(G77:R77)</f>
      </c>
      <c r="Z77" s="3">
        <f>SUM(S77:V77)</f>
      </c>
      <c r="AA77" s="3">
        <f>AVERAGE(T77:V77)</f>
      </c>
      <c r="AB77" s="3">
        <f>AVERAGE(Q77:V77)</f>
      </c>
      <c r="AC77" s="3">
        <f>AVERAGE(N77:V77)</f>
      </c>
      <c r="AD77" s="4">
        <f>IFERROR((AA77*2)/(AB77+AC77), 0)</f>
      </c>
      <c r="AE77" s="4">
        <f>IFERROR(Z77/SUM(G77:J77), 0)</f>
      </c>
      <c r="AF77" s="4">
        <f>IFERROR(Z77/SUM(G77:J77), 0)</f>
      </c>
      <c r="AG77" s="4">
        <f>IFERROR(V77/J77, 0)</f>
      </c>
    </row>
    <row r="78" spans="1:33" x14ac:dyDescent="0.25">
      <c r="A78" s="2">
        <v>50</v>
      </c>
      <c r="B78" s="2" t="s">
        <v>114</v>
      </c>
      <c r="C78" s="2" t="s">
        <v>370</v>
      </c>
      <c r="D78" s="2"/>
      <c r="E78" s="2"/>
      <c r="F78" s="2"/>
      <c r="G78" s="3">
        <v>0</v>
      </c>
      <c r="H78" s="3">
        <v>0</v>
      </c>
      <c r="I78" s="3">
        <v>2548802.124</v>
      </c>
      <c r="J78" s="3">
        <v>0</v>
      </c>
      <c r="K78" s="3">
        <v>0</v>
      </c>
      <c r="L78" s="3">
        <v>9367193.495000001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4"/>
      <c r="X78" s="4"/>
      <c r="Y78" s="3">
        <f>SUM(G78:R78)</f>
      </c>
      <c r="Z78" s="3">
        <f>SUM(S78:V78)</f>
      </c>
      <c r="AA78" s="3">
        <f>AVERAGE(T78:V78)</f>
      </c>
      <c r="AB78" s="3">
        <f>AVERAGE(Q78:V78)</f>
      </c>
      <c r="AC78" s="3">
        <f>AVERAGE(N78:V78)</f>
      </c>
      <c r="AD78" s="4">
        <f>IFERROR((AA78*2)/(AB78+AC78), 0)</f>
      </c>
      <c r="AE78" s="4">
        <f>IFERROR(Z78/SUM(G78:J78), 0)</f>
      </c>
      <c r="AF78" s="4">
        <f>IFERROR(Z78/SUM(G78:J78), 0)</f>
      </c>
      <c r="AG78" s="4">
        <f>IFERROR(V78/J78, 0)</f>
      </c>
    </row>
    <row r="79" spans="1:33" x14ac:dyDescent="0.25">
      <c r="A79" s="2">
        <v>51</v>
      </c>
      <c r="B79" s="2" t="s">
        <v>115</v>
      </c>
      <c r="C79" s="2" t="s">
        <v>370</v>
      </c>
      <c r="D79" s="2"/>
      <c r="E79" s="2"/>
      <c r="F79" s="2"/>
      <c r="G79" s="3">
        <v>2548800</v>
      </c>
      <c r="H79" s="3">
        <v>0</v>
      </c>
      <c r="I79" s="3">
        <v>0</v>
      </c>
      <c r="J79" s="3">
        <v>0</v>
      </c>
      <c r="K79" s="3">
        <v>0</v>
      </c>
      <c r="L79" s="3">
        <v>9255593.572500002</v>
      </c>
      <c r="M79" s="3">
        <v>11804400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13212000</v>
      </c>
      <c r="V79" s="3">
        <v>0</v>
      </c>
      <c r="W79" s="4"/>
      <c r="X79" s="4"/>
      <c r="Y79" s="3">
        <f>SUM(G79:R79)</f>
      </c>
      <c r="Z79" s="3">
        <f>SUM(S79:V79)</f>
      </c>
      <c r="AA79" s="3">
        <f>AVERAGE(T79:V79)</f>
      </c>
      <c r="AB79" s="3">
        <f>AVERAGE(Q79:V79)</f>
      </c>
      <c r="AC79" s="3">
        <f>AVERAGE(N79:V79)</f>
      </c>
      <c r="AD79" s="4">
        <f>IFERROR((AA79*2)/(AB79+AC79), 0)</f>
      </c>
      <c r="AE79" s="4">
        <f>IFERROR(Z79/SUM(G79:J79), 0)</f>
      </c>
      <c r="AF79" s="4">
        <f>IFERROR(Z79/SUM(G79:J79), 0)</f>
      </c>
      <c r="AG79" s="4">
        <f>IFERROR(V79/J79, 0)</f>
      </c>
    </row>
    <row r="80" spans="1:33" x14ac:dyDescent="0.25">
      <c r="A80" s="2">
        <v>52</v>
      </c>
      <c r="B80" s="2" t="s">
        <v>116</v>
      </c>
      <c r="C80" s="2" t="s">
        <v>370</v>
      </c>
      <c r="D80" s="2"/>
      <c r="E80" s="2"/>
      <c r="F80" s="2"/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6310795.617500001</v>
      </c>
      <c r="N80" s="3">
        <v>2095200</v>
      </c>
      <c r="O80" s="3">
        <v>0</v>
      </c>
      <c r="P80" s="3">
        <v>3816000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4"/>
      <c r="X80" s="4"/>
      <c r="Y80" s="3">
        <f>SUM(G80:R80)</f>
      </c>
      <c r="Z80" s="3">
        <f>SUM(S80:V80)</f>
      </c>
      <c r="AA80" s="3">
        <f>AVERAGE(T80:V80)</f>
      </c>
      <c r="AB80" s="3">
        <f>AVERAGE(Q80:V80)</f>
      </c>
      <c r="AC80" s="3">
        <f>AVERAGE(N80:V80)</f>
      </c>
      <c r="AD80" s="4">
        <f>IFERROR((AA80*2)/(AB80+AC80), 0)</f>
      </c>
      <c r="AE80" s="4">
        <f>IFERROR(Z80/SUM(G80:J80), 0)</f>
      </c>
      <c r="AF80" s="4">
        <f>IFERROR(Z80/SUM(G80:J80), 0)</f>
      </c>
      <c r="AG80" s="4">
        <f>IFERROR(V80/J80, 0)</f>
      </c>
    </row>
    <row r="81" spans="1:33" x14ac:dyDescent="0.25">
      <c r="A81" s="2">
        <v>53</v>
      </c>
      <c r="B81" s="2" t="s">
        <v>117</v>
      </c>
      <c r="C81" s="2" t="s">
        <v>370</v>
      </c>
      <c r="D81" s="2"/>
      <c r="E81" s="2"/>
      <c r="F81" s="2"/>
      <c r="G81" s="3">
        <v>2973600</v>
      </c>
      <c r="H81" s="3">
        <v>0</v>
      </c>
      <c r="I81" s="3">
        <v>0</v>
      </c>
      <c r="J81" s="3">
        <v>0</v>
      </c>
      <c r="K81" s="3">
        <v>4762796.6925</v>
      </c>
      <c r="L81" s="3">
        <v>0</v>
      </c>
      <c r="M81" s="3">
        <v>2995197.92</v>
      </c>
      <c r="N81" s="3">
        <v>0</v>
      </c>
      <c r="O81" s="3">
        <v>1274400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4"/>
      <c r="X81" s="4"/>
      <c r="Y81" s="3">
        <f>SUM(G81:R81)</f>
      </c>
      <c r="Z81" s="3">
        <f>SUM(S81:V81)</f>
      </c>
      <c r="AA81" s="3">
        <f>AVERAGE(T81:V81)</f>
      </c>
      <c r="AB81" s="3">
        <f>AVERAGE(Q81:V81)</f>
      </c>
      <c r="AC81" s="3">
        <f>AVERAGE(N81:V81)</f>
      </c>
      <c r="AD81" s="4">
        <f>IFERROR((AA81*2)/(AB81+AC81), 0)</f>
      </c>
      <c r="AE81" s="4">
        <f>IFERROR(Z81/SUM(G81:J81), 0)</f>
      </c>
      <c r="AF81" s="4">
        <f>IFERROR(Z81/SUM(G81:J81), 0)</f>
      </c>
      <c r="AG81" s="4">
        <f>IFERROR(V81/J81, 0)</f>
      </c>
    </row>
    <row r="82" spans="1:33" x14ac:dyDescent="0.25">
      <c r="A82" s="2">
        <v>54</v>
      </c>
      <c r="B82" s="2" t="s">
        <v>118</v>
      </c>
      <c r="C82" s="2" t="s">
        <v>370</v>
      </c>
      <c r="D82" s="2"/>
      <c r="E82" s="2"/>
      <c r="F82" s="2"/>
      <c r="G82" s="3">
        <v>0</v>
      </c>
      <c r="H82" s="3">
        <v>0</v>
      </c>
      <c r="I82" s="3">
        <v>0</v>
      </c>
      <c r="J82" s="3">
        <v>0</v>
      </c>
      <c r="K82" s="3">
        <v>7019995.124999999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1476000</v>
      </c>
      <c r="S82" s="3">
        <v>0</v>
      </c>
      <c r="T82" s="3">
        <v>0</v>
      </c>
      <c r="U82" s="3">
        <v>0</v>
      </c>
      <c r="V82" s="3">
        <v>1382400</v>
      </c>
      <c r="W82" s="4"/>
      <c r="X82" s="4"/>
      <c r="Y82" s="3">
        <f>SUM(G82:R82)</f>
      </c>
      <c r="Z82" s="3">
        <f>SUM(S82:V82)</f>
      </c>
      <c r="AA82" s="3">
        <f>AVERAGE(T82:V82)</f>
      </c>
      <c r="AB82" s="3">
        <f>AVERAGE(Q82:V82)</f>
      </c>
      <c r="AC82" s="3">
        <f>AVERAGE(N82:V82)</f>
      </c>
      <c r="AD82" s="4">
        <f>IFERROR((AA82*2)/(AB82+AC82), 0)</f>
      </c>
      <c r="AE82" s="4">
        <f>IFERROR(Z82/SUM(G82:J82), 0)</f>
      </c>
      <c r="AF82" s="4">
        <f>IFERROR(Z82/SUM(G82:J82), 0)</f>
      </c>
      <c r="AG82" s="4">
        <f>IFERROR(V82/J82, 0)</f>
      </c>
    </row>
    <row r="83" spans="1:33" x14ac:dyDescent="0.25">
      <c r="A83" s="2">
        <v>55</v>
      </c>
      <c r="B83" s="2" t="s">
        <v>119</v>
      </c>
      <c r="C83" s="2" t="s">
        <v>370</v>
      </c>
      <c r="D83" s="2"/>
      <c r="E83" s="2"/>
      <c r="F83" s="2"/>
      <c r="G83" s="3">
        <v>0</v>
      </c>
      <c r="H83" s="3">
        <v>0</v>
      </c>
      <c r="I83" s="3">
        <v>1699211.8</v>
      </c>
      <c r="J83" s="3">
        <v>0</v>
      </c>
      <c r="K83" s="3">
        <v>6170395.715000001</v>
      </c>
      <c r="L83" s="3">
        <v>3646797.4675</v>
      </c>
      <c r="M83" s="3">
        <v>0</v>
      </c>
      <c r="N83" s="3">
        <v>11055600</v>
      </c>
      <c r="O83" s="3">
        <v>1515600</v>
      </c>
      <c r="P83" s="3">
        <v>0</v>
      </c>
      <c r="Q83" s="3">
        <v>0</v>
      </c>
      <c r="R83" s="3">
        <v>2656800</v>
      </c>
      <c r="S83" s="3">
        <v>0</v>
      </c>
      <c r="T83" s="3">
        <v>1623600</v>
      </c>
      <c r="U83" s="3">
        <v>1465200</v>
      </c>
      <c r="V83" s="3">
        <v>2282400</v>
      </c>
      <c r="W83" s="4"/>
      <c r="X83" s="4"/>
      <c r="Y83" s="3">
        <f>SUM(G83:R83)</f>
      </c>
      <c r="Z83" s="3">
        <f>SUM(S83:V83)</f>
      </c>
      <c r="AA83" s="3">
        <f>AVERAGE(T83:V83)</f>
      </c>
      <c r="AB83" s="3">
        <f>AVERAGE(Q83:V83)</f>
      </c>
      <c r="AC83" s="3">
        <f>AVERAGE(N83:V83)</f>
      </c>
      <c r="AD83" s="4">
        <f>IFERROR((AA83*2)/(AB83+AC83), 0)</f>
      </c>
      <c r="AE83" s="4">
        <f>IFERROR(Z83/SUM(G83:J83), 0)</f>
      </c>
      <c r="AF83" s="4">
        <f>IFERROR(Z83/SUM(G83:J83), 0)</f>
      </c>
      <c r="AG83" s="4">
        <f>IFERROR(V83/J83, 0)</f>
      </c>
    </row>
    <row r="84" spans="1:33" x14ac:dyDescent="0.25">
      <c r="A84" s="2">
        <v>56</v>
      </c>
      <c r="B84" s="2" t="s">
        <v>120</v>
      </c>
      <c r="C84" s="2" t="s">
        <v>370</v>
      </c>
      <c r="D84" s="2"/>
      <c r="E84" s="2"/>
      <c r="F84" s="2"/>
      <c r="G84" s="3">
        <v>1274400</v>
      </c>
      <c r="H84" s="3">
        <v>0</v>
      </c>
      <c r="I84" s="3">
        <v>0</v>
      </c>
      <c r="J84" s="3">
        <v>0</v>
      </c>
      <c r="K84" s="3">
        <v>2145598.5100000002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4"/>
      <c r="X84" s="4"/>
      <c r="Y84" s="3">
        <f>SUM(G84:R84)</f>
      </c>
      <c r="Z84" s="3">
        <f>SUM(S84:V84)</f>
      </c>
      <c r="AA84" s="3">
        <f>AVERAGE(T84:V84)</f>
      </c>
      <c r="AB84" s="3">
        <f>AVERAGE(Q84:V84)</f>
      </c>
      <c r="AC84" s="3">
        <f>AVERAGE(N84:V84)</f>
      </c>
      <c r="AD84" s="4">
        <f>IFERROR((AA84*2)/(AB84+AC84), 0)</f>
      </c>
      <c r="AE84" s="4">
        <f>IFERROR(Z84/SUM(G84:J84), 0)</f>
      </c>
      <c r="AF84" s="4">
        <f>IFERROR(Z84/SUM(G84:J84), 0)</f>
      </c>
      <c r="AG84" s="4">
        <f>IFERROR(V84/J84, 0)</f>
      </c>
    </row>
    <row r="85" spans="1:33" x14ac:dyDescent="0.25">
      <c r="A85" s="2">
        <v>57</v>
      </c>
      <c r="B85" s="2" t="s">
        <v>121</v>
      </c>
      <c r="C85" s="2" t="s">
        <v>370</v>
      </c>
      <c r="D85" s="2"/>
      <c r="E85" s="2"/>
      <c r="F85" s="2"/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10529992.687500002</v>
      </c>
      <c r="M85" s="3">
        <v>0</v>
      </c>
      <c r="N85" s="3">
        <v>2746800</v>
      </c>
      <c r="O85" s="3">
        <v>4381200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4"/>
      <c r="X85" s="4"/>
      <c r="Y85" s="3">
        <f>SUM(G85:R85)</f>
      </c>
      <c r="Z85" s="3">
        <f>SUM(S85:V85)</f>
      </c>
      <c r="AA85" s="3">
        <f>AVERAGE(T85:V85)</f>
      </c>
      <c r="AB85" s="3">
        <f>AVERAGE(Q85:V85)</f>
      </c>
      <c r="AC85" s="3">
        <f>AVERAGE(N85:V85)</f>
      </c>
      <c r="AD85" s="4">
        <f>IFERROR((AA85*2)/(AB85+AC85), 0)</f>
      </c>
      <c r="AE85" s="4">
        <f>IFERROR(Z85/SUM(G85:J85), 0)</f>
      </c>
      <c r="AF85" s="4">
        <f>IFERROR(Z85/SUM(G85:J85), 0)</f>
      </c>
      <c r="AG85" s="4">
        <f>IFERROR(V85/J85, 0)</f>
      </c>
    </row>
    <row r="86" spans="1:33" x14ac:dyDescent="0.25">
      <c r="A86" s="2">
        <v>58</v>
      </c>
      <c r="B86" s="2" t="s">
        <v>122</v>
      </c>
      <c r="C86" s="2" t="s">
        <v>370</v>
      </c>
      <c r="D86" s="2"/>
      <c r="E86" s="2"/>
      <c r="F86" s="2"/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267613200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4842200</v>
      </c>
      <c r="V86" s="3">
        <v>40896000</v>
      </c>
      <c r="W86" s="4"/>
      <c r="X86" s="4"/>
      <c r="Y86" s="3">
        <f>SUM(G86:R86)</f>
      </c>
      <c r="Z86" s="3">
        <f>SUM(S86:V86)</f>
      </c>
      <c r="AA86" s="3">
        <f>AVERAGE(T86:V86)</f>
      </c>
      <c r="AB86" s="3">
        <f>AVERAGE(Q86:V86)</f>
      </c>
      <c r="AC86" s="3">
        <f>AVERAGE(N86:V86)</f>
      </c>
      <c r="AD86" s="4">
        <f>IFERROR((AA86*2)/(AB86+AC86), 0)</f>
      </c>
      <c r="AE86" s="4">
        <f>IFERROR(Z86/SUM(G86:J86), 0)</f>
      </c>
      <c r="AF86" s="4">
        <f>IFERROR(Z86/SUM(G86:J86), 0)</f>
      </c>
      <c r="AG86" s="4">
        <f>IFERROR(V86/J86, 0)</f>
      </c>
    </row>
    <row r="87" spans="1:33" x14ac:dyDescent="0.25">
      <c r="A87" s="2">
        <v>59</v>
      </c>
      <c r="B87" s="2" t="s">
        <v>123</v>
      </c>
      <c r="C87" s="2" t="s">
        <v>370</v>
      </c>
      <c r="D87" s="2"/>
      <c r="E87" s="2"/>
      <c r="F87" s="2"/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2115802.086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4"/>
      <c r="X87" s="4"/>
      <c r="Y87" s="3">
        <f>SUM(G87:R87)</f>
      </c>
      <c r="Z87" s="3">
        <f>SUM(S87:V87)</f>
      </c>
      <c r="AA87" s="3">
        <f>AVERAGE(T87:V87)</f>
      </c>
      <c r="AB87" s="3">
        <f>AVERAGE(Q87:V87)</f>
      </c>
      <c r="AC87" s="3">
        <f>AVERAGE(N87:V87)</f>
      </c>
      <c r="AD87" s="4">
        <f>IFERROR((AA87*2)/(AB87+AC87), 0)</f>
      </c>
      <c r="AE87" s="4">
        <f>IFERROR(Z87/SUM(G87:J87), 0)</f>
      </c>
      <c r="AF87" s="4">
        <f>IFERROR(Z87/SUM(G87:J87), 0)</f>
      </c>
      <c r="AG87" s="4">
        <f>IFERROR(V87/J87, 0)</f>
      </c>
    </row>
    <row r="88" spans="1:33" x14ac:dyDescent="0.25">
      <c r="A88" s="2">
        <v>60</v>
      </c>
      <c r="B88" s="2" t="s">
        <v>124</v>
      </c>
      <c r="C88" s="2" t="s">
        <v>367</v>
      </c>
      <c r="D88" s="2"/>
      <c r="E88" s="2"/>
      <c r="F88" s="2"/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9165000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4"/>
      <c r="X88" s="4"/>
      <c r="Y88" s="3">
        <f>SUM(G88:R88)</f>
      </c>
      <c r="Z88" s="3">
        <f>SUM(S88:V88)</f>
      </c>
      <c r="AA88" s="3">
        <f>AVERAGE(T88:V88)</f>
      </c>
      <c r="AB88" s="3">
        <f>AVERAGE(Q88:V88)</f>
      </c>
      <c r="AC88" s="3">
        <f>AVERAGE(N88:V88)</f>
      </c>
      <c r="AD88" s="4">
        <f>IFERROR((AA88*2)/(AB88+AC88), 0)</f>
      </c>
      <c r="AE88" s="4">
        <f>IFERROR(Z88/SUM(G88:J88), 0)</f>
      </c>
      <c r="AF88" s="4">
        <f>IFERROR(Z88/SUM(G88:J88), 0)</f>
      </c>
      <c r="AG88" s="4">
        <f>IFERROR(V88/J88, 0)</f>
      </c>
    </row>
    <row r="89" spans="1:33" x14ac:dyDescent="0.25">
      <c r="A89" s="2">
        <v>61</v>
      </c>
      <c r="B89" s="2" t="s">
        <v>128</v>
      </c>
      <c r="C89" s="2" t="s">
        <v>367</v>
      </c>
      <c r="D89" s="2"/>
      <c r="E89" s="2"/>
      <c r="F89" s="2"/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383500</v>
      </c>
      <c r="V89" s="3">
        <v>0</v>
      </c>
      <c r="W89" s="4"/>
      <c r="X89" s="4"/>
      <c r="Y89" s="3">
        <f>SUM(G89:R89)</f>
      </c>
      <c r="Z89" s="3">
        <f>SUM(S89:V89)</f>
      </c>
      <c r="AA89" s="3">
        <f>AVERAGE(T89:V89)</f>
      </c>
      <c r="AB89" s="3">
        <f>AVERAGE(Q89:V89)</f>
      </c>
      <c r="AC89" s="3">
        <f>AVERAGE(N89:V89)</f>
      </c>
      <c r="AD89" s="4">
        <f>IFERROR((AA89*2)/(AB89+AC89), 0)</f>
      </c>
      <c r="AE89" s="4">
        <f>IFERROR(Z89/SUM(G89:J89), 0)</f>
      </c>
      <c r="AF89" s="4">
        <f>IFERROR(Z89/SUM(G89:J89), 0)</f>
      </c>
      <c r="AG89" s="4">
        <f>IFERROR(V89/J89, 0)</f>
      </c>
    </row>
    <row r="90" spans="1:33" x14ac:dyDescent="0.25">
      <c r="A90" s="2">
        <v>62</v>
      </c>
      <c r="B90" s="2" t="s">
        <v>129</v>
      </c>
      <c r="C90" s="2" t="s">
        <v>367</v>
      </c>
      <c r="D90" s="2"/>
      <c r="E90" s="2"/>
      <c r="F90" s="2"/>
      <c r="G90" s="3">
        <v>0</v>
      </c>
      <c r="H90" s="3">
        <v>0</v>
      </c>
      <c r="I90" s="3">
        <v>2670000</v>
      </c>
      <c r="J90" s="3">
        <v>2670000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4"/>
      <c r="X90" s="4"/>
      <c r="Y90" s="3">
        <f>SUM(G90:R90)</f>
      </c>
      <c r="Z90" s="3">
        <f>SUM(S90:V90)</f>
      </c>
      <c r="AA90" s="3">
        <f>AVERAGE(T90:V90)</f>
      </c>
      <c r="AB90" s="3">
        <f>AVERAGE(Q90:V90)</f>
      </c>
      <c r="AC90" s="3">
        <f>AVERAGE(N90:V90)</f>
      </c>
      <c r="AD90" s="4">
        <f>IFERROR((AA90*2)/(AB90+AC90), 0)</f>
      </c>
      <c r="AE90" s="4">
        <f>IFERROR(Z90/SUM(G90:J90), 0)</f>
      </c>
      <c r="AF90" s="4">
        <f>IFERROR(Z90/SUM(G90:J90), 0)</f>
      </c>
      <c r="AG90" s="4">
        <f>IFERROR(V90/J90, 0)</f>
      </c>
    </row>
    <row r="91" spans="1:33" x14ac:dyDescent="0.25">
      <c r="A91" s="2">
        <v>63</v>
      </c>
      <c r="B91" s="2" t="s">
        <v>130</v>
      </c>
      <c r="C91" s="2" t="s">
        <v>365</v>
      </c>
      <c r="D91" s="2"/>
      <c r="E91" s="2"/>
      <c r="F91" s="2"/>
      <c r="G91" s="3">
        <v>0</v>
      </c>
      <c r="H91" s="3">
        <v>0</v>
      </c>
      <c r="I91" s="3">
        <v>783200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4"/>
      <c r="X91" s="4"/>
      <c r="Y91" s="3">
        <f>SUM(G91:R91)</f>
      </c>
      <c r="Z91" s="3">
        <f>SUM(S91:V91)</f>
      </c>
      <c r="AA91" s="3">
        <f>AVERAGE(T91:V91)</f>
      </c>
      <c r="AB91" s="3">
        <f>AVERAGE(Q91:V91)</f>
      </c>
      <c r="AC91" s="3">
        <f>AVERAGE(N91:V91)</f>
      </c>
      <c r="AD91" s="4">
        <f>IFERROR((AA91*2)/(AB91+AC91), 0)</f>
      </c>
      <c r="AE91" s="4">
        <f>IFERROR(Z91/SUM(G91:J91), 0)</f>
      </c>
      <c r="AF91" s="4">
        <f>IFERROR(Z91/SUM(G91:J91), 0)</f>
      </c>
      <c r="AG91" s="4">
        <f>IFERROR(V91/J91, 0)</f>
      </c>
    </row>
    <row r="92" spans="1:33" x14ac:dyDescent="0.25">
      <c r="A92" s="2">
        <v>64</v>
      </c>
      <c r="B92" s="2" t="s">
        <v>131</v>
      </c>
      <c r="C92" s="2" t="s">
        <v>367</v>
      </c>
      <c r="D92" s="2"/>
      <c r="E92" s="2"/>
      <c r="F92" s="2"/>
      <c r="G92" s="3">
        <v>0</v>
      </c>
      <c r="H92" s="3">
        <v>0</v>
      </c>
      <c r="I92" s="3">
        <v>775000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4"/>
      <c r="X92" s="4"/>
      <c r="Y92" s="3">
        <f>SUM(G92:R92)</f>
      </c>
      <c r="Z92" s="3">
        <f>SUM(S92:V92)</f>
      </c>
      <c r="AA92" s="3">
        <f>AVERAGE(T92:V92)</f>
      </c>
      <c r="AB92" s="3">
        <f>AVERAGE(Q92:V92)</f>
      </c>
      <c r="AC92" s="3">
        <f>AVERAGE(N92:V92)</f>
      </c>
      <c r="AD92" s="4">
        <f>IFERROR((AA92*2)/(AB92+AC92), 0)</f>
      </c>
      <c r="AE92" s="4">
        <f>IFERROR(Z92/SUM(G92:J92), 0)</f>
      </c>
      <c r="AF92" s="4">
        <f>IFERROR(Z92/SUM(G92:J92), 0)</f>
      </c>
      <c r="AG92" s="4">
        <f>IFERROR(V92/J92, 0)</f>
      </c>
    </row>
    <row r="93" spans="1:33" x14ac:dyDescent="0.25">
      <c r="A93" s="2">
        <v>65</v>
      </c>
      <c r="B93" s="2" t="s">
        <v>227</v>
      </c>
      <c r="C93" s="2" t="s">
        <v>367</v>
      </c>
      <c r="D93" s="2"/>
      <c r="E93" s="2"/>
      <c r="F93" s="2"/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655600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4"/>
      <c r="X93" s="4"/>
      <c r="Y93" s="3">
        <f>SUM(G93:R93)</f>
      </c>
      <c r="Z93" s="3">
        <f>SUM(S93:V93)</f>
      </c>
      <c r="AA93" s="3">
        <f>AVERAGE(T93:V93)</f>
      </c>
      <c r="AB93" s="3">
        <f>AVERAGE(Q93:V93)</f>
      </c>
      <c r="AC93" s="3">
        <f>AVERAGE(N93:V93)</f>
      </c>
      <c r="AD93" s="4">
        <f>IFERROR((AA93*2)/(AB93+AC93), 0)</f>
      </c>
      <c r="AE93" s="4">
        <f>IFERROR(Z93/SUM(G93:J93), 0)</f>
      </c>
      <c r="AF93" s="4">
        <f>IFERROR(Z93/SUM(G93:J93), 0)</f>
      </c>
      <c r="AG93" s="4">
        <f>IFERROR(V93/J93, 0)</f>
      </c>
    </row>
    <row r="94" spans="1:33" x14ac:dyDescent="0.25">
      <c r="A94" s="2">
        <v>66</v>
      </c>
      <c r="B94" s="2" t="s">
        <v>228</v>
      </c>
      <c r="C94" s="2" t="s">
        <v>367</v>
      </c>
      <c r="D94" s="2"/>
      <c r="E94" s="2"/>
      <c r="F94" s="2"/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3480000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4"/>
      <c r="X94" s="4"/>
      <c r="Y94" s="3">
        <f>SUM(G94:R94)</f>
      </c>
      <c r="Z94" s="3">
        <f>SUM(S94:V94)</f>
      </c>
      <c r="AA94" s="3">
        <f>AVERAGE(T94:V94)</f>
      </c>
      <c r="AB94" s="3">
        <f>AVERAGE(Q94:V94)</f>
      </c>
      <c r="AC94" s="3">
        <f>AVERAGE(N94:V94)</f>
      </c>
      <c r="AD94" s="4">
        <f>IFERROR((AA94*2)/(AB94+AC94), 0)</f>
      </c>
      <c r="AE94" s="4">
        <f>IFERROR(Z94/SUM(G94:J94), 0)</f>
      </c>
      <c r="AF94" s="4">
        <f>IFERROR(Z94/SUM(G94:J94), 0)</f>
      </c>
      <c r="AG94" s="4">
        <f>IFERROR(V94/J94, 0)</f>
      </c>
    </row>
    <row r="95" spans="1:33" x14ac:dyDescent="0.25">
      <c r="A95" s="2">
        <v>67</v>
      </c>
      <c r="B95" s="2" t="s">
        <v>229</v>
      </c>
      <c r="C95" s="2" t="s">
        <v>367</v>
      </c>
      <c r="D95" s="2"/>
      <c r="E95" s="2"/>
      <c r="F95" s="2"/>
      <c r="G95" s="3">
        <v>0</v>
      </c>
      <c r="H95" s="3">
        <v>0</v>
      </c>
      <c r="I95" s="3">
        <v>0</v>
      </c>
      <c r="J95" s="3">
        <v>553000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4"/>
      <c r="X95" s="4"/>
      <c r="Y95" s="3">
        <f>SUM(G95:R95)</f>
      </c>
      <c r="Z95" s="3">
        <f>SUM(S95:V95)</f>
      </c>
      <c r="AA95" s="3">
        <f>AVERAGE(T95:V95)</f>
      </c>
      <c r="AB95" s="3">
        <f>AVERAGE(Q95:V95)</f>
      </c>
      <c r="AC95" s="3">
        <f>AVERAGE(N95:V95)</f>
      </c>
      <c r="AD95" s="4">
        <f>IFERROR((AA95*2)/(AB95+AC95), 0)</f>
      </c>
      <c r="AE95" s="4">
        <f>IFERROR(Z95/SUM(G95:J95), 0)</f>
      </c>
      <c r="AF95" s="4">
        <f>IFERROR(Z95/SUM(G95:J95), 0)</f>
      </c>
      <c r="AG95" s="4">
        <f>IFERROR(V95/J95, 0)</f>
      </c>
    </row>
    <row r="96" spans="1:33" x14ac:dyDescent="0.25">
      <c r="A96" s="2">
        <v>68</v>
      </c>
      <c r="B96" s="2" t="s">
        <v>230</v>
      </c>
      <c r="C96" s="2" t="s">
        <v>367</v>
      </c>
      <c r="D96" s="2"/>
      <c r="E96" s="2"/>
      <c r="F96" s="2"/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934560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4"/>
      <c r="X96" s="4"/>
      <c r="Y96" s="3">
        <f>SUM(G96:R96)</f>
      </c>
      <c r="Z96" s="3">
        <f>SUM(S96:V96)</f>
      </c>
      <c r="AA96" s="3">
        <f>AVERAGE(T96:V96)</f>
      </c>
      <c r="AB96" s="3">
        <f>AVERAGE(Q96:V96)</f>
      </c>
      <c r="AC96" s="3">
        <f>AVERAGE(N96:V96)</f>
      </c>
      <c r="AD96" s="4">
        <f>IFERROR((AA96*2)/(AB96+AC96), 0)</f>
      </c>
      <c r="AE96" s="4">
        <f>IFERROR(Z96/SUM(G96:J96), 0)</f>
      </c>
      <c r="AF96" s="4">
        <f>IFERROR(Z96/SUM(G96:J96), 0)</f>
      </c>
      <c r="AG96" s="4">
        <f>IFERROR(V96/J96, 0)</f>
      </c>
    </row>
    <row r="97" spans="1:33" x14ac:dyDescent="0.25">
      <c r="A97" s="2">
        <v>69</v>
      </c>
      <c r="B97" s="2" t="s">
        <v>231</v>
      </c>
      <c r="C97" s="2" t="s">
        <v>367</v>
      </c>
      <c r="D97" s="2"/>
      <c r="E97" s="2"/>
      <c r="F97" s="2"/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625680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4"/>
      <c r="X97" s="4"/>
      <c r="Y97" s="3">
        <f>SUM(G97:R97)</f>
      </c>
      <c r="Z97" s="3">
        <f>SUM(S97:V97)</f>
      </c>
      <c r="AA97" s="3">
        <f>AVERAGE(T97:V97)</f>
      </c>
      <c r="AB97" s="3">
        <f>AVERAGE(Q97:V97)</f>
      </c>
      <c r="AC97" s="3">
        <f>AVERAGE(N97:V97)</f>
      </c>
      <c r="AD97" s="4">
        <f>IFERROR((AA97*2)/(AB97+AC97), 0)</f>
      </c>
      <c r="AE97" s="4">
        <f>IFERROR(Z97/SUM(G97:J97), 0)</f>
      </c>
      <c r="AF97" s="4">
        <f>IFERROR(Z97/SUM(G97:J97), 0)</f>
      </c>
      <c r="AG97" s="4">
        <f>IFERROR(V97/J97, 0)</f>
      </c>
    </row>
    <row r="98" spans="1:33" x14ac:dyDescent="0.25">
      <c r="A98" s="2">
        <v>70</v>
      </c>
      <c r="B98" s="2" t="s">
        <v>232</v>
      </c>
      <c r="C98" s="2" t="s">
        <v>367</v>
      </c>
      <c r="D98" s="2"/>
      <c r="E98" s="2"/>
      <c r="F98" s="2"/>
      <c r="G98" s="3">
        <v>0</v>
      </c>
      <c r="H98" s="3">
        <v>0</v>
      </c>
      <c r="I98" s="3">
        <v>0</v>
      </c>
      <c r="J98" s="3">
        <v>0</v>
      </c>
      <c r="K98" s="3">
        <v>695200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4"/>
      <c r="X98" s="4"/>
      <c r="Y98" s="3">
        <f>SUM(G98:R98)</f>
      </c>
      <c r="Z98" s="3">
        <f>SUM(S98:V98)</f>
      </c>
      <c r="AA98" s="3">
        <f>AVERAGE(T98:V98)</f>
      </c>
      <c r="AB98" s="3">
        <f>AVERAGE(Q98:V98)</f>
      </c>
      <c r="AC98" s="3">
        <f>AVERAGE(N98:V98)</f>
      </c>
      <c r="AD98" s="4">
        <f>IFERROR((AA98*2)/(AB98+AC98), 0)</f>
      </c>
      <c r="AE98" s="4">
        <f>IFERROR(Z98/SUM(G98:J98), 0)</f>
      </c>
      <c r="AF98" s="4">
        <f>IFERROR(Z98/SUM(G98:J98), 0)</f>
      </c>
      <c r="AG98" s="4">
        <f>IFERROR(V98/J98, 0)</f>
      </c>
    </row>
    <row r="99" spans="1:33" x14ac:dyDescent="0.25">
      <c r="A99" s="2">
        <v>71</v>
      </c>
      <c r="B99" s="2" t="s">
        <v>233</v>
      </c>
      <c r="C99" s="2" t="s">
        <v>367</v>
      </c>
      <c r="D99" s="2"/>
      <c r="E99" s="2"/>
      <c r="F99" s="2"/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783200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4"/>
      <c r="X99" s="4"/>
      <c r="Y99" s="3">
        <f>SUM(G99:R99)</f>
      </c>
      <c r="Z99" s="3">
        <f>SUM(S99:V99)</f>
      </c>
      <c r="AA99" s="3">
        <f>AVERAGE(T99:V99)</f>
      </c>
      <c r="AB99" s="3">
        <f>AVERAGE(Q99:V99)</f>
      </c>
      <c r="AC99" s="3">
        <f>AVERAGE(N99:V99)</f>
      </c>
      <c r="AD99" s="4">
        <f>IFERROR((AA99*2)/(AB99+AC99), 0)</f>
      </c>
      <c r="AE99" s="4">
        <f>IFERROR(Z99/SUM(G99:J99), 0)</f>
      </c>
      <c r="AF99" s="4">
        <f>IFERROR(Z99/SUM(G99:J99), 0)</f>
      </c>
      <c r="AG99" s="4">
        <f>IFERROR(V99/J99, 0)</f>
      </c>
    </row>
    <row r="100" spans="1:33" x14ac:dyDescent="0.25">
      <c r="A100" s="2">
        <v>72</v>
      </c>
      <c r="B100" s="2" t="s">
        <v>234</v>
      </c>
      <c r="C100" s="2" t="s">
        <v>367</v>
      </c>
      <c r="D100" s="2"/>
      <c r="E100" s="2"/>
      <c r="F100" s="2"/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415360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4"/>
      <c r="X100" s="4"/>
      <c r="Y100" s="3">
        <f>SUM(G100:R100)</f>
      </c>
      <c r="Z100" s="3">
        <f>SUM(S100:V100)</f>
      </c>
      <c r="AA100" s="3">
        <f>AVERAGE(T100:V100)</f>
      </c>
      <c r="AB100" s="3">
        <f>AVERAGE(Q100:V100)</f>
      </c>
      <c r="AC100" s="3">
        <f>AVERAGE(N100:V100)</f>
      </c>
      <c r="AD100" s="4">
        <f>IFERROR((AA100*2)/(AB100+AC100), 0)</f>
      </c>
      <c r="AE100" s="4">
        <f>IFERROR(Z100/SUM(G100:J100), 0)</f>
      </c>
      <c r="AF100" s="4">
        <f>IFERROR(Z100/SUM(G100:J100), 0)</f>
      </c>
      <c r="AG100" s="4">
        <f>IFERROR(V100/J100, 0)</f>
      </c>
    </row>
    <row r="101" spans="1:33" x14ac:dyDescent="0.25">
      <c r="A101" s="2">
        <v>73</v>
      </c>
      <c r="B101" s="2" t="s">
        <v>235</v>
      </c>
      <c r="C101" s="2" t="s">
        <v>367</v>
      </c>
      <c r="D101" s="2"/>
      <c r="E101" s="2"/>
      <c r="F101" s="2"/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467280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4"/>
      <c r="X101" s="4"/>
      <c r="Y101" s="3">
        <f>SUM(G101:R101)</f>
      </c>
      <c r="Z101" s="3">
        <f>SUM(S101:V101)</f>
      </c>
      <c r="AA101" s="3">
        <f>AVERAGE(T101:V101)</f>
      </c>
      <c r="AB101" s="3">
        <f>AVERAGE(Q101:V101)</f>
      </c>
      <c r="AC101" s="3">
        <f>AVERAGE(N101:V101)</f>
      </c>
      <c r="AD101" s="4">
        <f>IFERROR((AA101*2)/(AB101+AC101), 0)</f>
      </c>
      <c r="AE101" s="4">
        <f>IFERROR(Z101/SUM(G101:J101), 0)</f>
      </c>
      <c r="AF101" s="4">
        <f>IFERROR(Z101/SUM(G101:J101), 0)</f>
      </c>
      <c r="AG101" s="4">
        <f>IFERROR(V101/J101, 0)</f>
      </c>
    </row>
    <row r="102" spans="1:33" x14ac:dyDescent="0.25">
      <c r="A102" s="2">
        <v>74</v>
      </c>
      <c r="B102" s="2" t="s">
        <v>236</v>
      </c>
      <c r="C102" s="2" t="s">
        <v>367</v>
      </c>
      <c r="D102" s="2"/>
      <c r="E102" s="2"/>
      <c r="F102" s="2"/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415360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4"/>
      <c r="X102" s="4"/>
      <c r="Y102" s="3">
        <f>SUM(G102:R102)</f>
      </c>
      <c r="Z102" s="3">
        <f>SUM(S102:V102)</f>
      </c>
      <c r="AA102" s="3">
        <f>AVERAGE(T102:V102)</f>
      </c>
      <c r="AB102" s="3">
        <f>AVERAGE(Q102:V102)</f>
      </c>
      <c r="AC102" s="3">
        <f>AVERAGE(N102:V102)</f>
      </c>
      <c r="AD102" s="4">
        <f>IFERROR((AA102*2)/(AB102+AC102), 0)</f>
      </c>
      <c r="AE102" s="4">
        <f>IFERROR(Z102/SUM(G102:J102), 0)</f>
      </c>
      <c r="AF102" s="4">
        <f>IFERROR(Z102/SUM(G102:J102), 0)</f>
      </c>
      <c r="AG102" s="4">
        <f>IFERROR(V102/J102, 0)</f>
      </c>
    </row>
    <row r="103" spans="1:33" x14ac:dyDescent="0.25">
      <c r="A103" s="2">
        <v>75</v>
      </c>
      <c r="B103" s="2" t="s">
        <v>237</v>
      </c>
      <c r="C103" s="2" t="s">
        <v>363</v>
      </c>
      <c r="D103" s="2"/>
      <c r="E103" s="2"/>
      <c r="F103" s="2"/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467280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4"/>
      <c r="X103" s="4"/>
      <c r="Y103" s="3">
        <f>SUM(G103:R103)</f>
      </c>
      <c r="Z103" s="3">
        <f>SUM(S103:V103)</f>
      </c>
      <c r="AA103" s="3">
        <f>AVERAGE(T103:V103)</f>
      </c>
      <c r="AB103" s="3">
        <f>AVERAGE(Q103:V103)</f>
      </c>
      <c r="AC103" s="3">
        <f>AVERAGE(N103:V103)</f>
      </c>
      <c r="AD103" s="4">
        <f>IFERROR((AA103*2)/(AB103+AC103), 0)</f>
      </c>
      <c r="AE103" s="4">
        <f>IFERROR(Z103/SUM(G103:J103), 0)</f>
      </c>
      <c r="AF103" s="4">
        <f>IFERROR(Z103/SUM(G103:J103), 0)</f>
      </c>
      <c r="AG103" s="4">
        <f>IFERROR(V103/J103, 0)</f>
      </c>
    </row>
    <row r="104" spans="1:33" x14ac:dyDescent="0.25">
      <c r="A104" s="2">
        <v>76</v>
      </c>
      <c r="B104" s="2" t="s">
        <v>238</v>
      </c>
      <c r="C104" s="2" t="s">
        <v>367</v>
      </c>
      <c r="D104" s="2"/>
      <c r="E104" s="2"/>
      <c r="F104" s="2"/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704880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4"/>
      <c r="X104" s="4"/>
      <c r="Y104" s="3">
        <f>SUM(G104:R104)</f>
      </c>
      <c r="Z104" s="3">
        <f>SUM(S104:V104)</f>
      </c>
      <c r="AA104" s="3">
        <f>AVERAGE(T104:V104)</f>
      </c>
      <c r="AB104" s="3">
        <f>AVERAGE(Q104:V104)</f>
      </c>
      <c r="AC104" s="3">
        <f>AVERAGE(N104:V104)</f>
      </c>
      <c r="AD104" s="4">
        <f>IFERROR((AA104*2)/(AB104+AC104), 0)</f>
      </c>
      <c r="AE104" s="4">
        <f>IFERROR(Z104/SUM(G104:J104), 0)</f>
      </c>
      <c r="AF104" s="4">
        <f>IFERROR(Z104/SUM(G104:J104), 0)</f>
      </c>
      <c r="AG104" s="4">
        <f>IFERROR(V104/J104, 0)</f>
      </c>
    </row>
    <row r="105" spans="1:33" x14ac:dyDescent="0.25">
      <c r="A105" s="2">
        <v>77</v>
      </c>
      <c r="B105" s="2" t="s">
        <v>239</v>
      </c>
      <c r="C105" s="2" t="s">
        <v>367</v>
      </c>
      <c r="D105" s="2"/>
      <c r="E105" s="2"/>
      <c r="F105" s="2"/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682000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4"/>
      <c r="X105" s="4"/>
      <c r="Y105" s="3">
        <f>SUM(G105:R105)</f>
      </c>
      <c r="Z105" s="3">
        <f>SUM(S105:V105)</f>
      </c>
      <c r="AA105" s="3">
        <f>AVERAGE(T105:V105)</f>
      </c>
      <c r="AB105" s="3">
        <f>AVERAGE(Q105:V105)</f>
      </c>
      <c r="AC105" s="3">
        <f>AVERAGE(N105:V105)</f>
      </c>
      <c r="AD105" s="4">
        <f>IFERROR((AA105*2)/(AB105+AC105), 0)</f>
      </c>
      <c r="AE105" s="4">
        <f>IFERROR(Z105/SUM(G105:J105), 0)</f>
      </c>
      <c r="AF105" s="4">
        <f>IFERROR(Z105/SUM(G105:J105), 0)</f>
      </c>
      <c r="AG105" s="4">
        <f>IFERROR(V105/J105, 0)</f>
      </c>
    </row>
    <row r="106" spans="1:33" x14ac:dyDescent="0.25">
      <c r="A106" s="2">
        <v>78</v>
      </c>
      <c r="B106" s="2" t="s">
        <v>240</v>
      </c>
      <c r="C106" s="2" t="s">
        <v>367</v>
      </c>
      <c r="D106" s="2"/>
      <c r="E106" s="2"/>
      <c r="F106" s="2"/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531000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4"/>
      <c r="X106" s="4"/>
      <c r="Y106" s="3">
        <f>SUM(G106:R106)</f>
      </c>
      <c r="Z106" s="3">
        <f>SUM(S106:V106)</f>
      </c>
      <c r="AA106" s="3">
        <f>AVERAGE(T106:V106)</f>
      </c>
      <c r="AB106" s="3">
        <f>AVERAGE(Q106:V106)</f>
      </c>
      <c r="AC106" s="3">
        <f>AVERAGE(N106:V106)</f>
      </c>
      <c r="AD106" s="4">
        <f>IFERROR((AA106*2)/(AB106+AC106), 0)</f>
      </c>
      <c r="AE106" s="4">
        <f>IFERROR(Z106/SUM(G106:J106), 0)</f>
      </c>
      <c r="AF106" s="4">
        <f>IFERROR(Z106/SUM(G106:J106), 0)</f>
      </c>
      <c r="AG106" s="4">
        <f>IFERROR(V106/J106, 0)</f>
      </c>
    </row>
    <row r="107" spans="1:33" x14ac:dyDescent="0.25">
      <c r="A107" s="2">
        <v>79</v>
      </c>
      <c r="B107" s="2" t="s">
        <v>241</v>
      </c>
      <c r="C107" s="2" t="s">
        <v>367</v>
      </c>
      <c r="D107" s="2"/>
      <c r="E107" s="2"/>
      <c r="F107" s="2"/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495000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4"/>
      <c r="X107" s="4"/>
      <c r="Y107" s="3">
        <f>SUM(G107:R107)</f>
      </c>
      <c r="Z107" s="3">
        <f>SUM(S107:V107)</f>
      </c>
      <c r="AA107" s="3">
        <f>AVERAGE(T107:V107)</f>
      </c>
      <c r="AB107" s="3">
        <f>AVERAGE(Q107:V107)</f>
      </c>
      <c r="AC107" s="3">
        <f>AVERAGE(N107:V107)</f>
      </c>
      <c r="AD107" s="4">
        <f>IFERROR((AA107*2)/(AB107+AC107), 0)</f>
      </c>
      <c r="AE107" s="4">
        <f>IFERROR(Z107/SUM(G107:J107), 0)</f>
      </c>
      <c r="AF107" s="4">
        <f>IFERROR(Z107/SUM(G107:J107), 0)</f>
      </c>
      <c r="AG107" s="4">
        <f>IFERROR(V107/J107, 0)</f>
      </c>
    </row>
    <row r="108" spans="1:33" x14ac:dyDescent="0.25">
      <c r="A108" s="2">
        <v>80</v>
      </c>
      <c r="B108" s="2" t="s">
        <v>242</v>
      </c>
      <c r="C108" s="2" t="s">
        <v>367</v>
      </c>
      <c r="D108" s="2"/>
      <c r="E108" s="2"/>
      <c r="F108" s="2"/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3062400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4"/>
      <c r="X108" s="4"/>
      <c r="Y108" s="3">
        <f>SUM(G108:R108)</f>
      </c>
      <c r="Z108" s="3">
        <f>SUM(S108:V108)</f>
      </c>
      <c r="AA108" s="3">
        <f>AVERAGE(T108:V108)</f>
      </c>
      <c r="AB108" s="3">
        <f>AVERAGE(Q108:V108)</f>
      </c>
      <c r="AC108" s="3">
        <f>AVERAGE(N108:V108)</f>
      </c>
      <c r="AD108" s="4">
        <f>IFERROR((AA108*2)/(AB108+AC108), 0)</f>
      </c>
      <c r="AE108" s="4">
        <f>IFERROR(Z108/SUM(G108:J108), 0)</f>
      </c>
      <c r="AF108" s="4">
        <f>IFERROR(Z108/SUM(G108:J108), 0)</f>
      </c>
      <c r="AG108" s="4">
        <f>IFERROR(V108/J108, 0)</f>
      </c>
    </row>
    <row r="109" spans="1:33" x14ac:dyDescent="0.25">
      <c r="A109" s="2">
        <v>81</v>
      </c>
      <c r="B109" s="2" t="s">
        <v>243</v>
      </c>
      <c r="C109" s="2" t="s">
        <v>367</v>
      </c>
      <c r="D109" s="2"/>
      <c r="E109" s="2"/>
      <c r="F109" s="2"/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1869120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4"/>
      <c r="X109" s="4"/>
      <c r="Y109" s="3">
        <f>SUM(G109:R109)</f>
      </c>
      <c r="Z109" s="3">
        <f>SUM(S109:V109)</f>
      </c>
      <c r="AA109" s="3">
        <f>AVERAGE(T109:V109)</f>
      </c>
      <c r="AB109" s="3">
        <f>AVERAGE(Q109:V109)</f>
      </c>
      <c r="AC109" s="3">
        <f>AVERAGE(N109:V109)</f>
      </c>
      <c r="AD109" s="4">
        <f>IFERROR((AA109*2)/(AB109+AC109), 0)</f>
      </c>
      <c r="AE109" s="4">
        <f>IFERROR(Z109/SUM(G109:J109), 0)</f>
      </c>
      <c r="AF109" s="4">
        <f>IFERROR(Z109/SUM(G109:J109), 0)</f>
      </c>
      <c r="AG109" s="4">
        <f>IFERROR(V109/J109, 0)</f>
      </c>
    </row>
    <row r="110" spans="1:33" x14ac:dyDescent="0.25">
      <c r="A110" s="2">
        <v>82</v>
      </c>
      <c r="B110" s="2" t="s">
        <v>244</v>
      </c>
      <c r="C110" s="2" t="s">
        <v>367</v>
      </c>
      <c r="D110" s="2"/>
      <c r="E110" s="2"/>
      <c r="F110" s="2"/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801000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4"/>
      <c r="X110" s="4"/>
      <c r="Y110" s="3">
        <f>SUM(G110:R110)</f>
      </c>
      <c r="Z110" s="3">
        <f>SUM(S110:V110)</f>
      </c>
      <c r="AA110" s="3">
        <f>AVERAGE(T110:V110)</f>
      </c>
      <c r="AB110" s="3">
        <f>AVERAGE(Q110:V110)</f>
      </c>
      <c r="AC110" s="3">
        <f>AVERAGE(N110:V110)</f>
      </c>
      <c r="AD110" s="4">
        <f>IFERROR((AA110*2)/(AB110+AC110), 0)</f>
      </c>
      <c r="AE110" s="4">
        <f>IFERROR(Z110/SUM(G110:J110), 0)</f>
      </c>
      <c r="AF110" s="4">
        <f>IFERROR(Z110/SUM(G110:J110), 0)</f>
      </c>
      <c r="AG110" s="4">
        <f>IFERROR(V110/J110, 0)</f>
      </c>
    </row>
    <row r="111" spans="1:33" x14ac:dyDescent="0.25">
      <c r="A111" s="2">
        <v>83</v>
      </c>
      <c r="B111" s="2" t="s">
        <v>245</v>
      </c>
      <c r="C111" s="2" t="s">
        <v>367</v>
      </c>
      <c r="D111" s="2"/>
      <c r="E111" s="2"/>
      <c r="F111" s="2"/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415360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4"/>
      <c r="X111" s="4"/>
      <c r="Y111" s="3">
        <f>SUM(G111:R111)</f>
      </c>
      <c r="Z111" s="3">
        <f>SUM(S111:V111)</f>
      </c>
      <c r="AA111" s="3">
        <f>AVERAGE(T111:V111)</f>
      </c>
      <c r="AB111" s="3">
        <f>AVERAGE(Q111:V111)</f>
      </c>
      <c r="AC111" s="3">
        <f>AVERAGE(N111:V111)</f>
      </c>
      <c r="AD111" s="4">
        <f>IFERROR((AA111*2)/(AB111+AC111), 0)</f>
      </c>
      <c r="AE111" s="4">
        <f>IFERROR(Z111/SUM(G111:J111), 0)</f>
      </c>
      <c r="AF111" s="4">
        <f>IFERROR(Z111/SUM(G111:J111), 0)</f>
      </c>
      <c r="AG111" s="4">
        <f>IFERROR(V111/J111, 0)</f>
      </c>
    </row>
    <row r="112" spans="1:33" x14ac:dyDescent="0.25">
      <c r="A112" s="2">
        <v>84</v>
      </c>
      <c r="B112" s="2" t="s">
        <v>246</v>
      </c>
      <c r="C112" s="2" t="s">
        <v>367</v>
      </c>
      <c r="D112" s="2"/>
      <c r="E112" s="2"/>
      <c r="F112" s="2"/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783200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4"/>
      <c r="X112" s="4"/>
      <c r="Y112" s="3">
        <f>SUM(G112:R112)</f>
      </c>
      <c r="Z112" s="3">
        <f>SUM(S112:V112)</f>
      </c>
      <c r="AA112" s="3">
        <f>AVERAGE(T112:V112)</f>
      </c>
      <c r="AB112" s="3">
        <f>AVERAGE(Q112:V112)</f>
      </c>
      <c r="AC112" s="3">
        <f>AVERAGE(N112:V112)</f>
      </c>
      <c r="AD112" s="4">
        <f>IFERROR((AA112*2)/(AB112+AC112), 0)</f>
      </c>
      <c r="AE112" s="4">
        <f>IFERROR(Z112/SUM(G112:J112), 0)</f>
      </c>
      <c r="AF112" s="4">
        <f>IFERROR(Z112/SUM(G112:J112), 0)</f>
      </c>
      <c r="AG112" s="4">
        <f>IFERROR(V112/J112, 0)</f>
      </c>
    </row>
    <row r="113" spans="1:33" x14ac:dyDescent="0.25">
      <c r="A113" s="2">
        <v>85</v>
      </c>
      <c r="B113" s="2" t="s">
        <v>247</v>
      </c>
      <c r="C113" s="2" t="s">
        <v>367</v>
      </c>
      <c r="D113" s="2"/>
      <c r="E113" s="2"/>
      <c r="F113" s="2"/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665720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4"/>
      <c r="X113" s="4"/>
      <c r="Y113" s="3">
        <f>SUM(G113:R113)</f>
      </c>
      <c r="Z113" s="3">
        <f>SUM(S113:V113)</f>
      </c>
      <c r="AA113" s="3">
        <f>AVERAGE(T113:V113)</f>
      </c>
      <c r="AB113" s="3">
        <f>AVERAGE(Q113:V113)</f>
      </c>
      <c r="AC113" s="3">
        <f>AVERAGE(N113:V113)</f>
      </c>
      <c r="AD113" s="4">
        <f>IFERROR((AA113*2)/(AB113+AC113), 0)</f>
      </c>
      <c r="AE113" s="4">
        <f>IFERROR(Z113/SUM(G113:J113), 0)</f>
      </c>
      <c r="AF113" s="4">
        <f>IFERROR(Z113/SUM(G113:J113), 0)</f>
      </c>
      <c r="AG113" s="4">
        <f>IFERROR(V113/J113, 0)</f>
      </c>
    </row>
    <row r="114" spans="1:33" x14ac:dyDescent="0.25">
      <c r="A114" s="2">
        <v>86</v>
      </c>
      <c r="B114" s="2" t="s">
        <v>249</v>
      </c>
      <c r="C114" s="2" t="s">
        <v>363</v>
      </c>
      <c r="D114" s="2"/>
      <c r="E114" s="2"/>
      <c r="F114" s="2"/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57774000</v>
      </c>
      <c r="Q114" s="3">
        <v>0</v>
      </c>
      <c r="R114" s="3">
        <v>0</v>
      </c>
      <c r="S114" s="3">
        <v>454450</v>
      </c>
      <c r="T114" s="3">
        <v>0</v>
      </c>
      <c r="U114" s="3">
        <v>0</v>
      </c>
      <c r="V114" s="3">
        <v>0</v>
      </c>
      <c r="W114" s="4"/>
      <c r="X114" s="4"/>
      <c r="Y114" s="3">
        <f>SUM(G114:R114)</f>
      </c>
      <c r="Z114" s="3">
        <f>SUM(S114:V114)</f>
      </c>
      <c r="AA114" s="3">
        <f>AVERAGE(T114:V114)</f>
      </c>
      <c r="AB114" s="3">
        <f>AVERAGE(Q114:V114)</f>
      </c>
      <c r="AC114" s="3">
        <f>AVERAGE(N114:V114)</f>
      </c>
      <c r="AD114" s="4">
        <f>IFERROR((AA114*2)/(AB114+AC114), 0)</f>
      </c>
      <c r="AE114" s="4">
        <f>IFERROR(Z114/SUM(G114:J114), 0)</f>
      </c>
      <c r="AF114" s="4">
        <f>IFERROR(Z114/SUM(G114:J114), 0)</f>
      </c>
      <c r="AG114" s="4">
        <f>IFERROR(V114/J114, 0)</f>
      </c>
    </row>
    <row r="115" spans="1:33" x14ac:dyDescent="0.25">
      <c r="A115" s="2">
        <v>87</v>
      </c>
      <c r="B115" s="2" t="s">
        <v>250</v>
      </c>
      <c r="C115" s="2" t="s">
        <v>368</v>
      </c>
      <c r="D115" s="2"/>
      <c r="E115" s="2"/>
      <c r="F115" s="2"/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11935499.844999999</v>
      </c>
      <c r="N115" s="3">
        <v>4225499.999999999</v>
      </c>
      <c r="O115" s="3">
        <v>7109999.999999999</v>
      </c>
      <c r="P115" s="3">
        <v>7109999.999999999</v>
      </c>
      <c r="Q115" s="3">
        <v>0</v>
      </c>
      <c r="R115" s="3">
        <v>3950000</v>
      </c>
      <c r="S115" s="3">
        <v>0</v>
      </c>
      <c r="T115" s="3">
        <v>0</v>
      </c>
      <c r="U115" s="3">
        <v>0</v>
      </c>
      <c r="V115" s="3">
        <v>0</v>
      </c>
      <c r="W115" s="4"/>
      <c r="X115" s="4"/>
      <c r="Y115" s="3">
        <f>SUM(G115:R115)</f>
      </c>
      <c r="Z115" s="3">
        <f>SUM(S115:V115)</f>
      </c>
      <c r="AA115" s="3">
        <f>AVERAGE(T115:V115)</f>
      </c>
      <c r="AB115" s="3">
        <f>AVERAGE(Q115:V115)</f>
      </c>
      <c r="AC115" s="3">
        <f>AVERAGE(N115:V115)</f>
      </c>
      <c r="AD115" s="4">
        <f>IFERROR((AA115*2)/(AB115+AC115), 0)</f>
      </c>
      <c r="AE115" s="4">
        <f>IFERROR(Z115/SUM(G115:J115), 0)</f>
      </c>
      <c r="AF115" s="4">
        <f>IFERROR(Z115/SUM(G115:J115), 0)</f>
      </c>
      <c r="AG115" s="4">
        <f>IFERROR(V115/J115, 0)</f>
      </c>
    </row>
    <row r="116" spans="1:33" x14ac:dyDescent="0.25">
      <c r="A116" s="2">
        <v>88</v>
      </c>
      <c r="B116" s="2" t="s">
        <v>251</v>
      </c>
      <c r="C116" s="2" t="s">
        <v>365</v>
      </c>
      <c r="D116" s="2"/>
      <c r="E116" s="2"/>
      <c r="F116" s="2"/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69455000</v>
      </c>
      <c r="P116" s="3">
        <v>37250000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4"/>
      <c r="X116" s="4"/>
      <c r="Y116" s="3">
        <f>SUM(G116:R116)</f>
      </c>
      <c r="Z116" s="3">
        <f>SUM(S116:V116)</f>
      </c>
      <c r="AA116" s="3">
        <f>AVERAGE(T116:V116)</f>
      </c>
      <c r="AB116" s="3">
        <f>AVERAGE(Q116:V116)</f>
      </c>
      <c r="AC116" s="3">
        <f>AVERAGE(N116:V116)</f>
      </c>
      <c r="AD116" s="4">
        <f>IFERROR((AA116*2)/(AB116+AC116), 0)</f>
      </c>
      <c r="AE116" s="4">
        <f>IFERROR(Z116/SUM(G116:J116), 0)</f>
      </c>
      <c r="AF116" s="4">
        <f>IFERROR(Z116/SUM(G116:J116), 0)</f>
      </c>
      <c r="AG116" s="4">
        <f>IFERROR(V116/J116, 0)</f>
      </c>
    </row>
    <row r="117" spans="1:33" x14ac:dyDescent="0.25">
      <c r="A117" s="2">
        <v>89</v>
      </c>
      <c r="B117" s="2" t="s">
        <v>252</v>
      </c>
      <c r="C117" s="2" t="s">
        <v>366</v>
      </c>
      <c r="D117" s="2"/>
      <c r="E117" s="2"/>
      <c r="F117" s="2"/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7510600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4"/>
      <c r="X117" s="4"/>
      <c r="Y117" s="3">
        <f>SUM(G117:R117)</f>
      </c>
      <c r="Z117" s="3">
        <f>SUM(S117:V117)</f>
      </c>
      <c r="AA117" s="3">
        <f>AVERAGE(T117:V117)</f>
      </c>
      <c r="AB117" s="3">
        <f>AVERAGE(Q117:V117)</f>
      </c>
      <c r="AC117" s="3">
        <f>AVERAGE(N117:V117)</f>
      </c>
      <c r="AD117" s="4">
        <f>IFERROR((AA117*2)/(AB117+AC117), 0)</f>
      </c>
      <c r="AE117" s="4">
        <f>IFERROR(Z117/SUM(G117:J117), 0)</f>
      </c>
      <c r="AF117" s="4">
        <f>IFERROR(Z117/SUM(G117:J117), 0)</f>
      </c>
      <c r="AG117" s="4">
        <f>IFERROR(V117/J117, 0)</f>
      </c>
    </row>
    <row r="118" spans="1:33" x14ac:dyDescent="0.25">
      <c r="A118" s="2">
        <v>90</v>
      </c>
      <c r="B118" s="2" t="s">
        <v>253</v>
      </c>
      <c r="C118" s="2" t="s">
        <v>370</v>
      </c>
      <c r="D118" s="2"/>
      <c r="E118" s="2"/>
      <c r="F118" s="2"/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7722000</v>
      </c>
      <c r="M118" s="3">
        <v>25754400</v>
      </c>
      <c r="N118" s="3">
        <v>23716800</v>
      </c>
      <c r="O118" s="3">
        <v>17452800</v>
      </c>
      <c r="P118" s="3">
        <v>8179200</v>
      </c>
      <c r="Q118" s="3">
        <v>5598000</v>
      </c>
      <c r="R118" s="3">
        <v>5392800</v>
      </c>
      <c r="S118" s="3">
        <v>0</v>
      </c>
      <c r="T118" s="3">
        <v>14083200</v>
      </c>
      <c r="U118" s="3">
        <v>22651199.955</v>
      </c>
      <c r="V118" s="3">
        <v>35762398.59909999</v>
      </c>
      <c r="W118" s="4"/>
      <c r="X118" s="4"/>
      <c r="Y118" s="3">
        <f>SUM(G118:R118)</f>
      </c>
      <c r="Z118" s="3">
        <f>SUM(S118:V118)</f>
      </c>
      <c r="AA118" s="3">
        <f>AVERAGE(T118:V118)</f>
      </c>
      <c r="AB118" s="3">
        <f>AVERAGE(Q118:V118)</f>
      </c>
      <c r="AC118" s="3">
        <f>AVERAGE(N118:V118)</f>
      </c>
      <c r="AD118" s="4">
        <f>IFERROR((AA118*2)/(AB118+AC118), 0)</f>
      </c>
      <c r="AE118" s="4">
        <f>IFERROR(Z118/SUM(G118:J118), 0)</f>
      </c>
      <c r="AF118" s="4">
        <f>IFERROR(Z118/SUM(G118:J118), 0)</f>
      </c>
      <c r="AG118" s="4">
        <f>IFERROR(V118/J118, 0)</f>
      </c>
    </row>
    <row r="119" spans="1:33" x14ac:dyDescent="0.25">
      <c r="A119" s="2">
        <v>91</v>
      </c>
      <c r="B119" s="2" t="s">
        <v>254</v>
      </c>
      <c r="C119" s="2" t="s">
        <v>367</v>
      </c>
      <c r="D119" s="2"/>
      <c r="E119" s="2"/>
      <c r="F119" s="2"/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578500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4"/>
      <c r="X119" s="4"/>
      <c r="Y119" s="3">
        <f>SUM(G119:R119)</f>
      </c>
      <c r="Z119" s="3">
        <f>SUM(S119:V119)</f>
      </c>
      <c r="AA119" s="3">
        <f>AVERAGE(T119:V119)</f>
      </c>
      <c r="AB119" s="3">
        <f>AVERAGE(Q119:V119)</f>
      </c>
      <c r="AC119" s="3">
        <f>AVERAGE(N119:V119)</f>
      </c>
      <c r="AD119" s="4">
        <f>IFERROR((AA119*2)/(AB119+AC119), 0)</f>
      </c>
      <c r="AE119" s="4">
        <f>IFERROR(Z119/SUM(G119:J119), 0)</f>
      </c>
      <c r="AF119" s="4">
        <f>IFERROR(Z119/SUM(G119:J119), 0)</f>
      </c>
      <c r="AG119" s="4">
        <f>IFERROR(V119/J119, 0)</f>
      </c>
    </row>
    <row r="120" spans="1:33" x14ac:dyDescent="0.25">
      <c r="A120" s="2">
        <v>92</v>
      </c>
      <c r="B120" s="2" t="s">
        <v>257</v>
      </c>
      <c r="C120" s="2" t="s">
        <v>367</v>
      </c>
      <c r="D120" s="2"/>
      <c r="E120" s="2"/>
      <c r="F120" s="2"/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6250000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4"/>
      <c r="X120" s="4"/>
      <c r="Y120" s="3">
        <f>SUM(G120:R120)</f>
      </c>
      <c r="Z120" s="3">
        <f>SUM(S120:V120)</f>
      </c>
      <c r="AA120" s="3">
        <f>AVERAGE(T120:V120)</f>
      </c>
      <c r="AB120" s="3">
        <f>AVERAGE(Q120:V120)</f>
      </c>
      <c r="AC120" s="3">
        <f>AVERAGE(N120:V120)</f>
      </c>
      <c r="AD120" s="4">
        <f>IFERROR((AA120*2)/(AB120+AC120), 0)</f>
      </c>
      <c r="AE120" s="4">
        <f>IFERROR(Z120/SUM(G120:J120), 0)</f>
      </c>
      <c r="AF120" s="4">
        <f>IFERROR(Z120/SUM(G120:J120), 0)</f>
      </c>
      <c r="AG120" s="4">
        <f>IFERROR(V120/J120, 0)</f>
      </c>
    </row>
    <row r="121" spans="1:33" x14ac:dyDescent="0.25">
      <c r="A121" s="2">
        <v>93</v>
      </c>
      <c r="B121" s="2" t="s">
        <v>258</v>
      </c>
      <c r="C121" s="2" t="s">
        <v>364</v>
      </c>
      <c r="D121" s="2"/>
      <c r="E121" s="2"/>
      <c r="F121" s="2"/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172338100</v>
      </c>
      <c r="O121" s="3">
        <v>0</v>
      </c>
      <c r="P121" s="3">
        <v>0</v>
      </c>
      <c r="Q121" s="3">
        <v>59735600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4"/>
      <c r="X121" s="4"/>
      <c r="Y121" s="3">
        <f>SUM(G121:R121)</f>
      </c>
      <c r="Z121" s="3">
        <f>SUM(S121:V121)</f>
      </c>
      <c r="AA121" s="3">
        <f>AVERAGE(T121:V121)</f>
      </c>
      <c r="AB121" s="3">
        <f>AVERAGE(Q121:V121)</f>
      </c>
      <c r="AC121" s="3">
        <f>AVERAGE(N121:V121)</f>
      </c>
      <c r="AD121" s="4">
        <f>IFERROR((AA121*2)/(AB121+AC121), 0)</f>
      </c>
      <c r="AE121" s="4">
        <f>IFERROR(Z121/SUM(G121:J121), 0)</f>
      </c>
      <c r="AF121" s="4">
        <f>IFERROR(Z121/SUM(G121:J121), 0)</f>
      </c>
      <c r="AG121" s="4">
        <f>IFERROR(V121/J121, 0)</f>
      </c>
    </row>
    <row r="122" spans="1:33" x14ac:dyDescent="0.25">
      <c r="A122" s="2">
        <v>94</v>
      </c>
      <c r="B122" s="2" t="s">
        <v>260</v>
      </c>
      <c r="C122" s="2" t="s">
        <v>364</v>
      </c>
      <c r="D122" s="2"/>
      <c r="E122" s="2"/>
      <c r="F122" s="2"/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59840000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4"/>
      <c r="X122" s="4"/>
      <c r="Y122" s="3">
        <f>SUM(G122:R122)</f>
      </c>
      <c r="Z122" s="3">
        <f>SUM(S122:V122)</f>
      </c>
      <c r="AA122" s="3">
        <f>AVERAGE(T122:V122)</f>
      </c>
      <c r="AB122" s="3">
        <f>AVERAGE(Q122:V122)</f>
      </c>
      <c r="AC122" s="3">
        <f>AVERAGE(N122:V122)</f>
      </c>
      <c r="AD122" s="4">
        <f>IFERROR((AA122*2)/(AB122+AC122), 0)</f>
      </c>
      <c r="AE122" s="4">
        <f>IFERROR(Z122/SUM(G122:J122), 0)</f>
      </c>
      <c r="AF122" s="4">
        <f>IFERROR(Z122/SUM(G122:J122), 0)</f>
      </c>
      <c r="AG122" s="4">
        <f>IFERROR(V122/J122, 0)</f>
      </c>
    </row>
    <row r="123" spans="1:33" x14ac:dyDescent="0.25">
      <c r="A123" s="2">
        <v>95</v>
      </c>
      <c r="B123" s="2" t="s">
        <v>261</v>
      </c>
      <c r="C123" s="2" t="s">
        <v>364</v>
      </c>
      <c r="D123" s="2"/>
      <c r="E123" s="2"/>
      <c r="F123" s="2"/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3257500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4"/>
      <c r="X123" s="4"/>
      <c r="Y123" s="3">
        <f>SUM(G123:R123)</f>
      </c>
      <c r="Z123" s="3">
        <f>SUM(S123:V123)</f>
      </c>
      <c r="AA123" s="3">
        <f>AVERAGE(T123:V123)</f>
      </c>
      <c r="AB123" s="3">
        <f>AVERAGE(Q123:V123)</f>
      </c>
      <c r="AC123" s="3">
        <f>AVERAGE(N123:V123)</f>
      </c>
      <c r="AD123" s="4">
        <f>IFERROR((AA123*2)/(AB123+AC123), 0)</f>
      </c>
      <c r="AE123" s="4">
        <f>IFERROR(Z123/SUM(G123:J123), 0)</f>
      </c>
      <c r="AF123" s="4">
        <f>IFERROR(Z123/SUM(G123:J123), 0)</f>
      </c>
      <c r="AG123" s="4">
        <f>IFERROR(V123/J123, 0)</f>
      </c>
    </row>
    <row r="124" spans="1:33" x14ac:dyDescent="0.25">
      <c r="A124" s="2">
        <v>96</v>
      </c>
      <c r="B124" s="2" t="s">
        <v>262</v>
      </c>
      <c r="C124" s="2" t="s">
        <v>364</v>
      </c>
      <c r="D124" s="2"/>
      <c r="E124" s="2"/>
      <c r="F124" s="2"/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60250000</v>
      </c>
      <c r="M124" s="3">
        <v>129025000</v>
      </c>
      <c r="N124" s="3">
        <v>0</v>
      </c>
      <c r="O124" s="3">
        <v>95700000</v>
      </c>
      <c r="P124" s="3">
        <v>47400000</v>
      </c>
      <c r="Q124" s="3">
        <v>0</v>
      </c>
      <c r="R124" s="3">
        <v>14135000</v>
      </c>
      <c r="S124" s="3">
        <v>0</v>
      </c>
      <c r="T124" s="3">
        <v>0</v>
      </c>
      <c r="U124" s="3">
        <v>0</v>
      </c>
      <c r="V124" s="3">
        <v>0</v>
      </c>
      <c r="W124" s="4"/>
      <c r="X124" s="4"/>
      <c r="Y124" s="3">
        <f>SUM(G124:R124)</f>
      </c>
      <c r="Z124" s="3">
        <f>SUM(S124:V124)</f>
      </c>
      <c r="AA124" s="3">
        <f>AVERAGE(T124:V124)</f>
      </c>
      <c r="AB124" s="3">
        <f>AVERAGE(Q124:V124)</f>
      </c>
      <c r="AC124" s="3">
        <f>AVERAGE(N124:V124)</f>
      </c>
      <c r="AD124" s="4">
        <f>IFERROR((AA124*2)/(AB124+AC124), 0)</f>
      </c>
      <c r="AE124" s="4">
        <f>IFERROR(Z124/SUM(G124:J124), 0)</f>
      </c>
      <c r="AF124" s="4">
        <f>IFERROR(Z124/SUM(G124:J124), 0)</f>
      </c>
      <c r="AG124" s="4">
        <f>IFERROR(V124/J124, 0)</f>
      </c>
    </row>
    <row r="125" spans="1:33" x14ac:dyDescent="0.25">
      <c r="A125" s="2">
        <v>97</v>
      </c>
      <c r="B125" s="2" t="s">
        <v>263</v>
      </c>
      <c r="C125" s="2" t="s">
        <v>369</v>
      </c>
      <c r="D125" s="2"/>
      <c r="E125" s="2"/>
      <c r="F125" s="2"/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12735000</v>
      </c>
      <c r="O125" s="3">
        <v>0</v>
      </c>
      <c r="P125" s="3">
        <v>0</v>
      </c>
      <c r="Q125" s="3">
        <v>0</v>
      </c>
      <c r="R125" s="3">
        <v>5700000</v>
      </c>
      <c r="S125" s="3">
        <v>0</v>
      </c>
      <c r="T125" s="3">
        <v>0</v>
      </c>
      <c r="U125" s="3">
        <v>0</v>
      </c>
      <c r="V125" s="3">
        <v>0</v>
      </c>
      <c r="W125" s="4"/>
      <c r="X125" s="4"/>
      <c r="Y125" s="3">
        <f>SUM(G125:R125)</f>
      </c>
      <c r="Z125" s="3">
        <f>SUM(S125:V125)</f>
      </c>
      <c r="AA125" s="3">
        <f>AVERAGE(T125:V125)</f>
      </c>
      <c r="AB125" s="3">
        <f>AVERAGE(Q125:V125)</f>
      </c>
      <c r="AC125" s="3">
        <f>AVERAGE(N125:V125)</f>
      </c>
      <c r="AD125" s="4">
        <f>IFERROR((AA125*2)/(AB125+AC125), 0)</f>
      </c>
      <c r="AE125" s="4">
        <f>IFERROR(Z125/SUM(G125:J125), 0)</f>
      </c>
      <c r="AF125" s="4">
        <f>IFERROR(Z125/SUM(G125:J125), 0)</f>
      </c>
      <c r="AG125" s="4">
        <f>IFERROR(V125/J125, 0)</f>
      </c>
    </row>
    <row r="126" spans="1:33" x14ac:dyDescent="0.25">
      <c r="A126" s="2">
        <v>98</v>
      </c>
      <c r="B126" s="2" t="s">
        <v>264</v>
      </c>
      <c r="C126" s="2" t="s">
        <v>371</v>
      </c>
      <c r="D126" s="2"/>
      <c r="E126" s="2"/>
      <c r="F126" s="2"/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37250000</v>
      </c>
      <c r="P126" s="3">
        <v>0</v>
      </c>
      <c r="Q126" s="3">
        <v>80640000</v>
      </c>
      <c r="R126" s="3">
        <v>0</v>
      </c>
      <c r="S126" s="3">
        <v>15575000</v>
      </c>
      <c r="T126" s="3">
        <v>26700000</v>
      </c>
      <c r="U126" s="3">
        <v>0</v>
      </c>
      <c r="V126" s="3">
        <v>0</v>
      </c>
      <c r="W126" s="4"/>
      <c r="X126" s="4"/>
      <c r="Y126" s="3">
        <f>SUM(G126:R126)</f>
      </c>
      <c r="Z126" s="3">
        <f>SUM(S126:V126)</f>
      </c>
      <c r="AA126" s="3">
        <f>AVERAGE(T126:V126)</f>
      </c>
      <c r="AB126" s="3">
        <f>AVERAGE(Q126:V126)</f>
      </c>
      <c r="AC126" s="3">
        <f>AVERAGE(N126:V126)</f>
      </c>
      <c r="AD126" s="4">
        <f>IFERROR((AA126*2)/(AB126+AC126), 0)</f>
      </c>
      <c r="AE126" s="4">
        <f>IFERROR(Z126/SUM(G126:J126), 0)</f>
      </c>
      <c r="AF126" s="4">
        <f>IFERROR(Z126/SUM(G126:J126), 0)</f>
      </c>
      <c r="AG126" s="4">
        <f>IFERROR(V126/J126, 0)</f>
      </c>
    </row>
    <row r="127" spans="1:33" x14ac:dyDescent="0.25">
      <c r="A127" s="2">
        <v>99</v>
      </c>
      <c r="B127" s="2" t="s">
        <v>265</v>
      </c>
      <c r="C127" s="2" t="s">
        <v>371</v>
      </c>
      <c r="D127" s="2"/>
      <c r="E127" s="2"/>
      <c r="F127" s="2"/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8900000</v>
      </c>
      <c r="U127" s="3">
        <v>0</v>
      </c>
      <c r="V127" s="3">
        <v>0</v>
      </c>
      <c r="W127" s="4"/>
      <c r="X127" s="4"/>
      <c r="Y127" s="3">
        <f>SUM(G127:R127)</f>
      </c>
      <c r="Z127" s="3">
        <f>SUM(S127:V127)</f>
      </c>
      <c r="AA127" s="3">
        <f>AVERAGE(T127:V127)</f>
      </c>
      <c r="AB127" s="3">
        <f>AVERAGE(Q127:V127)</f>
      </c>
      <c r="AC127" s="3">
        <f>AVERAGE(N127:V127)</f>
      </c>
      <c r="AD127" s="4">
        <f>IFERROR((AA127*2)/(AB127+AC127), 0)</f>
      </c>
      <c r="AE127" s="4">
        <f>IFERROR(Z127/SUM(G127:J127), 0)</f>
      </c>
      <c r="AF127" s="4">
        <f>IFERROR(Z127/SUM(G127:J127), 0)</f>
      </c>
      <c r="AG127" s="4">
        <f>IFERROR(V127/J127, 0)</f>
      </c>
    </row>
    <row r="128" spans="1:33" x14ac:dyDescent="0.25">
      <c r="A128" s="2">
        <v>100</v>
      </c>
      <c r="B128" s="2" t="s">
        <v>266</v>
      </c>
      <c r="C128" s="2" t="s">
        <v>371</v>
      </c>
      <c r="D128" s="2"/>
      <c r="E128" s="2"/>
      <c r="F128" s="2"/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8261999.999999998</v>
      </c>
      <c r="N128" s="3">
        <v>25352999.999999996</v>
      </c>
      <c r="O128" s="3">
        <v>5598000</v>
      </c>
      <c r="P128" s="3">
        <v>43757500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4"/>
      <c r="X128" s="4"/>
      <c r="Y128" s="3">
        <f>SUM(G128:R128)</f>
      </c>
      <c r="Z128" s="3">
        <f>SUM(S128:V128)</f>
      </c>
      <c r="AA128" s="3">
        <f>AVERAGE(T128:V128)</f>
      </c>
      <c r="AB128" s="3">
        <f>AVERAGE(Q128:V128)</f>
      </c>
      <c r="AC128" s="3">
        <f>AVERAGE(N128:V128)</f>
      </c>
      <c r="AD128" s="4">
        <f>IFERROR((AA128*2)/(AB128+AC128), 0)</f>
      </c>
      <c r="AE128" s="4">
        <f>IFERROR(Z128/SUM(G128:J128), 0)</f>
      </c>
      <c r="AF128" s="4">
        <f>IFERROR(Z128/SUM(G128:J128), 0)</f>
      </c>
      <c r="AG128" s="4">
        <f>IFERROR(V128/J128, 0)</f>
      </c>
    </row>
    <row r="129" spans="1:33" x14ac:dyDescent="0.25">
      <c r="A129" s="2">
        <v>101</v>
      </c>
      <c r="B129" s="2" t="s">
        <v>267</v>
      </c>
      <c r="C129" s="2" t="s">
        <v>371</v>
      </c>
      <c r="D129" s="2"/>
      <c r="E129" s="2"/>
      <c r="F129" s="2"/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327732749.99999994</v>
      </c>
      <c r="N129" s="3">
        <v>173963250</v>
      </c>
      <c r="O129" s="3">
        <v>711789250</v>
      </c>
      <c r="P129" s="3">
        <v>453206750</v>
      </c>
      <c r="Q129" s="3">
        <v>1741522000</v>
      </c>
      <c r="R129" s="3">
        <v>631154000</v>
      </c>
      <c r="S129" s="3">
        <v>278480500</v>
      </c>
      <c r="T129" s="3">
        <v>341379000</v>
      </c>
      <c r="U129" s="3">
        <v>752297250</v>
      </c>
      <c r="V129" s="3">
        <v>1208708999.9999998</v>
      </c>
      <c r="W129" s="4"/>
      <c r="X129" s="4"/>
      <c r="Y129" s="3">
        <f>SUM(G129:R129)</f>
      </c>
      <c r="Z129" s="3">
        <f>SUM(S129:V129)</f>
      </c>
      <c r="AA129" s="3">
        <f>AVERAGE(T129:V129)</f>
      </c>
      <c r="AB129" s="3">
        <f>AVERAGE(Q129:V129)</f>
      </c>
      <c r="AC129" s="3">
        <f>AVERAGE(N129:V129)</f>
      </c>
      <c r="AD129" s="4">
        <f>IFERROR((AA129*2)/(AB129+AC129), 0)</f>
      </c>
      <c r="AE129" s="4">
        <f>IFERROR(Z129/SUM(G129:J129), 0)</f>
      </c>
      <c r="AF129" s="4">
        <f>IFERROR(Z129/SUM(G129:J129), 0)</f>
      </c>
      <c r="AG129" s="4">
        <f>IFERROR(V129/J129, 0)</f>
      </c>
    </row>
    <row r="130" spans="1:33" x14ac:dyDescent="0.25">
      <c r="A130" s="2">
        <v>102</v>
      </c>
      <c r="B130" s="2" t="s">
        <v>268</v>
      </c>
      <c r="C130" s="2" t="s">
        <v>371</v>
      </c>
      <c r="D130" s="2"/>
      <c r="E130" s="2"/>
      <c r="F130" s="2"/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118867500</v>
      </c>
      <c r="N130" s="3">
        <v>536404000</v>
      </c>
      <c r="O130" s="3">
        <v>220594250</v>
      </c>
      <c r="P130" s="3">
        <v>254854500</v>
      </c>
      <c r="Q130" s="3">
        <v>451717000</v>
      </c>
      <c r="R130" s="3">
        <v>188607000</v>
      </c>
      <c r="S130" s="3">
        <v>91410000</v>
      </c>
      <c r="T130" s="3">
        <v>136230300</v>
      </c>
      <c r="U130" s="3">
        <v>178575750</v>
      </c>
      <c r="V130" s="3">
        <v>393290999.99999994</v>
      </c>
      <c r="W130" s="4"/>
      <c r="X130" s="4"/>
      <c r="Y130" s="3">
        <f>SUM(G130:R130)</f>
      </c>
      <c r="Z130" s="3">
        <f>SUM(S130:V130)</f>
      </c>
      <c r="AA130" s="3">
        <f>AVERAGE(T130:V130)</f>
      </c>
      <c r="AB130" s="3">
        <f>AVERAGE(Q130:V130)</f>
      </c>
      <c r="AC130" s="3">
        <f>AVERAGE(N130:V130)</f>
      </c>
      <c r="AD130" s="4">
        <f>IFERROR((AA130*2)/(AB130+AC130), 0)</f>
      </c>
      <c r="AE130" s="4">
        <f>IFERROR(Z130/SUM(G130:J130), 0)</f>
      </c>
      <c r="AF130" s="4">
        <f>IFERROR(Z130/SUM(G130:J130), 0)</f>
      </c>
      <c r="AG130" s="4">
        <f>IFERROR(V130/J130, 0)</f>
      </c>
    </row>
    <row r="131" spans="1:33" x14ac:dyDescent="0.25">
      <c r="A131" s="2">
        <v>103</v>
      </c>
      <c r="B131" s="2" t="s">
        <v>269</v>
      </c>
      <c r="C131" s="2" t="s">
        <v>369</v>
      </c>
      <c r="D131" s="2"/>
      <c r="E131" s="2"/>
      <c r="F131" s="2"/>
      <c r="G131" s="3">
        <v>0</v>
      </c>
      <c r="H131" s="3">
        <v>0</v>
      </c>
      <c r="I131" s="3">
        <v>0</v>
      </c>
      <c r="J131" s="3">
        <v>4440000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1650000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4"/>
      <c r="X131" s="4"/>
      <c r="Y131" s="3">
        <f>SUM(G131:R131)</f>
      </c>
      <c r="Z131" s="3">
        <f>SUM(S131:V131)</f>
      </c>
      <c r="AA131" s="3">
        <f>AVERAGE(T131:V131)</f>
      </c>
      <c r="AB131" s="3">
        <f>AVERAGE(Q131:V131)</f>
      </c>
      <c r="AC131" s="3">
        <f>AVERAGE(N131:V131)</f>
      </c>
      <c r="AD131" s="4">
        <f>IFERROR((AA131*2)/(AB131+AC131), 0)</f>
      </c>
      <c r="AE131" s="4">
        <f>IFERROR(Z131/SUM(G131:J131), 0)</f>
      </c>
      <c r="AF131" s="4">
        <f>IFERROR(Z131/SUM(G131:J131), 0)</f>
      </c>
      <c r="AG131" s="4">
        <f>IFERROR(V131/J131, 0)</f>
      </c>
    </row>
    <row r="132" spans="1:33" x14ac:dyDescent="0.25">
      <c r="A132" s="2">
        <v>104</v>
      </c>
      <c r="B132" s="2" t="s">
        <v>270</v>
      </c>
      <c r="C132" s="2" t="s">
        <v>367</v>
      </c>
      <c r="D132" s="2"/>
      <c r="E132" s="2"/>
      <c r="F132" s="2"/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3710000.004</v>
      </c>
      <c r="U132" s="3">
        <v>0</v>
      </c>
      <c r="V132" s="3">
        <v>0</v>
      </c>
      <c r="W132" s="4"/>
      <c r="X132" s="4"/>
      <c r="Y132" s="3">
        <f>SUM(G132:R132)</f>
      </c>
      <c r="Z132" s="3">
        <f>SUM(S132:V132)</f>
      </c>
      <c r="AA132" s="3">
        <f>AVERAGE(T132:V132)</f>
      </c>
      <c r="AB132" s="3">
        <f>AVERAGE(Q132:V132)</f>
      </c>
      <c r="AC132" s="3">
        <f>AVERAGE(N132:V132)</f>
      </c>
      <c r="AD132" s="4">
        <f>IFERROR((AA132*2)/(AB132+AC132), 0)</f>
      </c>
      <c r="AE132" s="4">
        <f>IFERROR(Z132/SUM(G132:J132), 0)</f>
      </c>
      <c r="AF132" s="4">
        <f>IFERROR(Z132/SUM(G132:J132), 0)</f>
      </c>
      <c r="AG132" s="4">
        <f>IFERROR(V132/J132, 0)</f>
      </c>
    </row>
    <row r="133" spans="1:33" x14ac:dyDescent="0.25">
      <c r="A133" s="2">
        <v>105</v>
      </c>
      <c r="B133" s="2" t="s">
        <v>271</v>
      </c>
      <c r="C133" s="2" t="s">
        <v>369</v>
      </c>
      <c r="D133" s="2"/>
      <c r="E133" s="2"/>
      <c r="F133" s="2"/>
      <c r="G133" s="3">
        <v>0</v>
      </c>
      <c r="H133" s="3">
        <v>0</v>
      </c>
      <c r="I133" s="3">
        <v>0</v>
      </c>
      <c r="J133" s="3">
        <v>0</v>
      </c>
      <c r="K133" s="3">
        <v>5900000</v>
      </c>
      <c r="L133" s="3">
        <v>0</v>
      </c>
      <c r="M133" s="3">
        <v>15930000</v>
      </c>
      <c r="N133" s="3">
        <v>0</v>
      </c>
      <c r="O133" s="3">
        <v>10620000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5900000</v>
      </c>
      <c r="W133" s="4"/>
      <c r="X133" s="4"/>
      <c r="Y133" s="3">
        <f>SUM(G133:R133)</f>
      </c>
      <c r="Z133" s="3">
        <f>SUM(S133:V133)</f>
      </c>
      <c r="AA133" s="3">
        <f>AVERAGE(T133:V133)</f>
      </c>
      <c r="AB133" s="3">
        <f>AVERAGE(Q133:V133)</f>
      </c>
      <c r="AC133" s="3">
        <f>AVERAGE(N133:V133)</f>
      </c>
      <c r="AD133" s="4">
        <f>IFERROR((AA133*2)/(AB133+AC133), 0)</f>
      </c>
      <c r="AE133" s="4">
        <f>IFERROR(Z133/SUM(G133:J133), 0)</f>
      </c>
      <c r="AF133" s="4">
        <f>IFERROR(Z133/SUM(G133:J133), 0)</f>
      </c>
      <c r="AG133" s="4">
        <f>IFERROR(V133/J133, 0)</f>
      </c>
    </row>
    <row r="134" spans="1:33" x14ac:dyDescent="0.25">
      <c r="A134" s="2">
        <v>106</v>
      </c>
      <c r="B134" s="2" t="s">
        <v>272</v>
      </c>
      <c r="C134" s="2" t="s">
        <v>369</v>
      </c>
      <c r="D134" s="2"/>
      <c r="E134" s="2"/>
      <c r="F134" s="2"/>
      <c r="G134" s="3">
        <v>2655000</v>
      </c>
      <c r="H134" s="3">
        <v>1770000</v>
      </c>
      <c r="I134" s="3">
        <v>2212500</v>
      </c>
      <c r="J134" s="3">
        <v>2478000</v>
      </c>
      <c r="K134" s="3">
        <v>0</v>
      </c>
      <c r="L134" s="3">
        <v>4425000</v>
      </c>
      <c r="M134" s="3">
        <v>6637500</v>
      </c>
      <c r="N134" s="3">
        <v>10620000</v>
      </c>
      <c r="O134" s="3">
        <v>0</v>
      </c>
      <c r="P134" s="3">
        <v>0</v>
      </c>
      <c r="Q134" s="3">
        <v>0</v>
      </c>
      <c r="R134" s="3">
        <v>0</v>
      </c>
      <c r="S134" s="3">
        <v>10899999.958</v>
      </c>
      <c r="T134" s="3">
        <v>0</v>
      </c>
      <c r="U134" s="3">
        <v>0</v>
      </c>
      <c r="V134" s="3">
        <v>0</v>
      </c>
      <c r="W134" s="4"/>
      <c r="X134" s="4"/>
      <c r="Y134" s="3">
        <f>SUM(G134:R134)</f>
      </c>
      <c r="Z134" s="3">
        <f>SUM(S134:V134)</f>
      </c>
      <c r="AA134" s="3">
        <f>AVERAGE(T134:V134)</f>
      </c>
      <c r="AB134" s="3">
        <f>AVERAGE(Q134:V134)</f>
      </c>
      <c r="AC134" s="3">
        <f>AVERAGE(N134:V134)</f>
      </c>
      <c r="AD134" s="4">
        <f>IFERROR((AA134*2)/(AB134+AC134), 0)</f>
      </c>
      <c r="AE134" s="4">
        <f>IFERROR(Z134/SUM(G134:J134), 0)</f>
      </c>
      <c r="AF134" s="4">
        <f>IFERROR(Z134/SUM(G134:J134), 0)</f>
      </c>
      <c r="AG134" s="4">
        <f>IFERROR(V134/J134, 0)</f>
      </c>
    </row>
    <row r="135" spans="1:33" x14ac:dyDescent="0.25">
      <c r="A135" s="2">
        <v>107</v>
      </c>
      <c r="B135" s="2" t="s">
        <v>273</v>
      </c>
      <c r="C135" s="2" t="s">
        <v>369</v>
      </c>
      <c r="D135" s="2"/>
      <c r="E135" s="2"/>
      <c r="F135" s="2"/>
      <c r="G135" s="3">
        <v>0</v>
      </c>
      <c r="H135" s="3">
        <v>0</v>
      </c>
      <c r="I135" s="3">
        <v>0</v>
      </c>
      <c r="J135" s="3">
        <v>10552500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4"/>
      <c r="X135" s="4"/>
      <c r="Y135" s="3">
        <f>SUM(G135:R135)</f>
      </c>
      <c r="Z135" s="3">
        <f>SUM(S135:V135)</f>
      </c>
      <c r="AA135" s="3">
        <f>AVERAGE(T135:V135)</f>
      </c>
      <c r="AB135" s="3">
        <f>AVERAGE(Q135:V135)</f>
      </c>
      <c r="AC135" s="3">
        <f>AVERAGE(N135:V135)</f>
      </c>
      <c r="AD135" s="4">
        <f>IFERROR((AA135*2)/(AB135+AC135), 0)</f>
      </c>
      <c r="AE135" s="4">
        <f>IFERROR(Z135/SUM(G135:J135), 0)</f>
      </c>
      <c r="AF135" s="4">
        <f>IFERROR(Z135/SUM(G135:J135), 0)</f>
      </c>
      <c r="AG135" s="4">
        <f>IFERROR(V135/J135, 0)</f>
      </c>
    </row>
    <row r="136" spans="1:33" x14ac:dyDescent="0.25">
      <c r="A136" s="2">
        <v>108</v>
      </c>
      <c r="B136" s="2" t="s">
        <v>274</v>
      </c>
      <c r="C136" s="2" t="s">
        <v>369</v>
      </c>
      <c r="D136" s="2"/>
      <c r="E136" s="2"/>
      <c r="F136" s="2"/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4867500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4"/>
      <c r="X136" s="4"/>
      <c r="Y136" s="3">
        <f>SUM(G136:R136)</f>
      </c>
      <c r="Z136" s="3">
        <f>SUM(S136:V136)</f>
      </c>
      <c r="AA136" s="3">
        <f>AVERAGE(T136:V136)</f>
      </c>
      <c r="AB136" s="3">
        <f>AVERAGE(Q136:V136)</f>
      </c>
      <c r="AC136" s="3">
        <f>AVERAGE(N136:V136)</f>
      </c>
      <c r="AD136" s="4">
        <f>IFERROR((AA136*2)/(AB136+AC136), 0)</f>
      </c>
      <c r="AE136" s="4">
        <f>IFERROR(Z136/SUM(G136:J136), 0)</f>
      </c>
      <c r="AF136" s="4">
        <f>IFERROR(Z136/SUM(G136:J136), 0)</f>
      </c>
      <c r="AG136" s="4">
        <f>IFERROR(V136/J136, 0)</f>
      </c>
    </row>
    <row r="137" spans="1:33" x14ac:dyDescent="0.25">
      <c r="A137" s="2">
        <v>109</v>
      </c>
      <c r="B137" s="2" t="s">
        <v>275</v>
      </c>
      <c r="C137" s="2" t="s">
        <v>369</v>
      </c>
      <c r="D137" s="2"/>
      <c r="E137" s="2"/>
      <c r="F137" s="2"/>
      <c r="G137" s="3">
        <v>0</v>
      </c>
      <c r="H137" s="3">
        <v>0</v>
      </c>
      <c r="I137" s="3">
        <v>4886250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4"/>
      <c r="X137" s="4"/>
      <c r="Y137" s="3">
        <f>SUM(G137:R137)</f>
      </c>
      <c r="Z137" s="3">
        <f>SUM(S137:V137)</f>
      </c>
      <c r="AA137" s="3">
        <f>AVERAGE(T137:V137)</f>
      </c>
      <c r="AB137" s="3">
        <f>AVERAGE(Q137:V137)</f>
      </c>
      <c r="AC137" s="3">
        <f>AVERAGE(N137:V137)</f>
      </c>
      <c r="AD137" s="4">
        <f>IFERROR((AA137*2)/(AB137+AC137), 0)</f>
      </c>
      <c r="AE137" s="4">
        <f>IFERROR(Z137/SUM(G137:J137), 0)</f>
      </c>
      <c r="AF137" s="4">
        <f>IFERROR(Z137/SUM(G137:J137), 0)</f>
      </c>
      <c r="AG137" s="4">
        <f>IFERROR(V137/J137, 0)</f>
      </c>
    </row>
    <row r="138" spans="1:33" x14ac:dyDescent="0.25">
      <c r="A138" s="2">
        <v>110</v>
      </c>
      <c r="B138" s="2" t="s">
        <v>276</v>
      </c>
      <c r="C138" s="2" t="s">
        <v>369</v>
      </c>
      <c r="D138" s="2"/>
      <c r="E138" s="2"/>
      <c r="F138" s="2"/>
      <c r="G138" s="3">
        <v>1869000</v>
      </c>
      <c r="H138" s="3">
        <v>1869000</v>
      </c>
      <c r="I138" s="3">
        <v>3738000</v>
      </c>
      <c r="J138" s="3">
        <v>0</v>
      </c>
      <c r="K138" s="3">
        <v>1869000</v>
      </c>
      <c r="L138" s="3">
        <v>0</v>
      </c>
      <c r="M138" s="3">
        <v>0</v>
      </c>
      <c r="N138" s="3">
        <v>2475000</v>
      </c>
      <c r="O138" s="3">
        <v>0</v>
      </c>
      <c r="P138" s="3">
        <v>0</v>
      </c>
      <c r="Q138" s="3">
        <v>2062500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4"/>
      <c r="X138" s="4"/>
      <c r="Y138" s="3">
        <f>SUM(G138:R138)</f>
      </c>
      <c r="Z138" s="3">
        <f>SUM(S138:V138)</f>
      </c>
      <c r="AA138" s="3">
        <f>AVERAGE(T138:V138)</f>
      </c>
      <c r="AB138" s="3">
        <f>AVERAGE(Q138:V138)</f>
      </c>
      <c r="AC138" s="3">
        <f>AVERAGE(N138:V138)</f>
      </c>
      <c r="AD138" s="4">
        <f>IFERROR((AA138*2)/(AB138+AC138), 0)</f>
      </c>
      <c r="AE138" s="4">
        <f>IFERROR(Z138/SUM(G138:J138), 0)</f>
      </c>
      <c r="AF138" s="4">
        <f>IFERROR(Z138/SUM(G138:J138), 0)</f>
      </c>
      <c r="AG138" s="4">
        <f>IFERROR(V138/J138, 0)</f>
      </c>
    </row>
    <row r="139" spans="1:33" x14ac:dyDescent="0.25">
      <c r="A139" s="2">
        <v>111</v>
      </c>
      <c r="B139" s="2" t="s">
        <v>277</v>
      </c>
      <c r="C139" s="2" t="s">
        <v>369</v>
      </c>
      <c r="D139" s="2"/>
      <c r="E139" s="2"/>
      <c r="F139" s="2"/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8252499.075</v>
      </c>
      <c r="N139" s="3">
        <v>0</v>
      </c>
      <c r="O139" s="3">
        <v>0</v>
      </c>
      <c r="P139" s="3">
        <v>0</v>
      </c>
      <c r="Q139" s="3">
        <v>10222500</v>
      </c>
      <c r="R139" s="3">
        <v>5900000</v>
      </c>
      <c r="S139" s="3">
        <v>0</v>
      </c>
      <c r="T139" s="3">
        <v>5075000</v>
      </c>
      <c r="U139" s="3">
        <v>0</v>
      </c>
      <c r="V139" s="3">
        <v>0</v>
      </c>
      <c r="W139" s="4"/>
      <c r="X139" s="4"/>
      <c r="Y139" s="3">
        <f>SUM(G139:R139)</f>
      </c>
      <c r="Z139" s="3">
        <f>SUM(S139:V139)</f>
      </c>
      <c r="AA139" s="3">
        <f>AVERAGE(T139:V139)</f>
      </c>
      <c r="AB139" s="3">
        <f>AVERAGE(Q139:V139)</f>
      </c>
      <c r="AC139" s="3">
        <f>AVERAGE(N139:V139)</f>
      </c>
      <c r="AD139" s="4">
        <f>IFERROR((AA139*2)/(AB139+AC139), 0)</f>
      </c>
      <c r="AE139" s="4">
        <f>IFERROR(Z139/SUM(G139:J139), 0)</f>
      </c>
      <c r="AF139" s="4">
        <f>IFERROR(Z139/SUM(G139:J139), 0)</f>
      </c>
      <c r="AG139" s="4">
        <f>IFERROR(V139/J139, 0)</f>
      </c>
    </row>
    <row r="140" spans="1:33" x14ac:dyDescent="0.25">
      <c r="A140" s="2">
        <v>112</v>
      </c>
      <c r="B140" s="2" t="s">
        <v>278</v>
      </c>
      <c r="C140" s="2" t="s">
        <v>369</v>
      </c>
      <c r="D140" s="2"/>
      <c r="E140" s="2"/>
      <c r="F140" s="2"/>
      <c r="G140" s="3">
        <v>0</v>
      </c>
      <c r="H140" s="3">
        <v>0</v>
      </c>
      <c r="I140" s="3">
        <v>0</v>
      </c>
      <c r="J140" s="3">
        <v>14671800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4"/>
      <c r="X140" s="4"/>
      <c r="Y140" s="3">
        <f>SUM(G140:R140)</f>
      </c>
      <c r="Z140" s="3">
        <f>SUM(S140:V140)</f>
      </c>
      <c r="AA140" s="3">
        <f>AVERAGE(T140:V140)</f>
      </c>
      <c r="AB140" s="3">
        <f>AVERAGE(Q140:V140)</f>
      </c>
      <c r="AC140" s="3">
        <f>AVERAGE(N140:V140)</f>
      </c>
      <c r="AD140" s="4">
        <f>IFERROR((AA140*2)/(AB140+AC140), 0)</f>
      </c>
      <c r="AE140" s="4">
        <f>IFERROR(Z140/SUM(G140:J140), 0)</f>
      </c>
      <c r="AF140" s="4">
        <f>IFERROR(Z140/SUM(G140:J140), 0)</f>
      </c>
      <c r="AG140" s="4">
        <f>IFERROR(V140/J140, 0)</f>
      </c>
    </row>
    <row r="141" spans="1:33" x14ac:dyDescent="0.25">
      <c r="A141" s="2">
        <v>113</v>
      </c>
      <c r="B141" s="2" t="s">
        <v>279</v>
      </c>
      <c r="C141" s="2" t="s">
        <v>369</v>
      </c>
      <c r="D141" s="2"/>
      <c r="E141" s="2"/>
      <c r="F141" s="2"/>
      <c r="G141" s="3">
        <v>0</v>
      </c>
      <c r="H141" s="3">
        <v>0</v>
      </c>
      <c r="I141" s="3">
        <v>0</v>
      </c>
      <c r="J141" s="3">
        <v>10675000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4"/>
      <c r="X141" s="4"/>
      <c r="Y141" s="3">
        <f>SUM(G141:R141)</f>
      </c>
      <c r="Z141" s="3">
        <f>SUM(S141:V141)</f>
      </c>
      <c r="AA141" s="3">
        <f>AVERAGE(T141:V141)</f>
      </c>
      <c r="AB141" s="3">
        <f>AVERAGE(Q141:V141)</f>
      </c>
      <c r="AC141" s="3">
        <f>AVERAGE(N141:V141)</f>
      </c>
      <c r="AD141" s="4">
        <f>IFERROR((AA141*2)/(AB141+AC141), 0)</f>
      </c>
      <c r="AE141" s="4">
        <f>IFERROR(Z141/SUM(G141:J141), 0)</f>
      </c>
      <c r="AF141" s="4">
        <f>IFERROR(Z141/SUM(G141:J141), 0)</f>
      </c>
      <c r="AG141" s="4">
        <f>IFERROR(V141/J141, 0)</f>
      </c>
    </row>
    <row r="142" spans="1:33" x14ac:dyDescent="0.25">
      <c r="A142" s="2">
        <v>114</v>
      </c>
      <c r="B142" s="2" t="s">
        <v>280</v>
      </c>
      <c r="C142" s="2" t="s">
        <v>369</v>
      </c>
      <c r="D142" s="2"/>
      <c r="E142" s="2"/>
      <c r="F142" s="2"/>
      <c r="G142" s="3">
        <v>0</v>
      </c>
      <c r="H142" s="3">
        <v>0</v>
      </c>
      <c r="I142" s="3">
        <v>9640000</v>
      </c>
      <c r="J142" s="3">
        <v>0</v>
      </c>
      <c r="K142" s="3">
        <v>0</v>
      </c>
      <c r="L142" s="3">
        <v>0</v>
      </c>
      <c r="M142" s="3">
        <v>0</v>
      </c>
      <c r="N142" s="3">
        <v>5310000</v>
      </c>
      <c r="O142" s="3">
        <v>0</v>
      </c>
      <c r="P142" s="3">
        <v>0</v>
      </c>
      <c r="Q142" s="3">
        <v>0</v>
      </c>
      <c r="R142" s="3">
        <v>0</v>
      </c>
      <c r="S142" s="3">
        <v>5900000</v>
      </c>
      <c r="T142" s="3">
        <v>0</v>
      </c>
      <c r="U142" s="3">
        <v>0</v>
      </c>
      <c r="V142" s="3">
        <v>0</v>
      </c>
      <c r="W142" s="4"/>
      <c r="X142" s="4"/>
      <c r="Y142" s="3">
        <f>SUM(G142:R142)</f>
      </c>
      <c r="Z142" s="3">
        <f>SUM(S142:V142)</f>
      </c>
      <c r="AA142" s="3">
        <f>AVERAGE(T142:V142)</f>
      </c>
      <c r="AB142" s="3">
        <f>AVERAGE(Q142:V142)</f>
      </c>
      <c r="AC142" s="3">
        <f>AVERAGE(N142:V142)</f>
      </c>
      <c r="AD142" s="4">
        <f>IFERROR((AA142*2)/(AB142+AC142), 0)</f>
      </c>
      <c r="AE142" s="4">
        <f>IFERROR(Z142/SUM(G142:J142), 0)</f>
      </c>
      <c r="AF142" s="4">
        <f>IFERROR(Z142/SUM(G142:J142), 0)</f>
      </c>
      <c r="AG142" s="4">
        <f>IFERROR(V142/J142, 0)</f>
      </c>
    </row>
    <row r="143" spans="1:33" x14ac:dyDescent="0.25">
      <c r="A143" s="2">
        <v>115</v>
      </c>
      <c r="B143" s="2" t="s">
        <v>281</v>
      </c>
      <c r="C143" s="2" t="s">
        <v>369</v>
      </c>
      <c r="D143" s="2"/>
      <c r="E143" s="2"/>
      <c r="F143" s="2"/>
      <c r="G143" s="3">
        <v>0</v>
      </c>
      <c r="H143" s="3">
        <v>0</v>
      </c>
      <c r="I143" s="3">
        <v>1395000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4"/>
      <c r="X143" s="4"/>
      <c r="Y143" s="3">
        <f>SUM(G143:R143)</f>
      </c>
      <c r="Z143" s="3">
        <f>SUM(S143:V143)</f>
      </c>
      <c r="AA143" s="3">
        <f>AVERAGE(T143:V143)</f>
      </c>
      <c r="AB143" s="3">
        <f>AVERAGE(Q143:V143)</f>
      </c>
      <c r="AC143" s="3">
        <f>AVERAGE(N143:V143)</f>
      </c>
      <c r="AD143" s="4">
        <f>IFERROR((AA143*2)/(AB143+AC143), 0)</f>
      </c>
      <c r="AE143" s="4">
        <f>IFERROR(Z143/SUM(G143:J143), 0)</f>
      </c>
      <c r="AF143" s="4">
        <f>IFERROR(Z143/SUM(G143:J143), 0)</f>
      </c>
      <c r="AG143" s="4">
        <f>IFERROR(V143/J143, 0)</f>
      </c>
    </row>
    <row r="144" spans="1:33" x14ac:dyDescent="0.25">
      <c r="A144" s="2">
        <v>116</v>
      </c>
      <c r="B144" s="2" t="s">
        <v>282</v>
      </c>
      <c r="C144" s="2" t="s">
        <v>369</v>
      </c>
      <c r="D144" s="2"/>
      <c r="E144" s="2"/>
      <c r="F144" s="2"/>
      <c r="G144" s="3">
        <v>0</v>
      </c>
      <c r="H144" s="3">
        <v>0</v>
      </c>
      <c r="I144" s="3">
        <v>1770000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4"/>
      <c r="X144" s="4"/>
      <c r="Y144" s="3">
        <f>SUM(G144:R144)</f>
      </c>
      <c r="Z144" s="3">
        <f>SUM(S144:V144)</f>
      </c>
      <c r="AA144" s="3">
        <f>AVERAGE(T144:V144)</f>
      </c>
      <c r="AB144" s="3">
        <f>AVERAGE(Q144:V144)</f>
      </c>
      <c r="AC144" s="3">
        <f>AVERAGE(N144:V144)</f>
      </c>
      <c r="AD144" s="4">
        <f>IFERROR((AA144*2)/(AB144+AC144), 0)</f>
      </c>
      <c r="AE144" s="4">
        <f>IFERROR(Z144/SUM(G144:J144), 0)</f>
      </c>
      <c r="AF144" s="4">
        <f>IFERROR(Z144/SUM(G144:J144), 0)</f>
      </c>
      <c r="AG144" s="4">
        <f>IFERROR(V144/J144, 0)</f>
      </c>
    </row>
    <row r="145" spans="1:33" x14ac:dyDescent="0.25">
      <c r="A145" s="2">
        <v>117</v>
      </c>
      <c r="B145" s="2" t="s">
        <v>283</v>
      </c>
      <c r="C145" s="2" t="s">
        <v>369</v>
      </c>
      <c r="D145" s="2"/>
      <c r="E145" s="2"/>
      <c r="F145" s="2"/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17162500</v>
      </c>
      <c r="N145" s="3">
        <v>27200000</v>
      </c>
      <c r="O145" s="3">
        <v>26675000</v>
      </c>
      <c r="P145" s="3">
        <v>0</v>
      </c>
      <c r="Q145" s="3">
        <v>5812500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4"/>
      <c r="X145" s="4"/>
      <c r="Y145" s="3">
        <f>SUM(G145:R145)</f>
      </c>
      <c r="Z145" s="3">
        <f>SUM(S145:V145)</f>
      </c>
      <c r="AA145" s="3">
        <f>AVERAGE(T145:V145)</f>
      </c>
      <c r="AB145" s="3">
        <f>AVERAGE(Q145:V145)</f>
      </c>
      <c r="AC145" s="3">
        <f>AVERAGE(N145:V145)</f>
      </c>
      <c r="AD145" s="4">
        <f>IFERROR((AA145*2)/(AB145+AC145), 0)</f>
      </c>
      <c r="AE145" s="4">
        <f>IFERROR(Z145/SUM(G145:J145), 0)</f>
      </c>
      <c r="AF145" s="4">
        <f>IFERROR(Z145/SUM(G145:J145), 0)</f>
      </c>
      <c r="AG145" s="4">
        <f>IFERROR(V145/J145, 0)</f>
      </c>
    </row>
    <row r="146" spans="1:33" x14ac:dyDescent="0.25">
      <c r="A146" s="2">
        <v>118</v>
      </c>
      <c r="B146" s="2" t="s">
        <v>284</v>
      </c>
      <c r="C146" s="2" t="s">
        <v>369</v>
      </c>
      <c r="D146" s="2"/>
      <c r="E146" s="2"/>
      <c r="F146" s="2"/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48550000</v>
      </c>
      <c r="N146" s="3">
        <v>0</v>
      </c>
      <c r="O146" s="3">
        <v>0</v>
      </c>
      <c r="P146" s="3">
        <v>0</v>
      </c>
      <c r="Q146" s="3">
        <v>0</v>
      </c>
      <c r="R146" s="3">
        <v>30750000</v>
      </c>
      <c r="S146" s="3">
        <v>0</v>
      </c>
      <c r="T146" s="3">
        <v>0</v>
      </c>
      <c r="U146" s="3">
        <v>0</v>
      </c>
      <c r="V146" s="3">
        <v>0</v>
      </c>
      <c r="W146" s="4"/>
      <c r="X146" s="4"/>
      <c r="Y146" s="3">
        <f>SUM(G146:R146)</f>
      </c>
      <c r="Z146" s="3">
        <f>SUM(S146:V146)</f>
      </c>
      <c r="AA146" s="3">
        <f>AVERAGE(T146:V146)</f>
      </c>
      <c r="AB146" s="3">
        <f>AVERAGE(Q146:V146)</f>
      </c>
      <c r="AC146" s="3">
        <f>AVERAGE(N146:V146)</f>
      </c>
      <c r="AD146" s="4">
        <f>IFERROR((AA146*2)/(AB146+AC146), 0)</f>
      </c>
      <c r="AE146" s="4">
        <f>IFERROR(Z146/SUM(G146:J146), 0)</f>
      </c>
      <c r="AF146" s="4">
        <f>IFERROR(Z146/SUM(G146:J146), 0)</f>
      </c>
      <c r="AG146" s="4">
        <f>IFERROR(V146/J146, 0)</f>
      </c>
    </row>
    <row r="147" spans="1:33" x14ac:dyDescent="0.25">
      <c r="A147" s="2">
        <v>119</v>
      </c>
      <c r="B147" s="2" t="s">
        <v>285</v>
      </c>
      <c r="C147" s="2" t="s">
        <v>369</v>
      </c>
      <c r="D147" s="2"/>
      <c r="E147" s="2"/>
      <c r="F147" s="2"/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667500</v>
      </c>
      <c r="P147" s="3">
        <v>667500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4"/>
      <c r="X147" s="4"/>
      <c r="Y147" s="3">
        <f>SUM(G147:R147)</f>
      </c>
      <c r="Z147" s="3">
        <f>SUM(S147:V147)</f>
      </c>
      <c r="AA147" s="3">
        <f>AVERAGE(T147:V147)</f>
      </c>
      <c r="AB147" s="3">
        <f>AVERAGE(Q147:V147)</f>
      </c>
      <c r="AC147" s="3">
        <f>AVERAGE(N147:V147)</f>
      </c>
      <c r="AD147" s="4">
        <f>IFERROR((AA147*2)/(AB147+AC147), 0)</f>
      </c>
      <c r="AE147" s="4">
        <f>IFERROR(Z147/SUM(G147:J147), 0)</f>
      </c>
      <c r="AF147" s="4">
        <f>IFERROR(Z147/SUM(G147:J147), 0)</f>
      </c>
      <c r="AG147" s="4">
        <f>IFERROR(V147/J147, 0)</f>
      </c>
    </row>
    <row r="148" spans="1:33" x14ac:dyDescent="0.25">
      <c r="A148" s="2">
        <v>120</v>
      </c>
      <c r="B148" s="2" t="s">
        <v>286</v>
      </c>
      <c r="C148" s="2" t="s">
        <v>369</v>
      </c>
      <c r="D148" s="2"/>
      <c r="E148" s="2"/>
      <c r="F148" s="2"/>
      <c r="G148" s="3">
        <v>7670000</v>
      </c>
      <c r="H148" s="3">
        <v>0</v>
      </c>
      <c r="I148" s="3">
        <v>7080000</v>
      </c>
      <c r="J148" s="3">
        <v>5310000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4"/>
      <c r="X148" s="4"/>
      <c r="Y148" s="3">
        <f>SUM(G148:R148)</f>
      </c>
      <c r="Z148" s="3">
        <f>SUM(S148:V148)</f>
      </c>
      <c r="AA148" s="3">
        <f>AVERAGE(T148:V148)</f>
      </c>
      <c r="AB148" s="3">
        <f>AVERAGE(Q148:V148)</f>
      </c>
      <c r="AC148" s="3">
        <f>AVERAGE(N148:V148)</f>
      </c>
      <c r="AD148" s="4">
        <f>IFERROR((AA148*2)/(AB148+AC148), 0)</f>
      </c>
      <c r="AE148" s="4">
        <f>IFERROR(Z148/SUM(G148:J148), 0)</f>
      </c>
      <c r="AF148" s="4">
        <f>IFERROR(Z148/SUM(G148:J148), 0)</f>
      </c>
      <c r="AG148" s="4">
        <f>IFERROR(V148/J148, 0)</f>
      </c>
    </row>
    <row r="149" spans="1:33" x14ac:dyDescent="0.25">
      <c r="A149" s="2">
        <v>121</v>
      </c>
      <c r="B149" s="2" t="s">
        <v>287</v>
      </c>
      <c r="C149" s="2" t="s">
        <v>369</v>
      </c>
      <c r="D149" s="2"/>
      <c r="E149" s="2"/>
      <c r="F149" s="2"/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4425000</v>
      </c>
      <c r="M149" s="3">
        <v>0</v>
      </c>
      <c r="N149" s="3">
        <v>0</v>
      </c>
      <c r="O149" s="3">
        <v>5587500</v>
      </c>
      <c r="P149" s="3">
        <v>0</v>
      </c>
      <c r="Q149" s="3">
        <v>0</v>
      </c>
      <c r="R149" s="3">
        <v>7450000</v>
      </c>
      <c r="S149" s="3">
        <v>0</v>
      </c>
      <c r="T149" s="3">
        <v>0</v>
      </c>
      <c r="U149" s="3">
        <v>0</v>
      </c>
      <c r="V149" s="3">
        <v>0</v>
      </c>
      <c r="W149" s="4"/>
      <c r="X149" s="4"/>
      <c r="Y149" s="3">
        <f>SUM(G149:R149)</f>
      </c>
      <c r="Z149" s="3">
        <f>SUM(S149:V149)</f>
      </c>
      <c r="AA149" s="3">
        <f>AVERAGE(T149:V149)</f>
      </c>
      <c r="AB149" s="3">
        <f>AVERAGE(Q149:V149)</f>
      </c>
      <c r="AC149" s="3">
        <f>AVERAGE(N149:V149)</f>
      </c>
      <c r="AD149" s="4">
        <f>IFERROR((AA149*2)/(AB149+AC149), 0)</f>
      </c>
      <c r="AE149" s="4">
        <f>IFERROR(Z149/SUM(G149:J149), 0)</f>
      </c>
      <c r="AF149" s="4">
        <f>IFERROR(Z149/SUM(G149:J149), 0)</f>
      </c>
      <c r="AG149" s="4">
        <f>IFERROR(V149/J149, 0)</f>
      </c>
    </row>
    <row r="150" spans="1:33" x14ac:dyDescent="0.25">
      <c r="A150" s="2">
        <v>122</v>
      </c>
      <c r="B150" s="2" t="s">
        <v>288</v>
      </c>
      <c r="C150" s="2" t="s">
        <v>369</v>
      </c>
      <c r="D150" s="2"/>
      <c r="E150" s="2"/>
      <c r="F150" s="2"/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50561500</v>
      </c>
      <c r="N150" s="3">
        <v>0</v>
      </c>
      <c r="O150" s="3">
        <v>0</v>
      </c>
      <c r="P150" s="3">
        <v>0</v>
      </c>
      <c r="Q150" s="3">
        <v>410999.99980000034</v>
      </c>
      <c r="R150" s="3">
        <v>0</v>
      </c>
      <c r="S150" s="3">
        <v>0</v>
      </c>
      <c r="T150" s="3">
        <v>0</v>
      </c>
      <c r="U150" s="3">
        <v>0</v>
      </c>
      <c r="V150" s="3">
        <v>258500.0594999995</v>
      </c>
      <c r="W150" s="4"/>
      <c r="X150" s="4"/>
      <c r="Y150" s="3">
        <f>SUM(G150:R150)</f>
      </c>
      <c r="Z150" s="3">
        <f>SUM(S150:V150)</f>
      </c>
      <c r="AA150" s="3">
        <f>AVERAGE(T150:V150)</f>
      </c>
      <c r="AB150" s="3">
        <f>AVERAGE(Q150:V150)</f>
      </c>
      <c r="AC150" s="3">
        <f>AVERAGE(N150:V150)</f>
      </c>
      <c r="AD150" s="4">
        <f>IFERROR((AA150*2)/(AB150+AC150), 0)</f>
      </c>
      <c r="AE150" s="4">
        <f>IFERROR(Z150/SUM(G150:J150), 0)</f>
      </c>
      <c r="AF150" s="4">
        <f>IFERROR(Z150/SUM(G150:J150), 0)</f>
      </c>
      <c r="AG150" s="4">
        <f>IFERROR(V150/J150, 0)</f>
      </c>
    </row>
    <row r="151" spans="1:33" x14ac:dyDescent="0.25">
      <c r="A151" s="2">
        <v>123</v>
      </c>
      <c r="B151" s="2" t="s">
        <v>289</v>
      </c>
      <c r="C151" s="2" t="s">
        <v>369</v>
      </c>
      <c r="D151" s="2"/>
      <c r="E151" s="2"/>
      <c r="F151" s="2"/>
      <c r="G151" s="3">
        <v>0</v>
      </c>
      <c r="H151" s="3">
        <v>0</v>
      </c>
      <c r="I151" s="3">
        <v>6519000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3180000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4"/>
      <c r="X151" s="4"/>
      <c r="Y151" s="3">
        <f>SUM(G151:R151)</f>
      </c>
      <c r="Z151" s="3">
        <f>SUM(S151:V151)</f>
      </c>
      <c r="AA151" s="3">
        <f>AVERAGE(T151:V151)</f>
      </c>
      <c r="AB151" s="3">
        <f>AVERAGE(Q151:V151)</f>
      </c>
      <c r="AC151" s="3">
        <f>AVERAGE(N151:V151)</f>
      </c>
      <c r="AD151" s="4">
        <f>IFERROR((AA151*2)/(AB151+AC151), 0)</f>
      </c>
      <c r="AE151" s="4">
        <f>IFERROR(Z151/SUM(G151:J151), 0)</f>
      </c>
      <c r="AF151" s="4">
        <f>IFERROR(Z151/SUM(G151:J151), 0)</f>
      </c>
      <c r="AG151" s="4">
        <f>IFERROR(V151/J151, 0)</f>
      </c>
    </row>
    <row r="152" spans="1:33" x14ac:dyDescent="0.25">
      <c r="A152" s="2">
        <v>124</v>
      </c>
      <c r="B152" s="2" t="s">
        <v>290</v>
      </c>
      <c r="C152" s="2" t="s">
        <v>367</v>
      </c>
      <c r="D152" s="2"/>
      <c r="E152" s="2"/>
      <c r="F152" s="2"/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9645350.12825</v>
      </c>
      <c r="U152" s="3">
        <v>0</v>
      </c>
      <c r="V152" s="3">
        <v>0</v>
      </c>
      <c r="W152" s="4"/>
      <c r="X152" s="4"/>
      <c r="Y152" s="3">
        <f>SUM(G152:R152)</f>
      </c>
      <c r="Z152" s="3">
        <f>SUM(S152:V152)</f>
      </c>
      <c r="AA152" s="3">
        <f>AVERAGE(T152:V152)</f>
      </c>
      <c r="AB152" s="3">
        <f>AVERAGE(Q152:V152)</f>
      </c>
      <c r="AC152" s="3">
        <f>AVERAGE(N152:V152)</f>
      </c>
      <c r="AD152" s="4">
        <f>IFERROR((AA152*2)/(AB152+AC152), 0)</f>
      </c>
      <c r="AE152" s="4">
        <f>IFERROR(Z152/SUM(G152:J152), 0)</f>
      </c>
      <c r="AF152" s="4">
        <f>IFERROR(Z152/SUM(G152:J152), 0)</f>
      </c>
      <c r="AG152" s="4">
        <f>IFERROR(V152/J152, 0)</f>
      </c>
    </row>
    <row r="153" spans="1:33" x14ac:dyDescent="0.25">
      <c r="A153" s="2">
        <v>125</v>
      </c>
      <c r="B153" s="2" t="s">
        <v>291</v>
      </c>
      <c r="C153" s="2" t="s">
        <v>369</v>
      </c>
      <c r="D153" s="2"/>
      <c r="E153" s="2"/>
      <c r="F153" s="2"/>
      <c r="G153" s="3">
        <v>0</v>
      </c>
      <c r="H153" s="3">
        <v>0</v>
      </c>
      <c r="I153" s="3">
        <v>0</v>
      </c>
      <c r="J153" s="3">
        <v>1917500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4"/>
      <c r="X153" s="4"/>
      <c r="Y153" s="3">
        <f>SUM(G153:R153)</f>
      </c>
      <c r="Z153" s="3">
        <f>SUM(S153:V153)</f>
      </c>
      <c r="AA153" s="3">
        <f>AVERAGE(T153:V153)</f>
      </c>
      <c r="AB153" s="3">
        <f>AVERAGE(Q153:V153)</f>
      </c>
      <c r="AC153" s="3">
        <f>AVERAGE(N153:V153)</f>
      </c>
      <c r="AD153" s="4">
        <f>IFERROR((AA153*2)/(AB153+AC153), 0)</f>
      </c>
      <c r="AE153" s="4">
        <f>IFERROR(Z153/SUM(G153:J153), 0)</f>
      </c>
      <c r="AF153" s="4">
        <f>IFERROR(Z153/SUM(G153:J153), 0)</f>
      </c>
      <c r="AG153" s="4">
        <f>IFERROR(V153/J153, 0)</f>
      </c>
    </row>
    <row r="154" spans="1:33" x14ac:dyDescent="0.25">
      <c r="A154" s="2">
        <v>126</v>
      </c>
      <c r="B154" s="2" t="s">
        <v>292</v>
      </c>
      <c r="C154" s="2" t="s">
        <v>369</v>
      </c>
      <c r="D154" s="2"/>
      <c r="E154" s="2"/>
      <c r="F154" s="2"/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1999500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4"/>
      <c r="X154" s="4"/>
      <c r="Y154" s="3">
        <f>SUM(G154:R154)</f>
      </c>
      <c r="Z154" s="3">
        <f>SUM(S154:V154)</f>
      </c>
      <c r="AA154" s="3">
        <f>AVERAGE(T154:V154)</f>
      </c>
      <c r="AB154" s="3">
        <f>AVERAGE(Q154:V154)</f>
      </c>
      <c r="AC154" s="3">
        <f>AVERAGE(N154:V154)</f>
      </c>
      <c r="AD154" s="4">
        <f>IFERROR((AA154*2)/(AB154+AC154), 0)</f>
      </c>
      <c r="AE154" s="4">
        <f>IFERROR(Z154/SUM(G154:J154), 0)</f>
      </c>
      <c r="AF154" s="4">
        <f>IFERROR(Z154/SUM(G154:J154), 0)</f>
      </c>
      <c r="AG154" s="4">
        <f>IFERROR(V154/J154, 0)</f>
      </c>
    </row>
    <row r="155" spans="1:33" x14ac:dyDescent="0.25">
      <c r="A155" s="2">
        <v>127</v>
      </c>
      <c r="B155" s="2" t="s">
        <v>293</v>
      </c>
      <c r="C155" s="2" t="s">
        <v>369</v>
      </c>
      <c r="D155" s="2"/>
      <c r="E155" s="2"/>
      <c r="F155" s="2"/>
      <c r="G155" s="3">
        <v>0</v>
      </c>
      <c r="H155" s="3">
        <v>16992999.698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11175000</v>
      </c>
      <c r="P155" s="3">
        <v>0</v>
      </c>
      <c r="Q155" s="3">
        <v>0</v>
      </c>
      <c r="R155" s="3">
        <v>0</v>
      </c>
      <c r="S155" s="3">
        <v>0</v>
      </c>
      <c r="T155" s="3">
        <v>3150000</v>
      </c>
      <c r="U155" s="3">
        <v>0</v>
      </c>
      <c r="V155" s="3">
        <v>0</v>
      </c>
      <c r="W155" s="4"/>
      <c r="X155" s="4"/>
      <c r="Y155" s="3">
        <f>SUM(G155:R155)</f>
      </c>
      <c r="Z155" s="3">
        <f>SUM(S155:V155)</f>
      </c>
      <c r="AA155" s="3">
        <f>AVERAGE(T155:V155)</f>
      </c>
      <c r="AB155" s="3">
        <f>AVERAGE(Q155:V155)</f>
      </c>
      <c r="AC155" s="3">
        <f>AVERAGE(N155:V155)</f>
      </c>
      <c r="AD155" s="4">
        <f>IFERROR((AA155*2)/(AB155+AC155), 0)</f>
      </c>
      <c r="AE155" s="4">
        <f>IFERROR(Z155/SUM(G155:J155), 0)</f>
      </c>
      <c r="AF155" s="4">
        <f>IFERROR(Z155/SUM(G155:J155), 0)</f>
      </c>
      <c r="AG155" s="4">
        <f>IFERROR(V155/J155, 0)</f>
      </c>
    </row>
    <row r="156" spans="1:33" x14ac:dyDescent="0.25">
      <c r="A156" s="2">
        <v>128</v>
      </c>
      <c r="B156" s="2" t="s">
        <v>294</v>
      </c>
      <c r="C156" s="2" t="s">
        <v>369</v>
      </c>
      <c r="D156" s="2"/>
      <c r="E156" s="2"/>
      <c r="F156" s="2"/>
      <c r="G156" s="3">
        <v>0</v>
      </c>
      <c r="H156" s="3">
        <v>3894000</v>
      </c>
      <c r="I156" s="3">
        <v>5605000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4"/>
      <c r="X156" s="4"/>
      <c r="Y156" s="3">
        <f>SUM(G156:R156)</f>
      </c>
      <c r="Z156" s="3">
        <f>SUM(S156:V156)</f>
      </c>
      <c r="AA156" s="3">
        <f>AVERAGE(T156:V156)</f>
      </c>
      <c r="AB156" s="3">
        <f>AVERAGE(Q156:V156)</f>
      </c>
      <c r="AC156" s="3">
        <f>AVERAGE(N156:V156)</f>
      </c>
      <c r="AD156" s="4">
        <f>IFERROR((AA156*2)/(AB156+AC156), 0)</f>
      </c>
      <c r="AE156" s="4">
        <f>IFERROR(Z156/SUM(G156:J156), 0)</f>
      </c>
      <c r="AF156" s="4">
        <f>IFERROR(Z156/SUM(G156:J156), 0)</f>
      </c>
      <c r="AG156" s="4">
        <f>IFERROR(V156/J156, 0)</f>
      </c>
    </row>
    <row r="157" spans="1:33" x14ac:dyDescent="0.25">
      <c r="A157" s="2">
        <v>129</v>
      </c>
      <c r="B157" s="2" t="s">
        <v>295</v>
      </c>
      <c r="C157" s="2" t="s">
        <v>369</v>
      </c>
      <c r="D157" s="2"/>
      <c r="E157" s="2"/>
      <c r="F157" s="2"/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9450000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4"/>
      <c r="X157" s="4"/>
      <c r="Y157" s="3">
        <f>SUM(G157:R157)</f>
      </c>
      <c r="Z157" s="3">
        <f>SUM(S157:V157)</f>
      </c>
      <c r="AA157" s="3">
        <f>AVERAGE(T157:V157)</f>
      </c>
      <c r="AB157" s="3">
        <f>AVERAGE(Q157:V157)</f>
      </c>
      <c r="AC157" s="3">
        <f>AVERAGE(N157:V157)</f>
      </c>
      <c r="AD157" s="4">
        <f>IFERROR((AA157*2)/(AB157+AC157), 0)</f>
      </c>
      <c r="AE157" s="4">
        <f>IFERROR(Z157/SUM(G157:J157), 0)</f>
      </c>
      <c r="AF157" s="4">
        <f>IFERROR(Z157/SUM(G157:J157), 0)</f>
      </c>
      <c r="AG157" s="4">
        <f>IFERROR(V157/J157, 0)</f>
      </c>
    </row>
    <row r="158" spans="1:33" x14ac:dyDescent="0.25">
      <c r="A158" s="2">
        <v>130</v>
      </c>
      <c r="B158" s="2" t="s">
        <v>296</v>
      </c>
      <c r="C158" s="2" t="s">
        <v>363</v>
      </c>
      <c r="D158" s="2"/>
      <c r="E158" s="2"/>
      <c r="F158" s="2"/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147630000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29500000</v>
      </c>
      <c r="U158" s="3">
        <v>20000000.005500007</v>
      </c>
      <c r="V158" s="3">
        <v>0</v>
      </c>
      <c r="W158" s="4"/>
      <c r="X158" s="4"/>
      <c r="Y158" s="3">
        <f>SUM(G158:R158)</f>
      </c>
      <c r="Z158" s="3">
        <f>SUM(S158:V158)</f>
      </c>
      <c r="AA158" s="3">
        <f>AVERAGE(T158:V158)</f>
      </c>
      <c r="AB158" s="3">
        <f>AVERAGE(Q158:V158)</f>
      </c>
      <c r="AC158" s="3">
        <f>AVERAGE(N158:V158)</f>
      </c>
      <c r="AD158" s="4">
        <f>IFERROR((AA158*2)/(AB158+AC158), 0)</f>
      </c>
      <c r="AE158" s="4">
        <f>IFERROR(Z158/SUM(G158:J158), 0)</f>
      </c>
      <c r="AF158" s="4">
        <f>IFERROR(Z158/SUM(G158:J158), 0)</f>
      </c>
      <c r="AG158" s="4">
        <f>IFERROR(V158/J158, 0)</f>
      </c>
    </row>
    <row r="159" spans="1:33" x14ac:dyDescent="0.25">
      <c r="A159" s="2">
        <v>131</v>
      </c>
      <c r="B159" s="2" t="s">
        <v>297</v>
      </c>
      <c r="C159" s="2" t="s">
        <v>364</v>
      </c>
      <c r="D159" s="2"/>
      <c r="E159" s="2"/>
      <c r="F159" s="2"/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126400000</v>
      </c>
      <c r="N159" s="3">
        <v>4675000</v>
      </c>
      <c r="O159" s="3">
        <v>0</v>
      </c>
      <c r="P159" s="3">
        <v>90209999.9225</v>
      </c>
      <c r="Q159" s="3">
        <v>109645499.94885</v>
      </c>
      <c r="R159" s="3">
        <v>50805000</v>
      </c>
      <c r="S159" s="3">
        <v>0</v>
      </c>
      <c r="T159" s="3">
        <v>0</v>
      </c>
      <c r="U159" s="3">
        <v>0</v>
      </c>
      <c r="V159" s="3">
        <v>5310000</v>
      </c>
      <c r="W159" s="4"/>
      <c r="X159" s="4"/>
      <c r="Y159" s="3">
        <f>SUM(G159:R159)</f>
      </c>
      <c r="Z159" s="3">
        <f>SUM(S159:V159)</f>
      </c>
      <c r="AA159" s="3">
        <f>AVERAGE(T159:V159)</f>
      </c>
      <c r="AB159" s="3">
        <f>AVERAGE(Q159:V159)</f>
      </c>
      <c r="AC159" s="3">
        <f>AVERAGE(N159:V159)</f>
      </c>
      <c r="AD159" s="4">
        <f>IFERROR((AA159*2)/(AB159+AC159), 0)</f>
      </c>
      <c r="AE159" s="4">
        <f>IFERROR(Z159/SUM(G159:J159), 0)</f>
      </c>
      <c r="AF159" s="4">
        <f>IFERROR(Z159/SUM(G159:J159), 0)</f>
      </c>
      <c r="AG159" s="4">
        <f>IFERROR(V159/J159, 0)</f>
      </c>
    </row>
    <row r="160" spans="1:33" x14ac:dyDescent="0.25">
      <c r="A160" s="2">
        <v>132</v>
      </c>
      <c r="B160" s="2" t="s">
        <v>298</v>
      </c>
      <c r="C160" s="2" t="s">
        <v>369</v>
      </c>
      <c r="D160" s="2"/>
      <c r="E160" s="2"/>
      <c r="F160" s="2"/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1743750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4"/>
      <c r="X160" s="4"/>
      <c r="Y160" s="3">
        <f>SUM(G160:R160)</f>
      </c>
      <c r="Z160" s="3">
        <f>SUM(S160:V160)</f>
      </c>
      <c r="AA160" s="3">
        <f>AVERAGE(T160:V160)</f>
      </c>
      <c r="AB160" s="3">
        <f>AVERAGE(Q160:V160)</f>
      </c>
      <c r="AC160" s="3">
        <f>AVERAGE(N160:V160)</f>
      </c>
      <c r="AD160" s="4">
        <f>IFERROR((AA160*2)/(AB160+AC160), 0)</f>
      </c>
      <c r="AE160" s="4">
        <f>IFERROR(Z160/SUM(G160:J160), 0)</f>
      </c>
      <c r="AF160" s="4">
        <f>IFERROR(Z160/SUM(G160:J160), 0)</f>
      </c>
      <c r="AG160" s="4">
        <f>IFERROR(V160/J160, 0)</f>
      </c>
    </row>
    <row r="161" spans="1:33" x14ac:dyDescent="0.25">
      <c r="A161" s="2">
        <v>133</v>
      </c>
      <c r="B161" s="2" t="s">
        <v>299</v>
      </c>
      <c r="C161" s="2" t="s">
        <v>369</v>
      </c>
      <c r="D161" s="2"/>
      <c r="E161" s="2"/>
      <c r="F161" s="2"/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31354500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4"/>
      <c r="X161" s="4"/>
      <c r="Y161" s="3">
        <f>SUM(G161:R161)</f>
      </c>
      <c r="Z161" s="3">
        <f>SUM(S161:V161)</f>
      </c>
      <c r="AA161" s="3">
        <f>AVERAGE(T161:V161)</f>
      </c>
      <c r="AB161" s="3">
        <f>AVERAGE(Q161:V161)</f>
      </c>
      <c r="AC161" s="3">
        <f>AVERAGE(N161:V161)</f>
      </c>
      <c r="AD161" s="4">
        <f>IFERROR((AA161*2)/(AB161+AC161), 0)</f>
      </c>
      <c r="AE161" s="4">
        <f>IFERROR(Z161/SUM(G161:J161), 0)</f>
      </c>
      <c r="AF161" s="4">
        <f>IFERROR(Z161/SUM(G161:J161), 0)</f>
      </c>
      <c r="AG161" s="4">
        <f>IFERROR(V161/J161, 0)</f>
      </c>
    </row>
    <row r="162" spans="1:33" x14ac:dyDescent="0.25">
      <c r="A162" s="2">
        <v>134</v>
      </c>
      <c r="B162" s="2" t="s">
        <v>300</v>
      </c>
      <c r="C162" s="2" t="s">
        <v>364</v>
      </c>
      <c r="D162" s="2"/>
      <c r="E162" s="2"/>
      <c r="F162" s="2"/>
      <c r="G162" s="3">
        <v>0</v>
      </c>
      <c r="H162" s="3">
        <v>0</v>
      </c>
      <c r="I162" s="3">
        <v>0</v>
      </c>
      <c r="J162" s="3">
        <v>11153400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4"/>
      <c r="X162" s="4"/>
      <c r="Y162" s="3">
        <f>SUM(G162:R162)</f>
      </c>
      <c r="Z162" s="3">
        <f>SUM(S162:V162)</f>
      </c>
      <c r="AA162" s="3">
        <f>AVERAGE(T162:V162)</f>
      </c>
      <c r="AB162" s="3">
        <f>AVERAGE(Q162:V162)</f>
      </c>
      <c r="AC162" s="3">
        <f>AVERAGE(N162:V162)</f>
      </c>
      <c r="AD162" s="4">
        <f>IFERROR((AA162*2)/(AB162+AC162), 0)</f>
      </c>
      <c r="AE162" s="4">
        <f>IFERROR(Z162/SUM(G162:J162), 0)</f>
      </c>
      <c r="AF162" s="4">
        <f>IFERROR(Z162/SUM(G162:J162), 0)</f>
      </c>
      <c r="AG162" s="4">
        <f>IFERROR(V162/J162, 0)</f>
      </c>
    </row>
    <row r="163" spans="1:33" x14ac:dyDescent="0.25">
      <c r="A163" s="2">
        <v>135</v>
      </c>
      <c r="B163" s="2" t="s">
        <v>301</v>
      </c>
      <c r="C163" s="2" t="s">
        <v>364</v>
      </c>
      <c r="D163" s="2"/>
      <c r="E163" s="2"/>
      <c r="F163" s="2"/>
      <c r="G163" s="3">
        <v>0</v>
      </c>
      <c r="H163" s="3">
        <v>0</v>
      </c>
      <c r="I163" s="3">
        <v>0</v>
      </c>
      <c r="J163" s="3">
        <v>0</v>
      </c>
      <c r="K163" s="3">
        <v>43192600</v>
      </c>
      <c r="L163" s="3">
        <v>10274700</v>
      </c>
      <c r="M163" s="3">
        <v>11327400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10097136</v>
      </c>
      <c r="W163" s="4"/>
      <c r="X163" s="4"/>
      <c r="Y163" s="3">
        <f>SUM(G163:R163)</f>
      </c>
      <c r="Z163" s="3">
        <f>SUM(S163:V163)</f>
      </c>
      <c r="AA163" s="3">
        <f>AVERAGE(T163:V163)</f>
      </c>
      <c r="AB163" s="3">
        <f>AVERAGE(Q163:V163)</f>
      </c>
      <c r="AC163" s="3">
        <f>AVERAGE(N163:V163)</f>
      </c>
      <c r="AD163" s="4">
        <f>IFERROR((AA163*2)/(AB163+AC163), 0)</f>
      </c>
      <c r="AE163" s="4">
        <f>IFERROR(Z163/SUM(G163:J163), 0)</f>
      </c>
      <c r="AF163" s="4">
        <f>IFERROR(Z163/SUM(G163:J163), 0)</f>
      </c>
      <c r="AG163" s="4">
        <f>IFERROR(V163/J163, 0)</f>
      </c>
    </row>
    <row r="164" spans="1:33" x14ac:dyDescent="0.25">
      <c r="A164" s="2">
        <v>136</v>
      </c>
      <c r="B164" s="2" t="s">
        <v>302</v>
      </c>
      <c r="C164" s="2" t="s">
        <v>364</v>
      </c>
      <c r="D164" s="2"/>
      <c r="E164" s="2"/>
      <c r="F164" s="2"/>
      <c r="G164" s="3">
        <v>0</v>
      </c>
      <c r="H164" s="3">
        <v>0</v>
      </c>
      <c r="I164" s="3">
        <v>0</v>
      </c>
      <c r="J164" s="3">
        <v>0</v>
      </c>
      <c r="K164" s="3">
        <v>20587100</v>
      </c>
      <c r="L164" s="3">
        <v>10266000</v>
      </c>
      <c r="M164" s="3">
        <v>11223000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20316331</v>
      </c>
      <c r="W164" s="4"/>
      <c r="X164" s="4"/>
      <c r="Y164" s="3">
        <f>SUM(G164:R164)</f>
      </c>
      <c r="Z164" s="3">
        <f>SUM(S164:V164)</f>
      </c>
      <c r="AA164" s="3">
        <f>AVERAGE(T164:V164)</f>
      </c>
      <c r="AB164" s="3">
        <f>AVERAGE(Q164:V164)</f>
      </c>
      <c r="AC164" s="3">
        <f>AVERAGE(N164:V164)</f>
      </c>
      <c r="AD164" s="4">
        <f>IFERROR((AA164*2)/(AB164+AC164), 0)</f>
      </c>
      <c r="AE164" s="4">
        <f>IFERROR(Z164/SUM(G164:J164), 0)</f>
      </c>
      <c r="AF164" s="4">
        <f>IFERROR(Z164/SUM(G164:J164), 0)</f>
      </c>
      <c r="AG164" s="4">
        <f>IFERROR(V164/J164, 0)</f>
      </c>
    </row>
    <row r="165" spans="1:33" x14ac:dyDescent="0.25">
      <c r="A165" s="2">
        <v>137</v>
      </c>
      <c r="B165" s="2" t="s">
        <v>303</v>
      </c>
      <c r="C165" s="2" t="s">
        <v>366</v>
      </c>
      <c r="D165" s="2"/>
      <c r="E165" s="2"/>
      <c r="F165" s="2"/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16986000</v>
      </c>
      <c r="N165" s="3">
        <v>19370000</v>
      </c>
      <c r="O165" s="3">
        <v>13410000</v>
      </c>
      <c r="P165" s="3">
        <v>17880000</v>
      </c>
      <c r="Q165" s="3">
        <v>22350000</v>
      </c>
      <c r="R165" s="3">
        <v>23750000.275</v>
      </c>
      <c r="S165" s="3">
        <v>14250000.165</v>
      </c>
      <c r="T165" s="3">
        <v>23750000.405</v>
      </c>
      <c r="U165" s="3">
        <v>28500000.486</v>
      </c>
      <c r="V165" s="3">
        <v>19000000.324</v>
      </c>
      <c r="W165" s="4"/>
      <c r="X165" s="4"/>
      <c r="Y165" s="3">
        <f>SUM(G165:R165)</f>
      </c>
      <c r="Z165" s="3">
        <f>SUM(S165:V165)</f>
      </c>
      <c r="AA165" s="3">
        <f>AVERAGE(T165:V165)</f>
      </c>
      <c r="AB165" s="3">
        <f>AVERAGE(Q165:V165)</f>
      </c>
      <c r="AC165" s="3">
        <f>AVERAGE(N165:V165)</f>
      </c>
      <c r="AD165" s="4">
        <f>IFERROR((AA165*2)/(AB165+AC165), 0)</f>
      </c>
      <c r="AE165" s="4">
        <f>IFERROR(Z165/SUM(G165:J165), 0)</f>
      </c>
      <c r="AF165" s="4">
        <f>IFERROR(Z165/SUM(G165:J165), 0)</f>
      </c>
      <c r="AG165" s="4">
        <f>IFERROR(V165/J165, 0)</f>
      </c>
    </row>
    <row r="166" spans="1:33" x14ac:dyDescent="0.25">
      <c r="A166" s="2">
        <v>138</v>
      </c>
      <c r="B166" s="2" t="s">
        <v>304</v>
      </c>
      <c r="C166" s="2" t="s">
        <v>366</v>
      </c>
      <c r="D166" s="2"/>
      <c r="E166" s="2"/>
      <c r="F166" s="2"/>
      <c r="G166" s="3">
        <v>0</v>
      </c>
      <c r="H166" s="3">
        <v>0</v>
      </c>
      <c r="I166" s="3">
        <v>2002500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4"/>
      <c r="X166" s="4"/>
      <c r="Y166" s="3">
        <f>SUM(G166:R166)</f>
      </c>
      <c r="Z166" s="3">
        <f>SUM(S166:V166)</f>
      </c>
      <c r="AA166" s="3">
        <f>AVERAGE(T166:V166)</f>
      </c>
      <c r="AB166" s="3">
        <f>AVERAGE(Q166:V166)</f>
      </c>
      <c r="AC166" s="3">
        <f>AVERAGE(N166:V166)</f>
      </c>
      <c r="AD166" s="4">
        <f>IFERROR((AA166*2)/(AB166+AC166), 0)</f>
      </c>
      <c r="AE166" s="4">
        <f>IFERROR(Z166/SUM(G166:J166), 0)</f>
      </c>
      <c r="AF166" s="4">
        <f>IFERROR(Z166/SUM(G166:J166), 0)</f>
      </c>
      <c r="AG166" s="4">
        <f>IFERROR(V166/J166, 0)</f>
      </c>
    </row>
    <row r="167" spans="1:33" x14ac:dyDescent="0.25">
      <c r="A167" s="2">
        <v>139</v>
      </c>
      <c r="B167" s="2" t="s">
        <v>305</v>
      </c>
      <c r="C167" s="2" t="s">
        <v>366</v>
      </c>
      <c r="D167" s="2"/>
      <c r="E167" s="2"/>
      <c r="F167" s="2"/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1500000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4"/>
      <c r="X167" s="4"/>
      <c r="Y167" s="3">
        <f>SUM(G167:R167)</f>
      </c>
      <c r="Z167" s="3">
        <f>SUM(S167:V167)</f>
      </c>
      <c r="AA167" s="3">
        <f>AVERAGE(T167:V167)</f>
      </c>
      <c r="AB167" s="3">
        <f>AVERAGE(Q167:V167)</f>
      </c>
      <c r="AC167" s="3">
        <f>AVERAGE(N167:V167)</f>
      </c>
      <c r="AD167" s="4">
        <f>IFERROR((AA167*2)/(AB167+AC167), 0)</f>
      </c>
      <c r="AE167" s="4">
        <f>IFERROR(Z167/SUM(G167:J167), 0)</f>
      </c>
      <c r="AF167" s="4">
        <f>IFERROR(Z167/SUM(G167:J167), 0)</f>
      </c>
      <c r="AG167" s="4">
        <f>IFERROR(V167/J167, 0)</f>
      </c>
    </row>
    <row r="168" spans="1:33" x14ac:dyDescent="0.25">
      <c r="A168" s="2">
        <v>140</v>
      </c>
      <c r="B168" s="2" t="s">
        <v>306</v>
      </c>
      <c r="C168" s="2" t="s">
        <v>366</v>
      </c>
      <c r="D168" s="2"/>
      <c r="E168" s="2"/>
      <c r="F168" s="2"/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3300000</v>
      </c>
      <c r="S168" s="3">
        <v>0</v>
      </c>
      <c r="T168" s="3">
        <v>0</v>
      </c>
      <c r="U168" s="3">
        <v>0</v>
      </c>
      <c r="V168" s="3">
        <v>0</v>
      </c>
      <c r="W168" s="4"/>
      <c r="X168" s="4"/>
      <c r="Y168" s="3">
        <f>SUM(G168:R168)</f>
      </c>
      <c r="Z168" s="3">
        <f>SUM(S168:V168)</f>
      </c>
      <c r="AA168" s="3">
        <f>AVERAGE(T168:V168)</f>
      </c>
      <c r="AB168" s="3">
        <f>AVERAGE(Q168:V168)</f>
      </c>
      <c r="AC168" s="3">
        <f>AVERAGE(N168:V168)</f>
      </c>
      <c r="AD168" s="4">
        <f>IFERROR((AA168*2)/(AB168+AC168), 0)</f>
      </c>
      <c r="AE168" s="4">
        <f>IFERROR(Z168/SUM(G168:J168), 0)</f>
      </c>
      <c r="AF168" s="4">
        <f>IFERROR(Z168/SUM(G168:J168), 0)</f>
      </c>
      <c r="AG168" s="4">
        <f>IFERROR(V168/J168, 0)</f>
      </c>
    </row>
    <row r="169" spans="1:33" x14ac:dyDescent="0.25">
      <c r="A169" s="2">
        <v>141</v>
      </c>
      <c r="B169" s="2" t="s">
        <v>307</v>
      </c>
      <c r="C169" s="2" t="s">
        <v>367</v>
      </c>
      <c r="D169" s="2"/>
      <c r="E169" s="2"/>
      <c r="F169" s="2"/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1246000</v>
      </c>
      <c r="S169" s="3">
        <v>0</v>
      </c>
      <c r="T169" s="3">
        <v>0</v>
      </c>
      <c r="U169" s="3">
        <v>0</v>
      </c>
      <c r="V169" s="3">
        <v>0</v>
      </c>
      <c r="W169" s="4"/>
      <c r="X169" s="4"/>
      <c r="Y169" s="3">
        <f>SUM(G169:R169)</f>
      </c>
      <c r="Z169" s="3">
        <f>SUM(S169:V169)</f>
      </c>
      <c r="AA169" s="3">
        <f>AVERAGE(T169:V169)</f>
      </c>
      <c r="AB169" s="3">
        <f>AVERAGE(Q169:V169)</f>
      </c>
      <c r="AC169" s="3">
        <f>AVERAGE(N169:V169)</f>
      </c>
      <c r="AD169" s="4">
        <f>IFERROR((AA169*2)/(AB169+AC169), 0)</f>
      </c>
      <c r="AE169" s="4">
        <f>IFERROR(Z169/SUM(G169:J169), 0)</f>
      </c>
      <c r="AF169" s="4">
        <f>IFERROR(Z169/SUM(G169:J169), 0)</f>
      </c>
      <c r="AG169" s="4">
        <f>IFERROR(V169/J169, 0)</f>
      </c>
    </row>
    <row r="170" spans="1:33" x14ac:dyDescent="0.25">
      <c r="A170" s="2">
        <v>142</v>
      </c>
      <c r="B170" s="2" t="s">
        <v>308</v>
      </c>
      <c r="C170" s="2" t="s">
        <v>366</v>
      </c>
      <c r="D170" s="2"/>
      <c r="E170" s="2"/>
      <c r="F170" s="2"/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19150000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4"/>
      <c r="X170" s="4"/>
      <c r="Y170" s="3">
        <f>SUM(G170:R170)</f>
      </c>
      <c r="Z170" s="3">
        <f>SUM(S170:V170)</f>
      </c>
      <c r="AA170" s="3">
        <f>AVERAGE(T170:V170)</f>
      </c>
      <c r="AB170" s="3">
        <f>AVERAGE(Q170:V170)</f>
      </c>
      <c r="AC170" s="3">
        <f>AVERAGE(N170:V170)</f>
      </c>
      <c r="AD170" s="4">
        <f>IFERROR((AA170*2)/(AB170+AC170), 0)</f>
      </c>
      <c r="AE170" s="4">
        <f>IFERROR(Z170/SUM(G170:J170), 0)</f>
      </c>
      <c r="AF170" s="4">
        <f>IFERROR(Z170/SUM(G170:J170), 0)</f>
      </c>
      <c r="AG170" s="4">
        <f>IFERROR(V170/J170, 0)</f>
      </c>
    </row>
    <row r="171" spans="1:33" x14ac:dyDescent="0.25">
      <c r="A171" s="2">
        <v>143</v>
      </c>
      <c r="B171" s="2" t="s">
        <v>309</v>
      </c>
      <c r="C171" s="2" t="s">
        <v>367</v>
      </c>
      <c r="D171" s="2"/>
      <c r="E171" s="2"/>
      <c r="F171" s="2"/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383500</v>
      </c>
      <c r="O171" s="3">
        <v>0</v>
      </c>
      <c r="P171" s="3">
        <v>1872000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4"/>
      <c r="X171" s="4"/>
      <c r="Y171" s="3">
        <f>SUM(G171:R171)</f>
      </c>
      <c r="Z171" s="3">
        <f>SUM(S171:V171)</f>
      </c>
      <c r="AA171" s="3">
        <f>AVERAGE(T171:V171)</f>
      </c>
      <c r="AB171" s="3">
        <f>AVERAGE(Q171:V171)</f>
      </c>
      <c r="AC171" s="3">
        <f>AVERAGE(N171:V171)</f>
      </c>
      <c r="AD171" s="4">
        <f>IFERROR((AA171*2)/(AB171+AC171), 0)</f>
      </c>
      <c r="AE171" s="4">
        <f>IFERROR(Z171/SUM(G171:J171), 0)</f>
      </c>
      <c r="AF171" s="4">
        <f>IFERROR(Z171/SUM(G171:J171), 0)</f>
      </c>
      <c r="AG171" s="4">
        <f>IFERROR(V171/J171, 0)</f>
      </c>
    </row>
    <row r="172" spans="1:33" x14ac:dyDescent="0.25">
      <c r="A172" s="2">
        <v>144</v>
      </c>
      <c r="B172" s="2" t="s">
        <v>310</v>
      </c>
      <c r="C172" s="2" t="s">
        <v>369</v>
      </c>
      <c r="D172" s="2"/>
      <c r="E172" s="2"/>
      <c r="F172" s="2"/>
      <c r="G172" s="3">
        <v>0</v>
      </c>
      <c r="H172" s="3">
        <v>0</v>
      </c>
      <c r="I172" s="3">
        <v>0</v>
      </c>
      <c r="J172" s="3">
        <v>51094997.75</v>
      </c>
      <c r="K172" s="3">
        <v>0</v>
      </c>
      <c r="L172" s="3">
        <v>0</v>
      </c>
      <c r="M172" s="3">
        <v>0</v>
      </c>
      <c r="N172" s="3">
        <v>-8612500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4"/>
      <c r="X172" s="4"/>
      <c r="Y172" s="3">
        <f>SUM(G172:R172)</f>
      </c>
      <c r="Z172" s="3">
        <f>SUM(S172:V172)</f>
      </c>
      <c r="AA172" s="3">
        <f>AVERAGE(T172:V172)</f>
      </c>
      <c r="AB172" s="3">
        <f>AVERAGE(Q172:V172)</f>
      </c>
      <c r="AC172" s="3">
        <f>AVERAGE(N172:V172)</f>
      </c>
      <c r="AD172" s="4">
        <f>IFERROR((AA172*2)/(AB172+AC172), 0)</f>
      </c>
      <c r="AE172" s="4">
        <f>IFERROR(Z172/SUM(G172:J172), 0)</f>
      </c>
      <c r="AF172" s="4">
        <f>IFERROR(Z172/SUM(G172:J172), 0)</f>
      </c>
      <c r="AG172" s="4">
        <f>IFERROR(V172/J172, 0)</f>
      </c>
    </row>
    <row r="173" spans="1:33" x14ac:dyDescent="0.25">
      <c r="A173" s="2">
        <v>145</v>
      </c>
      <c r="B173" s="2" t="s">
        <v>311</v>
      </c>
      <c r="C173" s="2" t="s">
        <v>369</v>
      </c>
      <c r="D173" s="2"/>
      <c r="E173" s="2"/>
      <c r="F173" s="2"/>
      <c r="G173" s="3">
        <v>0</v>
      </c>
      <c r="H173" s="3">
        <v>0</v>
      </c>
      <c r="I173" s="3">
        <v>4417000</v>
      </c>
      <c r="J173" s="3">
        <v>21910000</v>
      </c>
      <c r="K173" s="3">
        <v>0</v>
      </c>
      <c r="L173" s="3">
        <v>12480000</v>
      </c>
      <c r="M173" s="3">
        <v>8490000</v>
      </c>
      <c r="N173" s="3">
        <v>8415000</v>
      </c>
      <c r="O173" s="3">
        <v>0</v>
      </c>
      <c r="P173" s="3">
        <v>19905000</v>
      </c>
      <c r="Q173" s="3">
        <v>0</v>
      </c>
      <c r="R173" s="3">
        <v>0</v>
      </c>
      <c r="S173" s="3">
        <v>0</v>
      </c>
      <c r="T173" s="3">
        <v>9350000</v>
      </c>
      <c r="U173" s="3">
        <v>0</v>
      </c>
      <c r="V173" s="3">
        <v>0</v>
      </c>
      <c r="W173" s="4"/>
      <c r="X173" s="4"/>
      <c r="Y173" s="3">
        <f>SUM(G173:R173)</f>
      </c>
      <c r="Z173" s="3">
        <f>SUM(S173:V173)</f>
      </c>
      <c r="AA173" s="3">
        <f>AVERAGE(T173:V173)</f>
      </c>
      <c r="AB173" s="3">
        <f>AVERAGE(Q173:V173)</f>
      </c>
      <c r="AC173" s="3">
        <f>AVERAGE(N173:V173)</f>
      </c>
      <c r="AD173" s="4">
        <f>IFERROR((AA173*2)/(AB173+AC173), 0)</f>
      </c>
      <c r="AE173" s="4">
        <f>IFERROR(Z173/SUM(G173:J173), 0)</f>
      </c>
      <c r="AF173" s="4">
        <f>IFERROR(Z173/SUM(G173:J173), 0)</f>
      </c>
      <c r="AG173" s="4">
        <f>IFERROR(V173/J173, 0)</f>
      </c>
    </row>
    <row r="174" spans="1:33" x14ac:dyDescent="0.25">
      <c r="A174" s="2">
        <v>146</v>
      </c>
      <c r="B174" s="2" t="s">
        <v>312</v>
      </c>
      <c r="C174" s="2" t="s">
        <v>369</v>
      </c>
      <c r="D174" s="2"/>
      <c r="E174" s="2"/>
      <c r="F174" s="2"/>
      <c r="G174" s="3">
        <v>0</v>
      </c>
      <c r="H174" s="3">
        <v>0</v>
      </c>
      <c r="I174" s="3">
        <v>0</v>
      </c>
      <c r="J174" s="3">
        <v>9620000</v>
      </c>
      <c r="K174" s="3">
        <v>0</v>
      </c>
      <c r="L174" s="3">
        <v>0</v>
      </c>
      <c r="M174" s="3">
        <v>0</v>
      </c>
      <c r="N174" s="3">
        <v>11100000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25320000</v>
      </c>
      <c r="U174" s="3">
        <v>0</v>
      </c>
      <c r="V174" s="3">
        <v>0</v>
      </c>
      <c r="W174" s="4"/>
      <c r="X174" s="4"/>
      <c r="Y174" s="3">
        <f>SUM(G174:R174)</f>
      </c>
      <c r="Z174" s="3">
        <f>SUM(S174:V174)</f>
      </c>
      <c r="AA174" s="3">
        <f>AVERAGE(T174:V174)</f>
      </c>
      <c r="AB174" s="3">
        <f>AVERAGE(Q174:V174)</f>
      </c>
      <c r="AC174" s="3">
        <f>AVERAGE(N174:V174)</f>
      </c>
      <c r="AD174" s="4">
        <f>IFERROR((AA174*2)/(AB174+AC174), 0)</f>
      </c>
      <c r="AE174" s="4">
        <f>IFERROR(Z174/SUM(G174:J174), 0)</f>
      </c>
      <c r="AF174" s="4">
        <f>IFERROR(Z174/SUM(G174:J174), 0)</f>
      </c>
      <c r="AG174" s="4">
        <f>IFERROR(V174/J174, 0)</f>
      </c>
    </row>
    <row r="175" spans="1:33" x14ac:dyDescent="0.25">
      <c r="A175" s="2">
        <v>147</v>
      </c>
      <c r="B175" s="2" t="s">
        <v>313</v>
      </c>
      <c r="C175" s="2" t="s">
        <v>369</v>
      </c>
      <c r="D175" s="2"/>
      <c r="E175" s="2"/>
      <c r="F175" s="2"/>
      <c r="G175" s="3">
        <v>0</v>
      </c>
      <c r="H175" s="3">
        <v>0</v>
      </c>
      <c r="I175" s="3">
        <v>1770000</v>
      </c>
      <c r="J175" s="3">
        <v>1652000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5310000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4"/>
      <c r="X175" s="4"/>
      <c r="Y175" s="3">
        <f>SUM(G175:R175)</f>
      </c>
      <c r="Z175" s="3">
        <f>SUM(S175:V175)</f>
      </c>
      <c r="AA175" s="3">
        <f>AVERAGE(T175:V175)</f>
      </c>
      <c r="AB175" s="3">
        <f>AVERAGE(Q175:V175)</f>
      </c>
      <c r="AC175" s="3">
        <f>AVERAGE(N175:V175)</f>
      </c>
      <c r="AD175" s="4">
        <f>IFERROR((AA175*2)/(AB175+AC175), 0)</f>
      </c>
      <c r="AE175" s="4">
        <f>IFERROR(Z175/SUM(G175:J175), 0)</f>
      </c>
      <c r="AF175" s="4">
        <f>IFERROR(Z175/SUM(G175:J175), 0)</f>
      </c>
      <c r="AG175" s="4">
        <f>IFERROR(V175/J175, 0)</f>
      </c>
    </row>
    <row r="176" spans="1:33" x14ac:dyDescent="0.25">
      <c r="A176" s="2">
        <v>148</v>
      </c>
      <c r="B176" s="2" t="s">
        <v>314</v>
      </c>
      <c r="C176" s="2" t="s">
        <v>369</v>
      </c>
      <c r="D176" s="2"/>
      <c r="E176" s="2"/>
      <c r="F176" s="2"/>
      <c r="G176" s="3">
        <v>0</v>
      </c>
      <c r="H176" s="3">
        <v>0</v>
      </c>
      <c r="I176" s="3">
        <v>1770000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4"/>
      <c r="X176" s="4"/>
      <c r="Y176" s="3">
        <f>SUM(G176:R176)</f>
      </c>
      <c r="Z176" s="3">
        <f>SUM(S176:V176)</f>
      </c>
      <c r="AA176" s="3">
        <f>AVERAGE(T176:V176)</f>
      </c>
      <c r="AB176" s="3">
        <f>AVERAGE(Q176:V176)</f>
      </c>
      <c r="AC176" s="3">
        <f>AVERAGE(N176:V176)</f>
      </c>
      <c r="AD176" s="4">
        <f>IFERROR((AA176*2)/(AB176+AC176), 0)</f>
      </c>
      <c r="AE176" s="4">
        <f>IFERROR(Z176/SUM(G176:J176), 0)</f>
      </c>
      <c r="AF176" s="4">
        <f>IFERROR(Z176/SUM(G176:J176), 0)</f>
      </c>
      <c r="AG176" s="4">
        <f>IFERROR(V176/J176, 0)</f>
      </c>
    </row>
    <row r="177" spans="1:33" x14ac:dyDescent="0.25">
      <c r="A177" s="2">
        <v>149</v>
      </c>
      <c r="B177" s="2" t="s">
        <v>315</v>
      </c>
      <c r="C177" s="2" t="s">
        <v>363</v>
      </c>
      <c r="D177" s="2"/>
      <c r="E177" s="2"/>
      <c r="F177" s="2"/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25895001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4"/>
      <c r="X177" s="4"/>
      <c r="Y177" s="3">
        <f>SUM(G177:R177)</f>
      </c>
      <c r="Z177" s="3">
        <f>SUM(S177:V177)</f>
      </c>
      <c r="AA177" s="3">
        <f>AVERAGE(T177:V177)</f>
      </c>
      <c r="AB177" s="3">
        <f>AVERAGE(Q177:V177)</f>
      </c>
      <c r="AC177" s="3">
        <f>AVERAGE(N177:V177)</f>
      </c>
      <c r="AD177" s="4">
        <f>IFERROR((AA177*2)/(AB177+AC177), 0)</f>
      </c>
      <c r="AE177" s="4">
        <f>IFERROR(Z177/SUM(G177:J177), 0)</f>
      </c>
      <c r="AF177" s="4">
        <f>IFERROR(Z177/SUM(G177:J177), 0)</f>
      </c>
      <c r="AG177" s="4">
        <f>IFERROR(V177/J177, 0)</f>
      </c>
    </row>
    <row r="178" spans="1:33" x14ac:dyDescent="0.25">
      <c r="A178" s="2">
        <v>150</v>
      </c>
      <c r="B178" s="2" t="s">
        <v>316</v>
      </c>
      <c r="C178" s="2" t="s">
        <v>363</v>
      </c>
      <c r="D178" s="2"/>
      <c r="E178" s="2"/>
      <c r="F178" s="2"/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62640000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4"/>
      <c r="X178" s="4"/>
      <c r="Y178" s="3">
        <f>SUM(G178:R178)</f>
      </c>
      <c r="Z178" s="3">
        <f>SUM(S178:V178)</f>
      </c>
      <c r="AA178" s="3">
        <f>AVERAGE(T178:V178)</f>
      </c>
      <c r="AB178" s="3">
        <f>AVERAGE(Q178:V178)</f>
      </c>
      <c r="AC178" s="3">
        <f>AVERAGE(N178:V178)</f>
      </c>
      <c r="AD178" s="4">
        <f>IFERROR((AA178*2)/(AB178+AC178), 0)</f>
      </c>
      <c r="AE178" s="4">
        <f>IFERROR(Z178/SUM(G178:J178), 0)</f>
      </c>
      <c r="AF178" s="4">
        <f>IFERROR(Z178/SUM(G178:J178), 0)</f>
      </c>
      <c r="AG178" s="4">
        <f>IFERROR(V178/J178, 0)</f>
      </c>
    </row>
    <row r="179" spans="1:33" x14ac:dyDescent="0.25">
      <c r="A179" s="2">
        <v>151</v>
      </c>
      <c r="B179" s="2" t="s">
        <v>317</v>
      </c>
      <c r="C179" s="2" t="s">
        <v>363</v>
      </c>
      <c r="D179" s="2"/>
      <c r="E179" s="2"/>
      <c r="F179" s="2"/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136762500</v>
      </c>
      <c r="N179" s="3">
        <v>0</v>
      </c>
      <c r="O179" s="3">
        <v>226800000</v>
      </c>
      <c r="P179" s="3">
        <v>0</v>
      </c>
      <c r="Q179" s="3">
        <v>0</v>
      </c>
      <c r="R179" s="3">
        <v>33600000.0204</v>
      </c>
      <c r="S179" s="3">
        <v>0</v>
      </c>
      <c r="T179" s="3">
        <v>0</v>
      </c>
      <c r="U179" s="3">
        <v>0</v>
      </c>
      <c r="V179" s="3">
        <v>0</v>
      </c>
      <c r="W179" s="4"/>
      <c r="X179" s="4"/>
      <c r="Y179" s="3">
        <f>SUM(G179:R179)</f>
      </c>
      <c r="Z179" s="3">
        <f>SUM(S179:V179)</f>
      </c>
      <c r="AA179" s="3">
        <f>AVERAGE(T179:V179)</f>
      </c>
      <c r="AB179" s="3">
        <f>AVERAGE(Q179:V179)</f>
      </c>
      <c r="AC179" s="3">
        <f>AVERAGE(N179:V179)</f>
      </c>
      <c r="AD179" s="4">
        <f>IFERROR((AA179*2)/(AB179+AC179), 0)</f>
      </c>
      <c r="AE179" s="4">
        <f>IFERROR(Z179/SUM(G179:J179), 0)</f>
      </c>
      <c r="AF179" s="4">
        <f>IFERROR(Z179/SUM(G179:J179), 0)</f>
      </c>
      <c r="AG179" s="4">
        <f>IFERROR(V179/J179, 0)</f>
      </c>
    </row>
    <row r="180" spans="1:33" x14ac:dyDescent="0.25">
      <c r="A180" s="2">
        <v>152</v>
      </c>
      <c r="B180" s="2" t="s">
        <v>318</v>
      </c>
      <c r="C180" s="2" t="s">
        <v>363</v>
      </c>
      <c r="D180" s="2"/>
      <c r="E180" s="2"/>
      <c r="F180" s="2"/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55300000</v>
      </c>
      <c r="N180" s="3">
        <v>0</v>
      </c>
      <c r="O180" s="3">
        <v>0</v>
      </c>
      <c r="P180" s="3">
        <v>20526500</v>
      </c>
      <c r="Q180" s="3">
        <v>14900000</v>
      </c>
      <c r="R180" s="3">
        <v>0</v>
      </c>
      <c r="S180" s="3">
        <v>0</v>
      </c>
      <c r="T180" s="3">
        <v>0</v>
      </c>
      <c r="U180" s="3">
        <v>0</v>
      </c>
      <c r="V180" s="3">
        <v>44700000</v>
      </c>
      <c r="W180" s="4"/>
      <c r="X180" s="4"/>
      <c r="Y180" s="3">
        <f>SUM(G180:R180)</f>
      </c>
      <c r="Z180" s="3">
        <f>SUM(S180:V180)</f>
      </c>
      <c r="AA180" s="3">
        <f>AVERAGE(T180:V180)</f>
      </c>
      <c r="AB180" s="3">
        <f>AVERAGE(Q180:V180)</f>
      </c>
      <c r="AC180" s="3">
        <f>AVERAGE(N180:V180)</f>
      </c>
      <c r="AD180" s="4">
        <f>IFERROR((AA180*2)/(AB180+AC180), 0)</f>
      </c>
      <c r="AE180" s="4">
        <f>IFERROR(Z180/SUM(G180:J180), 0)</f>
      </c>
      <c r="AF180" s="4">
        <f>IFERROR(Z180/SUM(G180:J180), 0)</f>
      </c>
      <c r="AG180" s="4">
        <f>IFERROR(V180/J180, 0)</f>
      </c>
    </row>
    <row r="181" spans="1:33" x14ac:dyDescent="0.25">
      <c r="A181" s="2">
        <v>153</v>
      </c>
      <c r="B181" s="2" t="s">
        <v>320</v>
      </c>
      <c r="C181" s="2" t="s">
        <v>363</v>
      </c>
      <c r="D181" s="2"/>
      <c r="E181" s="2"/>
      <c r="F181" s="2"/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5425000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4"/>
      <c r="X181" s="4"/>
      <c r="Y181" s="3">
        <f>SUM(G181:R181)</f>
      </c>
      <c r="Z181" s="3">
        <f>SUM(S181:V181)</f>
      </c>
      <c r="AA181" s="3">
        <f>AVERAGE(T181:V181)</f>
      </c>
      <c r="AB181" s="3">
        <f>AVERAGE(Q181:V181)</f>
      </c>
      <c r="AC181" s="3">
        <f>AVERAGE(N181:V181)</f>
      </c>
      <c r="AD181" s="4">
        <f>IFERROR((AA181*2)/(AB181+AC181), 0)</f>
      </c>
      <c r="AE181" s="4">
        <f>IFERROR(Z181/SUM(G181:J181), 0)</f>
      </c>
      <c r="AF181" s="4">
        <f>IFERROR(Z181/SUM(G181:J181), 0)</f>
      </c>
      <c r="AG181" s="4">
        <f>IFERROR(V181/J181, 0)</f>
      </c>
    </row>
    <row r="182" spans="1:33" x14ac:dyDescent="0.25">
      <c r="A182" s="2">
        <v>154</v>
      </c>
      <c r="B182" s="2" t="s">
        <v>322</v>
      </c>
      <c r="C182" s="2" t="s">
        <v>366</v>
      </c>
      <c r="D182" s="2"/>
      <c r="E182" s="2"/>
      <c r="F182" s="2"/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11662500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4"/>
      <c r="X182" s="4"/>
      <c r="Y182" s="3">
        <f>SUM(G182:R182)</f>
      </c>
      <c r="Z182" s="3">
        <f>SUM(S182:V182)</f>
      </c>
      <c r="AA182" s="3">
        <f>AVERAGE(T182:V182)</f>
      </c>
      <c r="AB182" s="3">
        <f>AVERAGE(Q182:V182)</f>
      </c>
      <c r="AC182" s="3">
        <f>AVERAGE(N182:V182)</f>
      </c>
      <c r="AD182" s="4">
        <f>IFERROR((AA182*2)/(AB182+AC182), 0)</f>
      </c>
      <c r="AE182" s="4">
        <f>IFERROR(Z182/SUM(G182:J182), 0)</f>
      </c>
      <c r="AF182" s="4">
        <f>IFERROR(Z182/SUM(G182:J182), 0)</f>
      </c>
      <c r="AG182" s="4">
        <f>IFERROR(V182/J182, 0)</f>
      </c>
    </row>
    <row r="183" spans="1:33" x14ac:dyDescent="0.25">
      <c r="A183" s="2">
        <v>155</v>
      </c>
      <c r="B183" s="2" t="s">
        <v>324</v>
      </c>
      <c r="C183" s="2" t="s">
        <v>363</v>
      </c>
      <c r="D183" s="2"/>
      <c r="E183" s="2"/>
      <c r="F183" s="2"/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1437000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4"/>
      <c r="X183" s="4"/>
      <c r="Y183" s="3">
        <f>SUM(G183:R183)</f>
      </c>
      <c r="Z183" s="3">
        <f>SUM(S183:V183)</f>
      </c>
      <c r="AA183" s="3">
        <f>AVERAGE(T183:V183)</f>
      </c>
      <c r="AB183" s="3">
        <f>AVERAGE(Q183:V183)</f>
      </c>
      <c r="AC183" s="3">
        <f>AVERAGE(N183:V183)</f>
      </c>
      <c r="AD183" s="4">
        <f>IFERROR((AA183*2)/(AB183+AC183), 0)</f>
      </c>
      <c r="AE183" s="4">
        <f>IFERROR(Z183/SUM(G183:J183), 0)</f>
      </c>
      <c r="AF183" s="4">
        <f>IFERROR(Z183/SUM(G183:J183), 0)</f>
      </c>
      <c r="AG183" s="4">
        <f>IFERROR(V183/J183, 0)</f>
      </c>
    </row>
    <row r="184" spans="1:33" x14ac:dyDescent="0.25">
      <c r="A184" s="2">
        <v>156</v>
      </c>
      <c r="B184" s="2" t="s">
        <v>325</v>
      </c>
      <c r="C184" s="2" t="s">
        <v>367</v>
      </c>
      <c r="D184" s="2"/>
      <c r="E184" s="2"/>
      <c r="F184" s="2"/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607750</v>
      </c>
      <c r="T184" s="3">
        <v>0</v>
      </c>
      <c r="U184" s="3">
        <v>0</v>
      </c>
      <c r="V184" s="3">
        <v>0</v>
      </c>
      <c r="W184" s="4"/>
      <c r="X184" s="4"/>
      <c r="Y184" s="3">
        <f>SUM(G184:R184)</f>
      </c>
      <c r="Z184" s="3">
        <f>SUM(S184:V184)</f>
      </c>
      <c r="AA184" s="3">
        <f>AVERAGE(T184:V184)</f>
      </c>
      <c r="AB184" s="3">
        <f>AVERAGE(Q184:V184)</f>
      </c>
      <c r="AC184" s="3">
        <f>AVERAGE(N184:V184)</f>
      </c>
      <c r="AD184" s="4">
        <f>IFERROR((AA184*2)/(AB184+AC184), 0)</f>
      </c>
      <c r="AE184" s="4">
        <f>IFERROR(Z184/SUM(G184:J184), 0)</f>
      </c>
      <c r="AF184" s="4">
        <f>IFERROR(Z184/SUM(G184:J184), 0)</f>
      </c>
      <c r="AG184" s="4">
        <f>IFERROR(V184/J184, 0)</f>
      </c>
    </row>
    <row r="185" spans="1:33" x14ac:dyDescent="0.25">
      <c r="A185" s="2">
        <v>157</v>
      </c>
      <c r="B185" s="2" t="s">
        <v>327</v>
      </c>
      <c r="C185" s="2" t="s">
        <v>365</v>
      </c>
      <c r="D185" s="2"/>
      <c r="E185" s="2"/>
      <c r="F185" s="2"/>
      <c r="G185" s="3">
        <v>0</v>
      </c>
      <c r="H185" s="3">
        <v>0</v>
      </c>
      <c r="I185" s="3">
        <v>30275000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4"/>
      <c r="X185" s="4"/>
      <c r="Y185" s="3">
        <f>SUM(G185:R185)</f>
      </c>
      <c r="Z185" s="3">
        <f>SUM(S185:V185)</f>
      </c>
      <c r="AA185" s="3">
        <f>AVERAGE(T185:V185)</f>
      </c>
      <c r="AB185" s="3">
        <f>AVERAGE(Q185:V185)</f>
      </c>
      <c r="AC185" s="3">
        <f>AVERAGE(N185:V185)</f>
      </c>
      <c r="AD185" s="4">
        <f>IFERROR((AA185*2)/(AB185+AC185), 0)</f>
      </c>
      <c r="AE185" s="4">
        <f>IFERROR(Z185/SUM(G185:J185), 0)</f>
      </c>
      <c r="AF185" s="4">
        <f>IFERROR(Z185/SUM(G185:J185), 0)</f>
      </c>
      <c r="AG185" s="4">
        <f>IFERROR(V185/J185, 0)</f>
      </c>
    </row>
    <row r="186" spans="1:33" x14ac:dyDescent="0.25">
      <c r="A186" s="2">
        <v>158</v>
      </c>
      <c r="B186" s="2" t="s">
        <v>329</v>
      </c>
      <c r="C186" s="2" t="s">
        <v>363</v>
      </c>
      <c r="D186" s="2"/>
      <c r="E186" s="2"/>
      <c r="F186" s="2"/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9187500</v>
      </c>
      <c r="O186" s="3">
        <v>0</v>
      </c>
      <c r="P186" s="3">
        <v>0</v>
      </c>
      <c r="Q186" s="3">
        <v>5587500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4"/>
      <c r="X186" s="4"/>
      <c r="Y186" s="3">
        <f>SUM(G186:R186)</f>
      </c>
      <c r="Z186" s="3">
        <f>SUM(S186:V186)</f>
      </c>
      <c r="AA186" s="3">
        <f>AVERAGE(T186:V186)</f>
      </c>
      <c r="AB186" s="3">
        <f>AVERAGE(Q186:V186)</f>
      </c>
      <c r="AC186" s="3">
        <f>AVERAGE(N186:V186)</f>
      </c>
      <c r="AD186" s="4">
        <f>IFERROR((AA186*2)/(AB186+AC186), 0)</f>
      </c>
      <c r="AE186" s="4">
        <f>IFERROR(Z186/SUM(G186:J186), 0)</f>
      </c>
      <c r="AF186" s="4">
        <f>IFERROR(Z186/SUM(G186:J186), 0)</f>
      </c>
      <c r="AG186" s="4">
        <f>IFERROR(V186/J186, 0)</f>
      </c>
    </row>
    <row r="187" spans="1:33" x14ac:dyDescent="0.25">
      <c r="A187" s="2">
        <v>159</v>
      </c>
      <c r="B187" s="2" t="s">
        <v>330</v>
      </c>
      <c r="C187" s="2" t="s">
        <v>363</v>
      </c>
      <c r="D187" s="2"/>
      <c r="E187" s="2"/>
      <c r="F187" s="2"/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6743997.300000001</v>
      </c>
      <c r="O187" s="3">
        <v>0</v>
      </c>
      <c r="P187" s="3">
        <v>11935000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4"/>
      <c r="X187" s="4"/>
      <c r="Y187" s="3">
        <f>SUM(G187:R187)</f>
      </c>
      <c r="Z187" s="3">
        <f>SUM(S187:V187)</f>
      </c>
      <c r="AA187" s="3">
        <f>AVERAGE(T187:V187)</f>
      </c>
      <c r="AB187" s="3">
        <f>AVERAGE(Q187:V187)</f>
      </c>
      <c r="AC187" s="3">
        <f>AVERAGE(N187:V187)</f>
      </c>
      <c r="AD187" s="4">
        <f>IFERROR((AA187*2)/(AB187+AC187), 0)</f>
      </c>
      <c r="AE187" s="4">
        <f>IFERROR(Z187/SUM(G187:J187), 0)</f>
      </c>
      <c r="AF187" s="4">
        <f>IFERROR(Z187/SUM(G187:J187), 0)</f>
      </c>
      <c r="AG187" s="4">
        <f>IFERROR(V187/J187, 0)</f>
      </c>
    </row>
    <row r="188" spans="1:33" x14ac:dyDescent="0.25">
      <c r="A188" s="2">
        <v>160</v>
      </c>
      <c r="B188" s="2" t="s">
        <v>331</v>
      </c>
      <c r="C188" s="2" t="s">
        <v>368</v>
      </c>
      <c r="D188" s="2"/>
      <c r="E188" s="2"/>
      <c r="F188" s="2"/>
      <c r="G188" s="3">
        <v>0</v>
      </c>
      <c r="H188" s="3">
        <v>0</v>
      </c>
      <c r="I188" s="3">
        <v>17700000</v>
      </c>
      <c r="J188" s="3">
        <v>17700000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4"/>
      <c r="X188" s="4"/>
      <c r="Y188" s="3">
        <f>SUM(G188:R188)</f>
      </c>
      <c r="Z188" s="3">
        <f>SUM(S188:V188)</f>
      </c>
      <c r="AA188" s="3">
        <f>AVERAGE(T188:V188)</f>
      </c>
      <c r="AB188" s="3">
        <f>AVERAGE(Q188:V188)</f>
      </c>
      <c r="AC188" s="3">
        <f>AVERAGE(N188:V188)</f>
      </c>
      <c r="AD188" s="4">
        <f>IFERROR((AA188*2)/(AB188+AC188), 0)</f>
      </c>
      <c r="AE188" s="4">
        <f>IFERROR(Z188/SUM(G188:J188), 0)</f>
      </c>
      <c r="AF188" s="4">
        <f>IFERROR(Z188/SUM(G188:J188), 0)</f>
      </c>
      <c r="AG188" s="4">
        <f>IFERROR(V188/J188, 0)</f>
      </c>
    </row>
    <row r="189" spans="1:33" x14ac:dyDescent="0.25">
      <c r="A189" s="2">
        <v>161</v>
      </c>
      <c r="B189" s="2" t="s">
        <v>332</v>
      </c>
      <c r="C189" s="2" t="s">
        <v>367</v>
      </c>
      <c r="D189" s="2"/>
      <c r="E189" s="2"/>
      <c r="F189" s="2"/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968500</v>
      </c>
      <c r="N189" s="3">
        <v>0</v>
      </c>
      <c r="O189" s="3">
        <v>0</v>
      </c>
      <c r="P189" s="3">
        <v>607750</v>
      </c>
      <c r="Q189" s="3">
        <v>6186000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4"/>
      <c r="X189" s="4"/>
      <c r="Y189" s="3">
        <f>SUM(G189:R189)</f>
      </c>
      <c r="Z189" s="3">
        <f>SUM(S189:V189)</f>
      </c>
      <c r="AA189" s="3">
        <f>AVERAGE(T189:V189)</f>
      </c>
      <c r="AB189" s="3">
        <f>AVERAGE(Q189:V189)</f>
      </c>
      <c r="AC189" s="3">
        <f>AVERAGE(N189:V189)</f>
      </c>
      <c r="AD189" s="4">
        <f>IFERROR((AA189*2)/(AB189+AC189), 0)</f>
      </c>
      <c r="AE189" s="4">
        <f>IFERROR(Z189/SUM(G189:J189), 0)</f>
      </c>
      <c r="AF189" s="4">
        <f>IFERROR(Z189/SUM(G189:J189), 0)</f>
      </c>
      <c r="AG189" s="4">
        <f>IFERROR(V189/J189, 0)</f>
      </c>
    </row>
    <row r="190" spans="1:33" x14ac:dyDescent="0.25">
      <c r="A190" s="2">
        <v>162</v>
      </c>
      <c r="B190" s="2" t="s">
        <v>334</v>
      </c>
      <c r="C190" s="2" t="s">
        <v>365</v>
      </c>
      <c r="D190" s="2"/>
      <c r="E190" s="2"/>
      <c r="F190" s="2"/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1242500</v>
      </c>
      <c r="O190" s="3">
        <v>5420000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4"/>
      <c r="X190" s="4"/>
      <c r="Y190" s="3">
        <f>SUM(G190:R190)</f>
      </c>
      <c r="Z190" s="3">
        <f>SUM(S190:V190)</f>
      </c>
      <c r="AA190" s="3">
        <f>AVERAGE(T190:V190)</f>
      </c>
      <c r="AB190" s="3">
        <f>AVERAGE(Q190:V190)</f>
      </c>
      <c r="AC190" s="3">
        <f>AVERAGE(N190:V190)</f>
      </c>
      <c r="AD190" s="4">
        <f>IFERROR((AA190*2)/(AB190+AC190), 0)</f>
      </c>
      <c r="AE190" s="4">
        <f>IFERROR(Z190/SUM(G190:J190), 0)</f>
      </c>
      <c r="AF190" s="4">
        <f>IFERROR(Z190/SUM(G190:J190), 0)</f>
      </c>
      <c r="AG190" s="4">
        <f>IFERROR(V190/J190, 0)</f>
      </c>
    </row>
    <row r="191" spans="1:33" x14ac:dyDescent="0.25">
      <c r="A191" s="2">
        <v>163</v>
      </c>
      <c r="B191" s="2" t="s">
        <v>336</v>
      </c>
      <c r="C191" s="2" t="s">
        <v>367</v>
      </c>
      <c r="D191" s="2"/>
      <c r="E191" s="2"/>
      <c r="F191" s="2"/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359999.83999999997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4"/>
      <c r="X191" s="4"/>
      <c r="Y191" s="3">
        <f>SUM(G191:R191)</f>
      </c>
      <c r="Z191" s="3">
        <f>SUM(S191:V191)</f>
      </c>
      <c r="AA191" s="3">
        <f>AVERAGE(T191:V191)</f>
      </c>
      <c r="AB191" s="3">
        <f>AVERAGE(Q191:V191)</f>
      </c>
      <c r="AC191" s="3">
        <f>AVERAGE(N191:V191)</f>
      </c>
      <c r="AD191" s="4">
        <f>IFERROR((AA191*2)/(AB191+AC191), 0)</f>
      </c>
      <c r="AE191" s="4">
        <f>IFERROR(Z191/SUM(G191:J191), 0)</f>
      </c>
      <c r="AF191" s="4">
        <f>IFERROR(Z191/SUM(G191:J191), 0)</f>
      </c>
      <c r="AG191" s="4">
        <f>IFERROR(V191/J191, 0)</f>
      </c>
    </row>
    <row r="192" spans="1:33" x14ac:dyDescent="0.25">
      <c r="A192" s="2">
        <v>164</v>
      </c>
      <c r="B192" s="2" t="s">
        <v>337</v>
      </c>
      <c r="C192" s="2" t="s">
        <v>363</v>
      </c>
      <c r="D192" s="2"/>
      <c r="E192" s="2"/>
      <c r="F192" s="2"/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223230000</v>
      </c>
      <c r="M192" s="3">
        <v>37170000</v>
      </c>
      <c r="N192" s="3">
        <v>40740000</v>
      </c>
      <c r="O192" s="3">
        <v>0</v>
      </c>
      <c r="P192" s="3">
        <v>0</v>
      </c>
      <c r="Q192" s="3">
        <v>0</v>
      </c>
      <c r="R192" s="3">
        <v>74500000</v>
      </c>
      <c r="S192" s="3">
        <v>0</v>
      </c>
      <c r="T192" s="3">
        <v>0</v>
      </c>
      <c r="U192" s="3">
        <v>169572400.305</v>
      </c>
      <c r="V192" s="3">
        <v>0</v>
      </c>
      <c r="W192" s="4"/>
      <c r="X192" s="4"/>
      <c r="Y192" s="3">
        <f>SUM(G192:R192)</f>
      </c>
      <c r="Z192" s="3">
        <f>SUM(S192:V192)</f>
      </c>
      <c r="AA192" s="3">
        <f>AVERAGE(T192:V192)</f>
      </c>
      <c r="AB192" s="3">
        <f>AVERAGE(Q192:V192)</f>
      </c>
      <c r="AC192" s="3">
        <f>AVERAGE(N192:V192)</f>
      </c>
      <c r="AD192" s="4">
        <f>IFERROR((AA192*2)/(AB192+AC192), 0)</f>
      </c>
      <c r="AE192" s="4">
        <f>IFERROR(Z192/SUM(G192:J192), 0)</f>
      </c>
      <c r="AF192" s="4">
        <f>IFERROR(Z192/SUM(G192:J192), 0)</f>
      </c>
      <c r="AG192" s="4">
        <f>IFERROR(V192/J192, 0)</f>
      </c>
    </row>
    <row r="193" spans="1:33" x14ac:dyDescent="0.25">
      <c r="A193" s="2">
        <v>165</v>
      </c>
      <c r="B193" s="2" t="s">
        <v>338</v>
      </c>
      <c r="C193" s="2" t="s">
        <v>370</v>
      </c>
      <c r="D193" s="2"/>
      <c r="E193" s="2"/>
      <c r="F193" s="2"/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2490151.41</v>
      </c>
      <c r="O193" s="3">
        <v>4232150.0200000005</v>
      </c>
      <c r="P193" s="3">
        <v>1514499.8250000002</v>
      </c>
      <c r="Q193" s="3">
        <v>0</v>
      </c>
      <c r="R193" s="3">
        <v>3328000.0072729997</v>
      </c>
      <c r="S193" s="3">
        <v>3523000.0052</v>
      </c>
      <c r="T193" s="3">
        <v>4022200.1913</v>
      </c>
      <c r="U193" s="3">
        <v>5400200.232799999</v>
      </c>
      <c r="V193" s="3">
        <v>5480151.486424999</v>
      </c>
      <c r="W193" s="4"/>
      <c r="X193" s="4"/>
      <c r="Y193" s="3">
        <f>SUM(G193:R193)</f>
      </c>
      <c r="Z193" s="3">
        <f>SUM(S193:V193)</f>
      </c>
      <c r="AA193" s="3">
        <f>AVERAGE(T193:V193)</f>
      </c>
      <c r="AB193" s="3">
        <f>AVERAGE(Q193:V193)</f>
      </c>
      <c r="AC193" s="3">
        <f>AVERAGE(N193:V193)</f>
      </c>
      <c r="AD193" s="4">
        <f>IFERROR((AA193*2)/(AB193+AC193), 0)</f>
      </c>
      <c r="AE193" s="4">
        <f>IFERROR(Z193/SUM(G193:J193), 0)</f>
      </c>
      <c r="AF193" s="4">
        <f>IFERROR(Z193/SUM(G193:J193), 0)</f>
      </c>
      <c r="AG193" s="4">
        <f>IFERROR(V193/J193, 0)</f>
      </c>
    </row>
    <row r="194" spans="1:33" x14ac:dyDescent="0.25">
      <c r="A194" s="5"/>
      <c r="B194" s="5" t="s">
        <v>397</v>
      </c>
      <c r="C194" s="5"/>
      <c r="D194" s="5"/>
      <c r="E194" s="5"/>
      <c r="F194" s="5"/>
      <c r="G194" s="6">
        <f>SUM(G29:G193)</f>
      </c>
      <c r="H194" s="6">
        <f>SUM(H29:H193)</f>
      </c>
      <c r="I194" s="6">
        <f>SUM(I29:I193)</f>
      </c>
      <c r="J194" s="6">
        <f>SUM(J29:J193)</f>
      </c>
      <c r="K194" s="6">
        <f>SUM(K29:K193)</f>
      </c>
      <c r="L194" s="6">
        <f>SUM(L29:L193)</f>
      </c>
      <c r="M194" s="6">
        <f>SUM(M29:M193)</f>
      </c>
      <c r="N194" s="6">
        <f>SUM(N29:N193)</f>
      </c>
      <c r="O194" s="6">
        <f>SUM(O29:O193)</f>
      </c>
      <c r="P194" s="6">
        <f>SUM(P29:P193)</f>
      </c>
      <c r="Q194" s="6">
        <f>SUM(Q29:Q193)</f>
      </c>
      <c r="R194" s="6">
        <f>SUM(R29:R193)</f>
      </c>
      <c r="S194" s="6">
        <f>SUM(S29:S193)</f>
      </c>
      <c r="T194" s="6">
        <f>SUM(T29:T193)</f>
      </c>
      <c r="U194" s="6">
        <f>SUM(U29:U193)</f>
      </c>
      <c r="V194" s="6">
        <f>SUM(V29:V193)</f>
      </c>
      <c r="W194" s="7"/>
      <c r="X194" s="7"/>
      <c r="Y194" s="6">
        <f>SUM(Y29:Y193)</f>
      </c>
      <c r="Z194" s="6">
        <f>SUM(Z29:Z193)</f>
      </c>
      <c r="AA194" s="6">
        <f>SUM(AA29:AA193)</f>
      </c>
      <c r="AB194" s="6">
        <f>SUM(AB29:AB193)</f>
      </c>
      <c r="AC194" s="6">
        <f>SUM(AC29:AC193)</f>
      </c>
      <c r="AD194" s="7">
        <f>IFERROR((AA194*2)/(AB194+AC194), 0)</f>
      </c>
      <c r="AE194" s="7">
        <f>IFERROR(Z194/SUM(G194:J194), 0)</f>
      </c>
      <c r="AF194" s="7">
        <f>IFERROR(Z194/SUM(G194:J194), 0)</f>
      </c>
      <c r="AG194" s="7">
        <f>IFERROR(V194/J194, 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4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50" customWidth="1"/>
    <col min="3" max="18" width="14" customWidth="1"/>
    <col min="19" max="19" width="5" customWidth="1"/>
    <col min="20" max="20" width="14" customWidth="1"/>
    <col min="21" max="22" width="16" customWidth="1"/>
    <col min="23" max="30" width="12" customWidth="1"/>
  </cols>
  <sheetData>
    <row r="1" ht="14.25" customHeight="1" spans="2:30" x14ac:dyDescent="0.25">
      <c r="B1">
        <v>1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T1">
        <v>43</v>
      </c>
      <c r="U1">
        <v>47</v>
      </c>
      <c r="W1">
        <v>48</v>
      </c>
      <c r="X1">
        <v>49</v>
      </c>
      <c r="Y1">
        <v>50</v>
      </c>
      <c r="Z1">
        <v>51</v>
      </c>
      <c r="AA1">
        <v>52</v>
      </c>
      <c r="AB1">
        <v>53</v>
      </c>
      <c r="AC1">
        <v>54</v>
      </c>
      <c r="AD1" t="s">
        <v>398</v>
      </c>
    </row>
    <row r="2" ht="24" customHeight="1" spans="1:29" x14ac:dyDescent="0.25">
      <c r="A2" s="1" t="s">
        <v>399</v>
      </c>
      <c r="B2" s="1" t="s">
        <v>400</v>
      </c>
      <c r="C2" s="1" t="s">
        <v>340</v>
      </c>
      <c r="D2" s="1" t="s">
        <v>341</v>
      </c>
      <c r="E2" s="1" t="s">
        <v>342</v>
      </c>
      <c r="F2" s="1" t="s">
        <v>343</v>
      </c>
      <c r="G2" s="1" t="s">
        <v>344</v>
      </c>
      <c r="H2" s="1" t="s">
        <v>345</v>
      </c>
      <c r="I2" s="1" t="s">
        <v>346</v>
      </c>
      <c r="J2" s="1" t="s">
        <v>347</v>
      </c>
      <c r="K2" s="1" t="s">
        <v>348</v>
      </c>
      <c r="L2" s="1" t="s">
        <v>349</v>
      </c>
      <c r="M2" s="1" t="s">
        <v>350</v>
      </c>
      <c r="N2" s="1" t="s">
        <v>351</v>
      </c>
      <c r="O2" s="1" t="s">
        <v>352</v>
      </c>
      <c r="P2" s="1" t="s">
        <v>353</v>
      </c>
      <c r="Q2" s="1" t="s">
        <v>354</v>
      </c>
      <c r="R2" s="1" t="s">
        <v>355</v>
      </c>
      <c r="S2" s="1"/>
      <c r="T2" s="1"/>
      <c r="U2" s="1">
        <v>2024</v>
      </c>
      <c r="V2" s="1">
        <v>2025</v>
      </c>
      <c r="W2" s="1" t="s">
        <v>356</v>
      </c>
      <c r="X2" s="1" t="s">
        <v>357</v>
      </c>
      <c r="Y2" s="1" t="s">
        <v>358</v>
      </c>
      <c r="Z2" s="1" t="s">
        <v>359</v>
      </c>
      <c r="AA2" s="1" t="s">
        <v>360</v>
      </c>
      <c r="AB2" s="1" t="s">
        <v>361</v>
      </c>
      <c r="AC2" s="1" t="s">
        <v>362</v>
      </c>
    </row>
    <row r="3" spans="1:29" x14ac:dyDescent="0.25">
      <c r="A3" s="2">
        <v>0</v>
      </c>
      <c r="B3" s="2" t="s">
        <v>25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1162</v>
      </c>
      <c r="N3" s="8">
        <v>-373</v>
      </c>
      <c r="O3" s="8">
        <v>39</v>
      </c>
      <c r="P3" s="8">
        <v>334</v>
      </c>
      <c r="Q3" s="8">
        <v>383</v>
      </c>
      <c r="R3" s="8">
        <v>4506</v>
      </c>
      <c r="S3" s="2"/>
      <c r="T3" s="2"/>
      <c r="U3" s="8">
        <v>789</v>
      </c>
      <c r="V3" s="8">
        <v>5262</v>
      </c>
      <c r="W3" s="8">
        <v>1741</v>
      </c>
      <c r="X3" s="8">
        <v>1008.5</v>
      </c>
      <c r="Y3" s="8">
        <v>672.3333333333334</v>
      </c>
      <c r="Z3" s="4">
        <v>2.071591472483887</v>
      </c>
      <c r="AA3" s="4">
        <v>0</v>
      </c>
      <c r="AB3" s="4">
        <v>0</v>
      </c>
      <c r="AC3" s="4">
        <v>0</v>
      </c>
    </row>
    <row r="4" spans="1:29" x14ac:dyDescent="0.25">
      <c r="A4" s="2">
        <v>1</v>
      </c>
      <c r="B4" s="2" t="s">
        <v>33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576</v>
      </c>
      <c r="I4" s="8">
        <v>450</v>
      </c>
      <c r="J4" s="8">
        <v>844</v>
      </c>
      <c r="K4" s="8">
        <v>1157</v>
      </c>
      <c r="L4" s="8">
        <v>565</v>
      </c>
      <c r="M4" s="8">
        <v>2021</v>
      </c>
      <c r="N4" s="8">
        <v>1189</v>
      </c>
      <c r="O4" s="8">
        <v>96</v>
      </c>
      <c r="P4" s="8">
        <v>274</v>
      </c>
      <c r="Q4" s="8">
        <v>1068</v>
      </c>
      <c r="R4" s="8">
        <v>235</v>
      </c>
      <c r="S4" s="2"/>
      <c r="T4" s="2"/>
      <c r="U4" s="8">
        <v>6802</v>
      </c>
      <c r="V4" s="8">
        <v>1673</v>
      </c>
      <c r="W4" s="8">
        <v>525.6666666666666</v>
      </c>
      <c r="X4" s="8">
        <v>813.8333333333334</v>
      </c>
      <c r="Y4" s="8">
        <v>827.6666666666666</v>
      </c>
      <c r="Z4" s="4">
        <v>0.6404711138186617</v>
      </c>
      <c r="AA4" s="4">
        <v>0</v>
      </c>
      <c r="AB4" s="4">
        <v>0</v>
      </c>
      <c r="AC4" s="4">
        <v>0</v>
      </c>
    </row>
    <row r="5" spans="1:29" x14ac:dyDescent="0.25">
      <c r="A5" s="2">
        <v>2</v>
      </c>
      <c r="B5" s="2" t="s">
        <v>85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132</v>
      </c>
      <c r="I5" s="8">
        <v>229</v>
      </c>
      <c r="J5" s="8">
        <v>326</v>
      </c>
      <c r="K5" s="8">
        <v>183</v>
      </c>
      <c r="L5" s="8">
        <v>13</v>
      </c>
      <c r="M5" s="8">
        <v>1390</v>
      </c>
      <c r="N5" s="8">
        <v>17</v>
      </c>
      <c r="O5" s="8">
        <v>17</v>
      </c>
      <c r="P5" s="8">
        <v>1080</v>
      </c>
      <c r="Q5" s="8">
        <v>174</v>
      </c>
      <c r="R5" s="8">
        <v>42</v>
      </c>
      <c r="S5" s="2"/>
      <c r="T5" s="2"/>
      <c r="U5" s="8">
        <v>2290</v>
      </c>
      <c r="V5" s="8">
        <v>1313</v>
      </c>
      <c r="W5" s="8">
        <v>432</v>
      </c>
      <c r="X5" s="8">
        <v>453.3333333333333</v>
      </c>
      <c r="Y5" s="8">
        <v>360.22222222222223</v>
      </c>
      <c r="Z5" s="4">
        <v>1.0620049166894292</v>
      </c>
      <c r="AA5" s="4">
        <v>0</v>
      </c>
      <c r="AB5" s="4">
        <v>0</v>
      </c>
      <c r="AC5" s="4">
        <v>0</v>
      </c>
    </row>
    <row r="6" spans="1:29" x14ac:dyDescent="0.25">
      <c r="A6" s="2">
        <v>3</v>
      </c>
      <c r="B6" s="2" t="s">
        <v>59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594</v>
      </c>
      <c r="I6" s="8">
        <v>517</v>
      </c>
      <c r="J6" s="8">
        <v>723</v>
      </c>
      <c r="K6" s="8">
        <v>947</v>
      </c>
      <c r="L6" s="8">
        <v>153</v>
      </c>
      <c r="M6" s="8">
        <v>1792</v>
      </c>
      <c r="N6" s="8">
        <v>884</v>
      </c>
      <c r="O6" s="8">
        <v>206</v>
      </c>
      <c r="P6" s="8">
        <v>97</v>
      </c>
      <c r="Q6" s="8">
        <v>851</v>
      </c>
      <c r="R6" s="8">
        <v>123</v>
      </c>
      <c r="S6" s="2"/>
      <c r="T6" s="2"/>
      <c r="U6" s="8">
        <v>5610</v>
      </c>
      <c r="V6" s="8">
        <v>1277</v>
      </c>
      <c r="W6" s="8">
        <v>357</v>
      </c>
      <c r="X6" s="8">
        <v>658.8333333333334</v>
      </c>
      <c r="Y6" s="8">
        <v>641.7777777777778</v>
      </c>
      <c r="Z6" s="4">
        <v>0.54897270513861</v>
      </c>
      <c r="AA6" s="4">
        <v>0</v>
      </c>
      <c r="AB6" s="4">
        <v>0</v>
      </c>
      <c r="AC6" s="4">
        <v>0</v>
      </c>
    </row>
    <row r="7" spans="1:29" x14ac:dyDescent="0.25">
      <c r="A7" s="2">
        <v>4</v>
      </c>
      <c r="B7" s="2" t="s">
        <v>31</v>
      </c>
      <c r="C7" s="8">
        <v>0</v>
      </c>
      <c r="D7" s="8">
        <v>0</v>
      </c>
      <c r="E7" s="8">
        <v>179</v>
      </c>
      <c r="F7" s="8">
        <v>49</v>
      </c>
      <c r="G7" s="8">
        <v>46</v>
      </c>
      <c r="H7" s="8">
        <v>697</v>
      </c>
      <c r="I7" s="8">
        <v>537</v>
      </c>
      <c r="J7" s="8">
        <v>748</v>
      </c>
      <c r="K7" s="8">
        <v>881</v>
      </c>
      <c r="L7" s="8">
        <v>404</v>
      </c>
      <c r="M7" s="8">
        <v>2074</v>
      </c>
      <c r="N7" s="8">
        <v>1087</v>
      </c>
      <c r="O7" s="8">
        <v>350</v>
      </c>
      <c r="P7" s="8">
        <v>129</v>
      </c>
      <c r="Q7" s="8">
        <v>650</v>
      </c>
      <c r="R7" s="8">
        <v>44</v>
      </c>
      <c r="S7" s="2"/>
      <c r="T7" s="2"/>
      <c r="U7" s="8">
        <v>6702</v>
      </c>
      <c r="V7" s="8">
        <v>1173</v>
      </c>
      <c r="W7" s="8">
        <v>274.3333333333333</v>
      </c>
      <c r="X7" s="8">
        <v>722.3333333333334</v>
      </c>
      <c r="Y7" s="8">
        <v>707.4444444444445</v>
      </c>
      <c r="Z7" s="4">
        <v>0.38374261734535275</v>
      </c>
      <c r="AA7" s="4">
        <v>5.144736842105263</v>
      </c>
      <c r="AB7" s="4">
        <v>5.144736842105263</v>
      </c>
      <c r="AC7" s="4">
        <v>0.8979591836734694</v>
      </c>
    </row>
    <row r="8" spans="1:29" x14ac:dyDescent="0.25">
      <c r="A8" s="2">
        <v>5</v>
      </c>
      <c r="B8" s="2" t="s">
        <v>89</v>
      </c>
      <c r="C8" s="8">
        <v>54</v>
      </c>
      <c r="D8" s="8">
        <v>46</v>
      </c>
      <c r="E8" s="8">
        <v>75</v>
      </c>
      <c r="F8" s="8">
        <v>205</v>
      </c>
      <c r="G8" s="8">
        <v>87</v>
      </c>
      <c r="H8" s="8">
        <v>3044</v>
      </c>
      <c r="I8" s="8">
        <v>1435</v>
      </c>
      <c r="J8" s="8">
        <v>883</v>
      </c>
      <c r="K8" s="8">
        <v>219</v>
      </c>
      <c r="L8" s="8">
        <v>138</v>
      </c>
      <c r="M8" s="8">
        <v>139</v>
      </c>
      <c r="N8" s="8">
        <v>-747</v>
      </c>
      <c r="O8" s="8">
        <v>107</v>
      </c>
      <c r="P8" s="8">
        <v>351</v>
      </c>
      <c r="Q8" s="8">
        <v>404</v>
      </c>
      <c r="R8" s="8">
        <v>32</v>
      </c>
      <c r="S8" s="2"/>
      <c r="T8" s="2"/>
      <c r="U8" s="8">
        <v>5578</v>
      </c>
      <c r="V8" s="8">
        <v>894</v>
      </c>
      <c r="W8" s="8">
        <v>262.3333333333333</v>
      </c>
      <c r="X8" s="8">
        <v>47.666666666666664</v>
      </c>
      <c r="Y8" s="8">
        <v>169.55555555555554</v>
      </c>
      <c r="Z8" s="4">
        <v>2.4153452685421994</v>
      </c>
      <c r="AA8" s="4">
        <v>2.3526315789473684</v>
      </c>
      <c r="AB8" s="4">
        <v>2.3526315789473684</v>
      </c>
      <c r="AC8" s="4">
        <v>0.15609756097560976</v>
      </c>
    </row>
    <row r="9" spans="1:29" x14ac:dyDescent="0.25">
      <c r="A9" s="2">
        <v>6</v>
      </c>
      <c r="B9" s="2" t="s">
        <v>57</v>
      </c>
      <c r="C9" s="8">
        <v>0</v>
      </c>
      <c r="D9" s="8">
        <v>0</v>
      </c>
      <c r="E9" s="8">
        <v>155</v>
      </c>
      <c r="F9" s="8">
        <v>44</v>
      </c>
      <c r="G9" s="8">
        <v>46</v>
      </c>
      <c r="H9" s="8">
        <v>120</v>
      </c>
      <c r="I9" s="8">
        <v>107</v>
      </c>
      <c r="J9" s="8">
        <v>546</v>
      </c>
      <c r="K9" s="8">
        <v>332</v>
      </c>
      <c r="L9" s="8">
        <v>259</v>
      </c>
      <c r="M9" s="8">
        <v>1170</v>
      </c>
      <c r="N9" s="8">
        <v>747</v>
      </c>
      <c r="O9" s="8">
        <v>194</v>
      </c>
      <c r="P9" s="8">
        <v>57</v>
      </c>
      <c r="Q9" s="8">
        <v>546</v>
      </c>
      <c r="R9" s="8">
        <v>44</v>
      </c>
      <c r="S9" s="2"/>
      <c r="T9" s="2"/>
      <c r="U9" s="8">
        <v>3526</v>
      </c>
      <c r="V9" s="8">
        <v>841</v>
      </c>
      <c r="W9" s="8">
        <v>215.66666666666666</v>
      </c>
      <c r="X9" s="8">
        <v>459.6666666666667</v>
      </c>
      <c r="Y9" s="8">
        <v>432.77777777777777</v>
      </c>
      <c r="Z9" s="4">
        <v>0.48331673306772904</v>
      </c>
      <c r="AA9" s="4">
        <v>4.226130653266332</v>
      </c>
      <c r="AB9" s="4">
        <v>4.226130653266332</v>
      </c>
      <c r="AC9" s="4">
        <v>1</v>
      </c>
    </row>
    <row r="10" spans="1:29" x14ac:dyDescent="0.25">
      <c r="A10" s="2">
        <v>7</v>
      </c>
      <c r="B10" s="2" t="s">
        <v>19</v>
      </c>
      <c r="C10" s="8">
        <v>258</v>
      </c>
      <c r="D10" s="8">
        <v>101</v>
      </c>
      <c r="E10" s="8">
        <v>411</v>
      </c>
      <c r="F10" s="8">
        <v>252</v>
      </c>
      <c r="G10" s="8">
        <v>115</v>
      </c>
      <c r="H10" s="8">
        <v>2489</v>
      </c>
      <c r="I10" s="8">
        <v>660</v>
      </c>
      <c r="J10" s="8">
        <v>680</v>
      </c>
      <c r="K10" s="8">
        <v>212</v>
      </c>
      <c r="L10" s="8">
        <v>453</v>
      </c>
      <c r="M10" s="8">
        <v>214</v>
      </c>
      <c r="N10" s="8">
        <v>-195</v>
      </c>
      <c r="O10" s="8">
        <v>283</v>
      </c>
      <c r="P10" s="8">
        <v>191</v>
      </c>
      <c r="Q10" s="8">
        <v>109</v>
      </c>
      <c r="R10" s="8">
        <v>62</v>
      </c>
      <c r="S10" s="2"/>
      <c r="T10" s="2"/>
      <c r="U10" s="8">
        <v>5650</v>
      </c>
      <c r="V10" s="8">
        <v>645</v>
      </c>
      <c r="W10" s="8">
        <v>120.66666666666667</v>
      </c>
      <c r="X10" s="8">
        <v>110.66666666666667</v>
      </c>
      <c r="Y10" s="8">
        <v>223.22222222222223</v>
      </c>
      <c r="Z10" s="4">
        <v>0.7227953410981697</v>
      </c>
      <c r="AA10" s="4">
        <v>0.6311154598825832</v>
      </c>
      <c r="AB10" s="4">
        <v>0.6311154598825832</v>
      </c>
      <c r="AC10" s="4">
        <v>0.24603174603174602</v>
      </c>
    </row>
    <row r="11" spans="1:29" x14ac:dyDescent="0.25">
      <c r="A11" s="2">
        <v>8</v>
      </c>
      <c r="B11" s="2" t="s">
        <v>27</v>
      </c>
      <c r="C11" s="8">
        <v>0</v>
      </c>
      <c r="D11" s="8">
        <v>0</v>
      </c>
      <c r="E11" s="8">
        <v>205</v>
      </c>
      <c r="F11" s="8">
        <v>54</v>
      </c>
      <c r="G11" s="8">
        <v>16</v>
      </c>
      <c r="H11" s="8">
        <v>14</v>
      </c>
      <c r="I11" s="8">
        <v>363</v>
      </c>
      <c r="J11" s="8">
        <v>473</v>
      </c>
      <c r="K11" s="8">
        <v>204</v>
      </c>
      <c r="L11" s="8">
        <v>923</v>
      </c>
      <c r="M11" s="8">
        <v>460</v>
      </c>
      <c r="N11" s="8">
        <v>604</v>
      </c>
      <c r="O11" s="8">
        <v>104</v>
      </c>
      <c r="P11" s="8">
        <v>180</v>
      </c>
      <c r="Q11" s="8">
        <v>276</v>
      </c>
      <c r="R11" s="8">
        <v>6</v>
      </c>
      <c r="S11" s="2"/>
      <c r="T11" s="2"/>
      <c r="U11" s="8">
        <v>3316</v>
      </c>
      <c r="V11" s="8">
        <v>566</v>
      </c>
      <c r="W11" s="8">
        <v>154</v>
      </c>
      <c r="X11" s="8">
        <v>271.6666666666667</v>
      </c>
      <c r="Y11" s="8">
        <v>358.8888888888889</v>
      </c>
      <c r="Z11" s="4">
        <v>0.4884581497797356</v>
      </c>
      <c r="AA11" s="4">
        <v>2.1853281853281854</v>
      </c>
      <c r="AB11" s="4">
        <v>2.1853281853281854</v>
      </c>
      <c r="AC11" s="4">
        <v>0.1111111111111111</v>
      </c>
    </row>
    <row r="12" spans="1:29" x14ac:dyDescent="0.25">
      <c r="A12" s="2">
        <v>9</v>
      </c>
      <c r="B12" s="2" t="s">
        <v>51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215</v>
      </c>
      <c r="M12" s="8">
        <v>45</v>
      </c>
      <c r="N12" s="8">
        <v>662</v>
      </c>
      <c r="O12" s="8">
        <v>23</v>
      </c>
      <c r="P12" s="8">
        <v>138</v>
      </c>
      <c r="Q12" s="8">
        <v>300</v>
      </c>
      <c r="R12" s="8">
        <v>20</v>
      </c>
      <c r="S12" s="2"/>
      <c r="T12" s="2"/>
      <c r="U12" s="8">
        <v>922</v>
      </c>
      <c r="V12" s="8">
        <v>481</v>
      </c>
      <c r="W12" s="8">
        <v>152.66666666666666</v>
      </c>
      <c r="X12" s="8">
        <v>198</v>
      </c>
      <c r="Y12" s="8">
        <v>155.88888888888889</v>
      </c>
      <c r="Z12" s="4">
        <v>0.8627943485086341</v>
      </c>
      <c r="AA12" s="4">
        <v>0</v>
      </c>
      <c r="AB12" s="4">
        <v>0</v>
      </c>
      <c r="AC12" s="4">
        <v>0</v>
      </c>
    </row>
    <row r="13" spans="1:29" x14ac:dyDescent="0.25">
      <c r="A13" s="2">
        <v>10</v>
      </c>
      <c r="B13" s="2" t="s">
        <v>63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134</v>
      </c>
      <c r="J13" s="8">
        <v>66</v>
      </c>
      <c r="K13" s="8">
        <v>14</v>
      </c>
      <c r="L13" s="8">
        <v>130</v>
      </c>
      <c r="M13" s="8">
        <v>24</v>
      </c>
      <c r="N13" s="8">
        <v>44</v>
      </c>
      <c r="O13" s="8">
        <v>2</v>
      </c>
      <c r="P13" s="8">
        <v>16</v>
      </c>
      <c r="Q13" s="8">
        <v>41</v>
      </c>
      <c r="R13" s="8">
        <v>227</v>
      </c>
      <c r="S13" s="2"/>
      <c r="T13" s="2"/>
      <c r="U13" s="8">
        <v>412</v>
      </c>
      <c r="V13" s="8">
        <v>286</v>
      </c>
      <c r="W13" s="8">
        <v>94.66666666666667</v>
      </c>
      <c r="X13" s="8">
        <v>59</v>
      </c>
      <c r="Y13" s="8">
        <v>62.666666666666664</v>
      </c>
      <c r="Z13" s="4">
        <v>1.556164383561644</v>
      </c>
      <c r="AA13" s="4">
        <v>0</v>
      </c>
      <c r="AB13" s="4">
        <v>0</v>
      </c>
      <c r="AC13" s="4">
        <v>0</v>
      </c>
    </row>
    <row r="14" spans="1:29" x14ac:dyDescent="0.25">
      <c r="A14" s="2">
        <v>11</v>
      </c>
      <c r="B14" s="2" t="s">
        <v>29</v>
      </c>
      <c r="C14" s="8">
        <v>189</v>
      </c>
      <c r="D14" s="8">
        <v>267</v>
      </c>
      <c r="E14" s="8">
        <v>92</v>
      </c>
      <c r="F14" s="8">
        <v>21</v>
      </c>
      <c r="G14" s="8">
        <v>2</v>
      </c>
      <c r="H14" s="8">
        <v>172</v>
      </c>
      <c r="I14" s="8">
        <v>289</v>
      </c>
      <c r="J14" s="8">
        <v>370</v>
      </c>
      <c r="K14" s="8">
        <v>99</v>
      </c>
      <c r="L14" s="8">
        <v>168</v>
      </c>
      <c r="M14" s="8">
        <v>56</v>
      </c>
      <c r="N14" s="8">
        <v>103</v>
      </c>
      <c r="O14" s="8">
        <v>40</v>
      </c>
      <c r="P14" s="8">
        <v>191</v>
      </c>
      <c r="Q14" s="8">
        <v>35</v>
      </c>
      <c r="R14" s="8">
        <v>10</v>
      </c>
      <c r="S14" s="2"/>
      <c r="T14" s="2"/>
      <c r="U14" s="8">
        <v>1828</v>
      </c>
      <c r="V14" s="8">
        <v>276</v>
      </c>
      <c r="W14" s="8">
        <v>78.66666666666667</v>
      </c>
      <c r="X14" s="8">
        <v>72.5</v>
      </c>
      <c r="Y14" s="8">
        <v>119.11111111111111</v>
      </c>
      <c r="Z14" s="4">
        <v>0.8211075674108438</v>
      </c>
      <c r="AA14" s="4">
        <v>0.4850615114235501</v>
      </c>
      <c r="AB14" s="4">
        <v>0.4850615114235501</v>
      </c>
      <c r="AC14" s="4">
        <v>0.47619047619047616</v>
      </c>
    </row>
    <row r="15" spans="1:29" x14ac:dyDescent="0.25">
      <c r="A15" s="2">
        <v>12</v>
      </c>
      <c r="B15" s="2" t="s">
        <v>9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120</v>
      </c>
      <c r="R15" s="8">
        <v>0</v>
      </c>
      <c r="S15" s="2"/>
      <c r="T15" s="2"/>
      <c r="U15" s="8">
        <v>0</v>
      </c>
      <c r="V15" s="8">
        <v>120</v>
      </c>
      <c r="W15" s="8">
        <v>40</v>
      </c>
      <c r="X15" s="8">
        <v>20</v>
      </c>
      <c r="Y15" s="8">
        <v>13.333333333333334</v>
      </c>
      <c r="Z15" s="4">
        <v>2.4</v>
      </c>
      <c r="AA15" s="4">
        <v>0</v>
      </c>
      <c r="AB15" s="4">
        <v>0</v>
      </c>
      <c r="AC15" s="4">
        <v>0</v>
      </c>
    </row>
    <row r="16" spans="1:29" x14ac:dyDescent="0.25">
      <c r="A16" s="2">
        <v>13</v>
      </c>
      <c r="B16" s="2" t="s">
        <v>35</v>
      </c>
      <c r="C16" s="8">
        <v>40</v>
      </c>
      <c r="D16" s="8">
        <v>20</v>
      </c>
      <c r="E16" s="8">
        <v>0</v>
      </c>
      <c r="F16" s="8">
        <v>59</v>
      </c>
      <c r="G16" s="8">
        <v>14</v>
      </c>
      <c r="H16" s="8">
        <v>182</v>
      </c>
      <c r="I16" s="8">
        <v>26</v>
      </c>
      <c r="J16" s="8">
        <v>29</v>
      </c>
      <c r="K16" s="8">
        <v>23</v>
      </c>
      <c r="L16" s="8">
        <v>4</v>
      </c>
      <c r="M16" s="8">
        <v>-2</v>
      </c>
      <c r="N16" s="8">
        <v>2</v>
      </c>
      <c r="O16" s="8">
        <v>20</v>
      </c>
      <c r="P16" s="8">
        <v>39</v>
      </c>
      <c r="Q16" s="8">
        <v>6</v>
      </c>
      <c r="R16" s="8">
        <v>38</v>
      </c>
      <c r="S16" s="2"/>
      <c r="T16" s="2"/>
      <c r="U16" s="8">
        <v>397</v>
      </c>
      <c r="V16" s="8">
        <v>103</v>
      </c>
      <c r="W16" s="8">
        <v>27.666666666666668</v>
      </c>
      <c r="X16" s="8">
        <v>17.166666666666668</v>
      </c>
      <c r="Y16" s="8">
        <v>17.666666666666668</v>
      </c>
      <c r="Z16" s="4">
        <v>1.588516746411483</v>
      </c>
      <c r="AA16" s="4">
        <v>0.865546218487395</v>
      </c>
      <c r="AB16" s="4">
        <v>0.865546218487395</v>
      </c>
      <c r="AC16" s="4">
        <v>0.6440677966101694</v>
      </c>
    </row>
    <row r="17" spans="1:29" x14ac:dyDescent="0.25">
      <c r="A17" s="2">
        <v>14</v>
      </c>
      <c r="B17" s="2" t="s">
        <v>91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1</v>
      </c>
      <c r="P17" s="8">
        <v>3</v>
      </c>
      <c r="Q17" s="8">
        <v>12</v>
      </c>
      <c r="R17" s="8">
        <v>70</v>
      </c>
      <c r="S17" s="2"/>
      <c r="T17" s="2"/>
      <c r="U17" s="8">
        <v>0</v>
      </c>
      <c r="V17" s="8">
        <v>86</v>
      </c>
      <c r="W17" s="8">
        <v>28.333333333333332</v>
      </c>
      <c r="X17" s="8">
        <v>14.333333333333334</v>
      </c>
      <c r="Y17" s="8">
        <v>9.555555555555555</v>
      </c>
      <c r="Z17" s="4">
        <v>2.3720930232558137</v>
      </c>
      <c r="AA17" s="4">
        <v>0</v>
      </c>
      <c r="AB17" s="4">
        <v>0</v>
      </c>
      <c r="AC17" s="4">
        <v>0</v>
      </c>
    </row>
    <row r="18" spans="1:29" x14ac:dyDescent="0.25">
      <c r="A18" s="2">
        <v>15</v>
      </c>
      <c r="B18" s="2" t="s">
        <v>3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20</v>
      </c>
      <c r="Q18" s="8">
        <v>60</v>
      </c>
      <c r="R18" s="8">
        <v>0</v>
      </c>
      <c r="S18" s="2"/>
      <c r="T18" s="2"/>
      <c r="U18" s="8">
        <v>0</v>
      </c>
      <c r="V18" s="8">
        <v>80</v>
      </c>
      <c r="W18" s="8">
        <v>26.666666666666668</v>
      </c>
      <c r="X18" s="8">
        <v>13.333333333333334</v>
      </c>
      <c r="Y18" s="8">
        <v>8.88888888888889</v>
      </c>
      <c r="Z18" s="4">
        <v>2.4000000000000004</v>
      </c>
      <c r="AA18" s="4">
        <v>0</v>
      </c>
      <c r="AB18" s="4">
        <v>0</v>
      </c>
      <c r="AC18" s="4">
        <v>0</v>
      </c>
    </row>
    <row r="19" spans="1:29" x14ac:dyDescent="0.25">
      <c r="A19" s="2">
        <v>16</v>
      </c>
      <c r="B19" s="2" t="s">
        <v>23</v>
      </c>
      <c r="C19" s="8">
        <v>0</v>
      </c>
      <c r="D19" s="8">
        <v>0</v>
      </c>
      <c r="E19" s="8">
        <v>53</v>
      </c>
      <c r="F19" s="8">
        <v>16</v>
      </c>
      <c r="G19" s="8">
        <v>3</v>
      </c>
      <c r="H19" s="8">
        <v>250</v>
      </c>
      <c r="I19" s="8">
        <v>222</v>
      </c>
      <c r="J19" s="8">
        <v>429</v>
      </c>
      <c r="K19" s="8">
        <v>76</v>
      </c>
      <c r="L19" s="8">
        <v>119</v>
      </c>
      <c r="M19" s="8">
        <v>7</v>
      </c>
      <c r="N19" s="8">
        <v>42</v>
      </c>
      <c r="O19" s="8">
        <v>9</v>
      </c>
      <c r="P19" s="8">
        <v>16</v>
      </c>
      <c r="Q19" s="8">
        <v>42</v>
      </c>
      <c r="R19" s="8">
        <v>11</v>
      </c>
      <c r="S19" s="2"/>
      <c r="T19" s="2"/>
      <c r="U19" s="8">
        <v>1217</v>
      </c>
      <c r="V19" s="8">
        <v>78</v>
      </c>
      <c r="W19" s="8">
        <v>23</v>
      </c>
      <c r="X19" s="8">
        <v>21.166666666666668</v>
      </c>
      <c r="Y19" s="8">
        <v>83.44444444444444</v>
      </c>
      <c r="Z19" s="4">
        <v>0.4397238449283059</v>
      </c>
      <c r="AA19" s="4">
        <v>1.1304347826086956</v>
      </c>
      <c r="AB19" s="4">
        <v>1.1304347826086956</v>
      </c>
      <c r="AC19" s="4">
        <v>0.6875</v>
      </c>
    </row>
    <row r="20" spans="1:29" x14ac:dyDescent="0.25">
      <c r="A20" s="2">
        <v>17</v>
      </c>
      <c r="B20" s="2" t="s">
        <v>7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60</v>
      </c>
      <c r="R20" s="8">
        <v>0</v>
      </c>
      <c r="S20" s="2"/>
      <c r="T20" s="2"/>
      <c r="U20" s="8">
        <v>0</v>
      </c>
      <c r="V20" s="8">
        <v>60</v>
      </c>
      <c r="W20" s="8">
        <v>20</v>
      </c>
      <c r="X20" s="8">
        <v>10</v>
      </c>
      <c r="Y20" s="8">
        <v>6.666666666666667</v>
      </c>
      <c r="Z20" s="4">
        <v>2.4</v>
      </c>
      <c r="AA20" s="4">
        <v>0</v>
      </c>
      <c r="AB20" s="4">
        <v>0</v>
      </c>
      <c r="AC20" s="4">
        <v>0</v>
      </c>
    </row>
    <row r="21" spans="1:29" x14ac:dyDescent="0.25">
      <c r="A21" s="2">
        <v>18</v>
      </c>
      <c r="B21" s="2" t="s">
        <v>49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296</v>
      </c>
      <c r="I21" s="8">
        <v>141</v>
      </c>
      <c r="J21" s="8">
        <v>121</v>
      </c>
      <c r="K21" s="8">
        <v>17</v>
      </c>
      <c r="L21" s="8">
        <v>13</v>
      </c>
      <c r="M21" s="8">
        <v>-16</v>
      </c>
      <c r="N21" s="8">
        <v>23</v>
      </c>
      <c r="O21" s="8">
        <v>11</v>
      </c>
      <c r="P21" s="8">
        <v>4</v>
      </c>
      <c r="Q21" s="8">
        <v>13</v>
      </c>
      <c r="R21" s="8">
        <v>24</v>
      </c>
      <c r="S21" s="2"/>
      <c r="T21" s="2"/>
      <c r="U21" s="8">
        <v>595</v>
      </c>
      <c r="V21" s="8">
        <v>52</v>
      </c>
      <c r="W21" s="8">
        <v>13.666666666666666</v>
      </c>
      <c r="X21" s="8">
        <v>9.833333333333334</v>
      </c>
      <c r="Y21" s="8">
        <v>23.333333333333332</v>
      </c>
      <c r="Z21" s="4">
        <v>0.8241206030150754</v>
      </c>
      <c r="AA21" s="4">
        <v>0</v>
      </c>
      <c r="AB21" s="4">
        <v>0</v>
      </c>
      <c r="AC21" s="4">
        <v>0</v>
      </c>
    </row>
    <row r="22" spans="1:29" x14ac:dyDescent="0.25">
      <c r="A22" s="2">
        <v>19</v>
      </c>
      <c r="B22" s="2" t="s">
        <v>61</v>
      </c>
      <c r="C22" s="8">
        <v>3</v>
      </c>
      <c r="D22" s="8">
        <v>3</v>
      </c>
      <c r="E22" s="8">
        <v>20</v>
      </c>
      <c r="F22" s="8">
        <v>31</v>
      </c>
      <c r="G22" s="8">
        <v>21</v>
      </c>
      <c r="H22" s="8">
        <v>59</v>
      </c>
      <c r="I22" s="8">
        <v>40</v>
      </c>
      <c r="J22" s="8">
        <v>60</v>
      </c>
      <c r="K22" s="8">
        <v>12</v>
      </c>
      <c r="L22" s="8">
        <v>20</v>
      </c>
      <c r="M22" s="8">
        <v>14</v>
      </c>
      <c r="N22" s="8">
        <v>20</v>
      </c>
      <c r="O22" s="8">
        <v>8</v>
      </c>
      <c r="P22" s="8">
        <v>7</v>
      </c>
      <c r="Q22" s="8">
        <v>18</v>
      </c>
      <c r="R22" s="8">
        <v>16</v>
      </c>
      <c r="S22" s="2"/>
      <c r="T22" s="2"/>
      <c r="U22" s="8">
        <v>303</v>
      </c>
      <c r="V22" s="8">
        <v>49</v>
      </c>
      <c r="W22" s="8">
        <v>13.666666666666666</v>
      </c>
      <c r="X22" s="8">
        <v>13.833333333333334</v>
      </c>
      <c r="Y22" s="8">
        <v>19.444444444444443</v>
      </c>
      <c r="Z22" s="4">
        <v>0.8213689482470784</v>
      </c>
      <c r="AA22" s="4">
        <v>0.8596491228070176</v>
      </c>
      <c r="AB22" s="4">
        <v>0.8596491228070176</v>
      </c>
      <c r="AC22" s="4">
        <v>0.5161290322580645</v>
      </c>
    </row>
    <row r="23" spans="1:29" x14ac:dyDescent="0.25">
      <c r="A23" s="2">
        <v>20</v>
      </c>
      <c r="B23" s="2" t="s">
        <v>83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34</v>
      </c>
      <c r="I23" s="8">
        <v>344</v>
      </c>
      <c r="J23" s="8">
        <v>531</v>
      </c>
      <c r="K23" s="8">
        <v>430</v>
      </c>
      <c r="L23" s="8">
        <v>283</v>
      </c>
      <c r="M23" s="8">
        <v>90</v>
      </c>
      <c r="N23" s="8">
        <v>27</v>
      </c>
      <c r="O23" s="8">
        <v>0</v>
      </c>
      <c r="P23" s="8">
        <v>4</v>
      </c>
      <c r="Q23" s="8">
        <v>9</v>
      </c>
      <c r="R23" s="8">
        <v>18</v>
      </c>
      <c r="S23" s="2"/>
      <c r="T23" s="2"/>
      <c r="U23" s="8">
        <v>1739</v>
      </c>
      <c r="V23" s="8">
        <v>31</v>
      </c>
      <c r="W23" s="8">
        <v>10.333333333333334</v>
      </c>
      <c r="X23" s="8">
        <v>24.666666666666668</v>
      </c>
      <c r="Y23" s="8">
        <v>154.66666666666666</v>
      </c>
      <c r="Z23" s="4">
        <v>0.11524163568773237</v>
      </c>
      <c r="AA23" s="4">
        <v>0</v>
      </c>
      <c r="AB23" s="4">
        <v>0</v>
      </c>
      <c r="AC23" s="4">
        <v>0</v>
      </c>
    </row>
    <row r="24" spans="1:29" x14ac:dyDescent="0.25">
      <c r="A24" s="2">
        <v>21</v>
      </c>
      <c r="B24" s="2" t="s">
        <v>21</v>
      </c>
      <c r="C24" s="8">
        <v>1</v>
      </c>
      <c r="D24" s="8">
        <v>0</v>
      </c>
      <c r="E24" s="8">
        <v>1</v>
      </c>
      <c r="F24" s="8">
        <v>19</v>
      </c>
      <c r="G24" s="8">
        <v>12</v>
      </c>
      <c r="H24" s="8">
        <v>9</v>
      </c>
      <c r="I24" s="8">
        <v>3</v>
      </c>
      <c r="J24" s="8">
        <v>12</v>
      </c>
      <c r="K24" s="8">
        <v>1</v>
      </c>
      <c r="L24" s="8">
        <v>2</v>
      </c>
      <c r="M24" s="8">
        <v>0</v>
      </c>
      <c r="N24" s="8">
        <v>0</v>
      </c>
      <c r="O24" s="8">
        <v>1</v>
      </c>
      <c r="P24" s="8">
        <v>26</v>
      </c>
      <c r="Q24" s="8">
        <v>0</v>
      </c>
      <c r="R24" s="8">
        <v>0</v>
      </c>
      <c r="S24" s="2"/>
      <c r="T24" s="2"/>
      <c r="U24" s="8">
        <v>60</v>
      </c>
      <c r="V24" s="8">
        <v>27</v>
      </c>
      <c r="W24" s="8">
        <v>8.666666666666666</v>
      </c>
      <c r="X24" s="8">
        <v>4.5</v>
      </c>
      <c r="Y24" s="8">
        <v>4.666666666666667</v>
      </c>
      <c r="Z24" s="4">
        <v>1.8909090909090904</v>
      </c>
      <c r="AA24" s="4">
        <v>1.2857142857142858</v>
      </c>
      <c r="AB24" s="4">
        <v>1.2857142857142858</v>
      </c>
      <c r="AC24" s="4">
        <v>0</v>
      </c>
    </row>
    <row r="25" spans="1:29" x14ac:dyDescent="0.25">
      <c r="A25" s="2">
        <v>22</v>
      </c>
      <c r="B25" s="2" t="s">
        <v>5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20</v>
      </c>
      <c r="Q25" s="8">
        <v>0</v>
      </c>
      <c r="R25" s="8">
        <v>0</v>
      </c>
      <c r="S25" s="2"/>
      <c r="T25" s="2"/>
      <c r="U25" s="8">
        <v>0</v>
      </c>
      <c r="V25" s="8">
        <v>20</v>
      </c>
      <c r="W25" s="8">
        <v>6.666666666666667</v>
      </c>
      <c r="X25" s="8">
        <v>3.3333333333333335</v>
      </c>
      <c r="Y25" s="8">
        <v>2.2222222222222223</v>
      </c>
      <c r="Z25" s="4">
        <v>2.4000000000000004</v>
      </c>
      <c r="AA25" s="4">
        <v>0</v>
      </c>
      <c r="AB25" s="4">
        <v>0</v>
      </c>
      <c r="AC25" s="4">
        <v>0</v>
      </c>
    </row>
    <row r="26" spans="1:29" x14ac:dyDescent="0.25">
      <c r="A26" s="2">
        <v>23</v>
      </c>
      <c r="B26" s="2" t="s">
        <v>13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10</v>
      </c>
      <c r="Q26" s="8">
        <v>0</v>
      </c>
      <c r="R26" s="8">
        <v>0</v>
      </c>
      <c r="S26" s="2"/>
      <c r="T26" s="2"/>
      <c r="U26" s="8">
        <v>0</v>
      </c>
      <c r="V26" s="8">
        <v>10</v>
      </c>
      <c r="W26" s="8">
        <v>3.3333333333333335</v>
      </c>
      <c r="X26" s="8">
        <v>1.6666666666666667</v>
      </c>
      <c r="Y26" s="8">
        <v>1.1111111111111112</v>
      </c>
      <c r="Z26" s="4">
        <v>2.4000000000000004</v>
      </c>
      <c r="AA26" s="4">
        <v>0</v>
      </c>
      <c r="AB26" s="4">
        <v>0</v>
      </c>
      <c r="AC26" s="4">
        <v>0</v>
      </c>
    </row>
    <row r="27" spans="1:29" x14ac:dyDescent="0.25">
      <c r="A27" s="2">
        <v>24</v>
      </c>
      <c r="B27" s="2" t="s">
        <v>15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10</v>
      </c>
      <c r="Q27" s="8">
        <v>0</v>
      </c>
      <c r="R27" s="8">
        <v>0</v>
      </c>
      <c r="S27" s="2"/>
      <c r="T27" s="2"/>
      <c r="U27" s="8">
        <v>0</v>
      </c>
      <c r="V27" s="8">
        <v>10</v>
      </c>
      <c r="W27" s="8">
        <v>3.3333333333333335</v>
      </c>
      <c r="X27" s="8">
        <v>1.6666666666666667</v>
      </c>
      <c r="Y27" s="8">
        <v>1.1111111111111112</v>
      </c>
      <c r="Z27" s="4">
        <v>2.4000000000000004</v>
      </c>
      <c r="AA27" s="4">
        <v>0</v>
      </c>
      <c r="AB27" s="4">
        <v>0</v>
      </c>
      <c r="AC27" s="4">
        <v>0</v>
      </c>
    </row>
    <row r="28" spans="1:29" x14ac:dyDescent="0.25">
      <c r="A28" s="2">
        <v>25</v>
      </c>
      <c r="B28" s="2" t="s">
        <v>47</v>
      </c>
      <c r="C28" s="8">
        <v>0</v>
      </c>
      <c r="D28" s="8">
        <v>0</v>
      </c>
      <c r="E28" s="8">
        <v>0</v>
      </c>
      <c r="F28" s="8">
        <v>0</v>
      </c>
      <c r="G28" s="8">
        <v>51</v>
      </c>
      <c r="H28" s="8">
        <v>2</v>
      </c>
      <c r="I28" s="8">
        <v>408</v>
      </c>
      <c r="J28" s="8">
        <v>582</v>
      </c>
      <c r="K28" s="8">
        <v>207</v>
      </c>
      <c r="L28" s="8">
        <v>-13</v>
      </c>
      <c r="M28" s="8">
        <v>115</v>
      </c>
      <c r="N28" s="8">
        <v>70</v>
      </c>
      <c r="O28" s="8">
        <v>0</v>
      </c>
      <c r="P28" s="8">
        <v>9</v>
      </c>
      <c r="Q28" s="8">
        <v>0</v>
      </c>
      <c r="R28" s="8">
        <v>0</v>
      </c>
      <c r="S28" s="2"/>
      <c r="T28" s="2"/>
      <c r="U28" s="8">
        <v>1422</v>
      </c>
      <c r="V28" s="8">
        <v>9</v>
      </c>
      <c r="W28" s="8">
        <v>3</v>
      </c>
      <c r="X28" s="8">
        <v>32.333333333333336</v>
      </c>
      <c r="Y28" s="8">
        <v>107.77777777777777</v>
      </c>
      <c r="Z28" s="4">
        <v>0.04282315622521808</v>
      </c>
      <c r="AA28" s="4">
        <v>0</v>
      </c>
      <c r="AB28" s="4">
        <v>0</v>
      </c>
      <c r="AC28" s="4">
        <v>0</v>
      </c>
    </row>
    <row r="29" spans="1:29" x14ac:dyDescent="0.25">
      <c r="A29" s="2">
        <v>26</v>
      </c>
      <c r="B29" s="2" t="s">
        <v>73</v>
      </c>
      <c r="C29" s="8">
        <v>0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241</v>
      </c>
      <c r="L29" s="8">
        <v>11</v>
      </c>
      <c r="M29" s="8">
        <v>3</v>
      </c>
      <c r="N29" s="8">
        <v>1</v>
      </c>
      <c r="O29" s="8">
        <v>1</v>
      </c>
      <c r="P29" s="8">
        <v>0</v>
      </c>
      <c r="Q29" s="8">
        <v>1</v>
      </c>
      <c r="R29" s="8">
        <v>5</v>
      </c>
      <c r="S29" s="2"/>
      <c r="T29" s="2"/>
      <c r="U29" s="8">
        <v>256</v>
      </c>
      <c r="V29" s="8">
        <v>7</v>
      </c>
      <c r="W29" s="8">
        <v>2</v>
      </c>
      <c r="X29" s="8">
        <v>1.8333333333333333</v>
      </c>
      <c r="Y29" s="8">
        <v>29.22222222222222</v>
      </c>
      <c r="Z29" s="4">
        <v>0.12880143112701253</v>
      </c>
      <c r="AA29" s="4">
        <v>0</v>
      </c>
      <c r="AB29" s="4">
        <v>0</v>
      </c>
      <c r="AC29" s="4">
        <v>0</v>
      </c>
    </row>
    <row r="30" spans="1:29" x14ac:dyDescent="0.25">
      <c r="A30" s="2">
        <v>27</v>
      </c>
      <c r="B30" s="2" t="s">
        <v>11</v>
      </c>
      <c r="C30" s="8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5</v>
      </c>
      <c r="Q30" s="8">
        <v>0</v>
      </c>
      <c r="R30" s="8">
        <v>0</v>
      </c>
      <c r="S30" s="2"/>
      <c r="T30" s="2"/>
      <c r="U30" s="8">
        <v>0</v>
      </c>
      <c r="V30" s="8">
        <v>5</v>
      </c>
      <c r="W30" s="8">
        <v>1.6666666666666667</v>
      </c>
      <c r="X30" s="8">
        <v>0.8333333333333334</v>
      </c>
      <c r="Y30" s="8">
        <v>0.5555555555555556</v>
      </c>
      <c r="Z30" s="4">
        <v>2.4000000000000004</v>
      </c>
      <c r="AA30" s="4">
        <v>0</v>
      </c>
      <c r="AB30" s="4">
        <v>0</v>
      </c>
      <c r="AC30" s="4">
        <v>0</v>
      </c>
    </row>
    <row r="31" spans="1:29" x14ac:dyDescent="0.25">
      <c r="A31" s="2">
        <v>28</v>
      </c>
      <c r="B31" s="2" t="s">
        <v>65</v>
      </c>
      <c r="C31" s="8">
        <v>0</v>
      </c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1</v>
      </c>
      <c r="O31" s="8">
        <v>0</v>
      </c>
      <c r="P31" s="8">
        <v>0</v>
      </c>
      <c r="Q31" s="8">
        <v>2</v>
      </c>
      <c r="R31" s="8">
        <v>0</v>
      </c>
      <c r="S31" s="2"/>
      <c r="T31" s="2"/>
      <c r="U31" s="8">
        <v>1</v>
      </c>
      <c r="V31" s="8">
        <v>2</v>
      </c>
      <c r="W31" s="8">
        <v>0.6666666666666666</v>
      </c>
      <c r="X31" s="8">
        <v>0.5</v>
      </c>
      <c r="Y31" s="8">
        <v>0.3333333333333333</v>
      </c>
      <c r="Z31" s="4">
        <v>1.6</v>
      </c>
      <c r="AA31" s="4">
        <v>0</v>
      </c>
      <c r="AB31" s="4">
        <v>0</v>
      </c>
      <c r="AC31" s="4">
        <v>0</v>
      </c>
    </row>
    <row r="32" spans="1:29" x14ac:dyDescent="0.25">
      <c r="A32" s="2">
        <v>29</v>
      </c>
      <c r="B32" s="2" t="s">
        <v>87</v>
      </c>
      <c r="C32" s="8">
        <v>0</v>
      </c>
      <c r="D32" s="8">
        <v>0</v>
      </c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1</v>
      </c>
      <c r="R32" s="8">
        <v>0</v>
      </c>
      <c r="S32" s="2"/>
      <c r="T32" s="2"/>
      <c r="U32" s="8">
        <v>0</v>
      </c>
      <c r="V32" s="8">
        <v>1</v>
      </c>
      <c r="W32" s="8">
        <v>0.3333333333333333</v>
      </c>
      <c r="X32" s="8">
        <v>0.16666666666666666</v>
      </c>
      <c r="Y32" s="8">
        <v>0.1111111111111111</v>
      </c>
      <c r="Z32" s="4">
        <v>2.4</v>
      </c>
      <c r="AA32" s="4">
        <v>0</v>
      </c>
      <c r="AB32" s="4">
        <v>0</v>
      </c>
      <c r="AC32" s="4">
        <v>0</v>
      </c>
    </row>
    <row r="33" spans="1:29" x14ac:dyDescent="0.25">
      <c r="A33" s="2">
        <v>30</v>
      </c>
      <c r="B33" s="2" t="s">
        <v>67</v>
      </c>
      <c r="C33" s="8">
        <v>0</v>
      </c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2</v>
      </c>
      <c r="J33" s="8">
        <v>0</v>
      </c>
      <c r="K33" s="8">
        <v>145</v>
      </c>
      <c r="L33" s="8">
        <v>34</v>
      </c>
      <c r="M33" s="8">
        <v>0</v>
      </c>
      <c r="N33" s="8">
        <v>-92</v>
      </c>
      <c r="O33" s="8">
        <v>0</v>
      </c>
      <c r="P33" s="8">
        <v>1</v>
      </c>
      <c r="Q33" s="8">
        <v>0</v>
      </c>
      <c r="R33" s="8">
        <v>0</v>
      </c>
      <c r="S33" s="2"/>
      <c r="T33" s="2"/>
      <c r="U33" s="8">
        <v>89</v>
      </c>
      <c r="V33" s="8">
        <v>1</v>
      </c>
      <c r="W33" s="8">
        <v>0.3333333333333333</v>
      </c>
      <c r="X33" s="8">
        <v>-15.166666666666666</v>
      </c>
      <c r="Y33" s="8">
        <v>9.777777777777779</v>
      </c>
      <c r="Z33" s="4">
        <v>-0.12371134020618559</v>
      </c>
      <c r="AA33" s="4">
        <v>0</v>
      </c>
      <c r="AB33" s="4">
        <v>0</v>
      </c>
      <c r="AC33" s="4">
        <v>0</v>
      </c>
    </row>
    <row r="34" spans="1:29" x14ac:dyDescent="0.25">
      <c r="A34" s="2">
        <v>31</v>
      </c>
      <c r="B34" s="2" t="s">
        <v>69</v>
      </c>
      <c r="C34" s="8">
        <v>0</v>
      </c>
      <c r="D34" s="8">
        <v>0</v>
      </c>
      <c r="E34" s="8">
        <v>0</v>
      </c>
      <c r="F34" s="8">
        <v>0</v>
      </c>
      <c r="G34" s="8">
        <v>0</v>
      </c>
      <c r="H34" s="8">
        <v>0</v>
      </c>
      <c r="I34" s="8">
        <v>1</v>
      </c>
      <c r="J34" s="8">
        <v>0</v>
      </c>
      <c r="K34" s="8">
        <v>25</v>
      </c>
      <c r="L34" s="8">
        <v>12</v>
      </c>
      <c r="M34" s="8">
        <v>0</v>
      </c>
      <c r="N34" s="8">
        <v>-9</v>
      </c>
      <c r="O34" s="8">
        <v>0</v>
      </c>
      <c r="P34" s="8">
        <v>1</v>
      </c>
      <c r="Q34" s="8">
        <v>0</v>
      </c>
      <c r="R34" s="8">
        <v>0</v>
      </c>
      <c r="S34" s="2"/>
      <c r="T34" s="2"/>
      <c r="U34" s="8">
        <v>29</v>
      </c>
      <c r="V34" s="8">
        <v>1</v>
      </c>
      <c r="W34" s="8">
        <v>0.3333333333333333</v>
      </c>
      <c r="X34" s="8">
        <v>-1.3333333333333333</v>
      </c>
      <c r="Y34" s="8">
        <v>3.2222222222222223</v>
      </c>
      <c r="Z34" s="4">
        <v>0.3529411764705882</v>
      </c>
      <c r="AA34" s="4">
        <v>0</v>
      </c>
      <c r="AB34" s="4">
        <v>0</v>
      </c>
      <c r="AC34" s="4">
        <v>0</v>
      </c>
    </row>
    <row r="35" spans="1:29" x14ac:dyDescent="0.25">
      <c r="A35" s="2">
        <v>32</v>
      </c>
      <c r="B35" s="2" t="s">
        <v>71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16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1</v>
      </c>
      <c r="Q35" s="8">
        <v>0</v>
      </c>
      <c r="R35" s="8">
        <v>0</v>
      </c>
      <c r="S35" s="2"/>
      <c r="T35" s="2"/>
      <c r="U35" s="8">
        <v>16</v>
      </c>
      <c r="V35" s="8">
        <v>1</v>
      </c>
      <c r="W35" s="8">
        <v>0.3333333333333333</v>
      </c>
      <c r="X35" s="8">
        <v>0.16666666666666666</v>
      </c>
      <c r="Y35" s="8">
        <v>1.8888888888888888</v>
      </c>
      <c r="Z35" s="4">
        <v>0.32432432432432434</v>
      </c>
      <c r="AA35" s="4">
        <v>0</v>
      </c>
      <c r="AB35" s="4">
        <v>0</v>
      </c>
      <c r="AC35" s="4">
        <v>0</v>
      </c>
    </row>
    <row r="36" spans="1:29" x14ac:dyDescent="0.25">
      <c r="A36" s="2">
        <v>33</v>
      </c>
      <c r="B36" s="2" t="s">
        <v>79</v>
      </c>
      <c r="C36" s="8">
        <v>0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2</v>
      </c>
      <c r="K36" s="8">
        <v>142</v>
      </c>
      <c r="L36" s="8">
        <v>-34</v>
      </c>
      <c r="M36" s="8">
        <v>98</v>
      </c>
      <c r="N36" s="8">
        <v>19</v>
      </c>
      <c r="O36" s="8">
        <v>0</v>
      </c>
      <c r="P36" s="8">
        <v>0</v>
      </c>
      <c r="Q36" s="8">
        <v>0</v>
      </c>
      <c r="R36" s="8">
        <v>0</v>
      </c>
      <c r="S36" s="2"/>
      <c r="T36" s="2"/>
      <c r="U36" s="8">
        <v>227</v>
      </c>
      <c r="V36" s="8">
        <v>0</v>
      </c>
      <c r="W36" s="8">
        <v>0</v>
      </c>
      <c r="X36" s="8">
        <v>19.5</v>
      </c>
      <c r="Y36" s="8">
        <v>25.22222222222222</v>
      </c>
      <c r="Z36" s="4">
        <v>0</v>
      </c>
      <c r="AA36" s="4">
        <v>0</v>
      </c>
      <c r="AB36" s="4">
        <v>0</v>
      </c>
      <c r="AC36" s="4">
        <v>0</v>
      </c>
    </row>
    <row r="37" spans="1:29" x14ac:dyDescent="0.25">
      <c r="A37" s="2">
        <v>34</v>
      </c>
      <c r="B37" s="2" t="s">
        <v>17</v>
      </c>
      <c r="C37" s="8">
        <v>5</v>
      </c>
      <c r="D37" s="8">
        <v>0</v>
      </c>
      <c r="E37" s="8">
        <v>0</v>
      </c>
      <c r="F37" s="8">
        <v>0</v>
      </c>
      <c r="G37" s="8">
        <v>0</v>
      </c>
      <c r="H37" s="8">
        <v>10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2"/>
      <c r="T37" s="2"/>
      <c r="U37" s="8">
        <v>15</v>
      </c>
      <c r="V37" s="8">
        <v>0</v>
      </c>
      <c r="W37" s="8">
        <v>0</v>
      </c>
      <c r="X37" s="8">
        <v>0</v>
      </c>
      <c r="Y37" s="8">
        <v>0</v>
      </c>
      <c r="Z37" s="4">
        <v>0</v>
      </c>
      <c r="AA37" s="4">
        <v>0</v>
      </c>
      <c r="AB37" s="4">
        <v>0</v>
      </c>
      <c r="AC37" s="4">
        <v>0</v>
      </c>
    </row>
    <row r="38" spans="1:29" x14ac:dyDescent="0.25">
      <c r="A38" s="2">
        <v>35</v>
      </c>
      <c r="B38" s="2" t="s">
        <v>53</v>
      </c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69</v>
      </c>
      <c r="M38" s="8">
        <v>22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2"/>
      <c r="T38" s="2"/>
      <c r="U38" s="8">
        <v>91</v>
      </c>
      <c r="V38" s="8">
        <v>0</v>
      </c>
      <c r="W38" s="8">
        <v>0</v>
      </c>
      <c r="X38" s="8">
        <v>3.6666666666666665</v>
      </c>
      <c r="Y38" s="8">
        <v>10.11111111111111</v>
      </c>
      <c r="Z38" s="4">
        <v>0</v>
      </c>
      <c r="AA38" s="4">
        <v>0</v>
      </c>
      <c r="AB38" s="4">
        <v>0</v>
      </c>
      <c r="AC38" s="4">
        <v>0</v>
      </c>
    </row>
    <row r="39" spans="1:29" x14ac:dyDescent="0.25">
      <c r="A39" s="2">
        <v>36</v>
      </c>
      <c r="B39" s="2" t="s">
        <v>93</v>
      </c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8">
        <v>1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2"/>
      <c r="T39" s="2"/>
      <c r="U39" s="8">
        <v>1</v>
      </c>
      <c r="V39" s="8">
        <v>0</v>
      </c>
      <c r="W39" s="8">
        <v>0</v>
      </c>
      <c r="X39" s="8">
        <v>0.16666666666666666</v>
      </c>
      <c r="Y39" s="8">
        <v>0.1111111111111111</v>
      </c>
      <c r="Z39" s="4">
        <v>0</v>
      </c>
      <c r="AA39" s="4">
        <v>0</v>
      </c>
      <c r="AB39" s="4">
        <v>0</v>
      </c>
      <c r="AC39" s="4">
        <v>0</v>
      </c>
    </row>
    <row r="40" spans="1:29" x14ac:dyDescent="0.25">
      <c r="A40" s="2">
        <v>37</v>
      </c>
      <c r="B40" s="2" t="s">
        <v>95</v>
      </c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1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2"/>
      <c r="T40" s="2"/>
      <c r="U40" s="8">
        <v>1</v>
      </c>
      <c r="V40" s="8">
        <v>0</v>
      </c>
      <c r="W40" s="8">
        <v>0</v>
      </c>
      <c r="X40" s="8">
        <v>0.16666666666666666</v>
      </c>
      <c r="Y40" s="8">
        <v>0.1111111111111111</v>
      </c>
      <c r="Z40" s="4">
        <v>0</v>
      </c>
      <c r="AA40" s="4">
        <v>0</v>
      </c>
      <c r="AB40" s="4">
        <v>0</v>
      </c>
      <c r="AC40" s="4">
        <v>0</v>
      </c>
    </row>
    <row r="41" spans="1:29" x14ac:dyDescent="0.25">
      <c r="A41" s="2">
        <v>38</v>
      </c>
      <c r="B41" s="2" t="s">
        <v>97</v>
      </c>
      <c r="C41" s="8">
        <v>0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1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2"/>
      <c r="T41" s="2"/>
      <c r="U41" s="8">
        <v>1</v>
      </c>
      <c r="V41" s="8">
        <v>0</v>
      </c>
      <c r="W41" s="8">
        <v>0</v>
      </c>
      <c r="X41" s="8">
        <v>0.16666666666666666</v>
      </c>
      <c r="Y41" s="8">
        <v>0.1111111111111111</v>
      </c>
      <c r="Z41" s="4">
        <v>0</v>
      </c>
      <c r="AA41" s="4">
        <v>0</v>
      </c>
      <c r="AB41" s="4">
        <v>0</v>
      </c>
      <c r="AC41" s="4">
        <v>0</v>
      </c>
    </row>
    <row r="42" spans="1:29" x14ac:dyDescent="0.25">
      <c r="A42" s="2">
        <v>39</v>
      </c>
      <c r="B42" s="2" t="s">
        <v>55</v>
      </c>
      <c r="C42" s="8">
        <v>0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2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2"/>
      <c r="T42" s="2"/>
      <c r="U42" s="8">
        <v>2</v>
      </c>
      <c r="V42" s="8">
        <v>0</v>
      </c>
      <c r="W42" s="8">
        <v>0</v>
      </c>
      <c r="X42" s="8">
        <v>0</v>
      </c>
      <c r="Y42" s="8">
        <v>0.2222222222222222</v>
      </c>
      <c r="Z42" s="4">
        <v>0</v>
      </c>
      <c r="AA42" s="4">
        <v>0</v>
      </c>
      <c r="AB42" s="4">
        <v>0</v>
      </c>
      <c r="AC42" s="4">
        <v>0</v>
      </c>
    </row>
    <row r="43" spans="1:29" x14ac:dyDescent="0.25">
      <c r="A43" s="2">
        <v>40</v>
      </c>
      <c r="B43" s="2" t="s">
        <v>75</v>
      </c>
      <c r="C43" s="8">
        <v>0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7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2"/>
      <c r="T43" s="2"/>
      <c r="U43" s="8">
        <v>7</v>
      </c>
      <c r="V43" s="8">
        <v>0</v>
      </c>
      <c r="W43" s="8">
        <v>0</v>
      </c>
      <c r="X43" s="8">
        <v>0</v>
      </c>
      <c r="Y43" s="8">
        <v>0.7777777777777778</v>
      </c>
      <c r="Z43" s="4">
        <v>0</v>
      </c>
      <c r="AA43" s="4">
        <v>0</v>
      </c>
      <c r="AB43" s="4">
        <v>0</v>
      </c>
      <c r="AC43" s="4">
        <v>0</v>
      </c>
    </row>
    <row r="44" spans="1:29" x14ac:dyDescent="0.25">
      <c r="A44" s="2">
        <v>41</v>
      </c>
      <c r="B44" s="2" t="s">
        <v>81</v>
      </c>
      <c r="C44" s="8">
        <v>0</v>
      </c>
      <c r="D44" s="8">
        <v>0</v>
      </c>
      <c r="E44" s="8">
        <v>2</v>
      </c>
      <c r="F44" s="8">
        <v>22</v>
      </c>
      <c r="G44" s="8">
        <v>17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2"/>
      <c r="T44" s="2"/>
      <c r="U44" s="8">
        <v>41</v>
      </c>
      <c r="V44" s="8">
        <v>0</v>
      </c>
      <c r="W44" s="8">
        <v>0</v>
      </c>
      <c r="X44" s="8">
        <v>0</v>
      </c>
      <c r="Y44" s="8">
        <v>0</v>
      </c>
      <c r="Z44" s="4">
        <v>0</v>
      </c>
      <c r="AA44" s="4">
        <v>0</v>
      </c>
      <c r="AB44" s="4">
        <v>0</v>
      </c>
      <c r="AC44" s="4">
        <v>0</v>
      </c>
    </row>
    <row r="45" spans="1:29" x14ac:dyDescent="0.25">
      <c r="A45" s="2">
        <v>42</v>
      </c>
      <c r="B45" s="2" t="s">
        <v>43</v>
      </c>
      <c r="C45" s="8">
        <v>0</v>
      </c>
      <c r="D45" s="8">
        <v>0</v>
      </c>
      <c r="E45" s="8">
        <v>0</v>
      </c>
      <c r="F45" s="8">
        <v>0</v>
      </c>
      <c r="G45" s="8">
        <v>203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2"/>
      <c r="T45" s="2"/>
      <c r="U45" s="8">
        <v>203</v>
      </c>
      <c r="V45" s="8">
        <v>0</v>
      </c>
      <c r="W45" s="8">
        <v>0</v>
      </c>
      <c r="X45" s="8">
        <v>0</v>
      </c>
      <c r="Y45" s="8">
        <v>0</v>
      </c>
      <c r="Z45" s="4">
        <v>0</v>
      </c>
      <c r="AA45" s="4">
        <v>0</v>
      </c>
      <c r="AB45" s="4">
        <v>0</v>
      </c>
      <c r="AC45" s="4">
        <v>0</v>
      </c>
    </row>
    <row r="46" spans="1:29" x14ac:dyDescent="0.25">
      <c r="A46" s="2">
        <v>43</v>
      </c>
      <c r="B46" s="2" t="s">
        <v>37</v>
      </c>
      <c r="C46" s="8">
        <v>0</v>
      </c>
      <c r="D46" s="8">
        <v>0</v>
      </c>
      <c r="E46" s="8">
        <v>0</v>
      </c>
      <c r="F46" s="8">
        <v>275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2"/>
      <c r="T46" s="2"/>
      <c r="U46" s="8">
        <v>275</v>
      </c>
      <c r="V46" s="8">
        <v>0</v>
      </c>
      <c r="W46" s="8">
        <v>0</v>
      </c>
      <c r="X46" s="8">
        <v>0</v>
      </c>
      <c r="Y46" s="8">
        <v>0</v>
      </c>
      <c r="Z46" s="4">
        <v>0</v>
      </c>
      <c r="AA46" s="4">
        <v>0</v>
      </c>
      <c r="AB46" s="4">
        <v>0</v>
      </c>
      <c r="AC46" s="4">
        <v>0</v>
      </c>
    </row>
    <row r="47" spans="1:29" x14ac:dyDescent="0.25">
      <c r="A47" s="2">
        <v>44</v>
      </c>
      <c r="B47" s="2" t="s">
        <v>45</v>
      </c>
      <c r="C47" s="8">
        <v>0</v>
      </c>
      <c r="D47" s="8">
        <v>0</v>
      </c>
      <c r="E47" s="8">
        <v>356</v>
      </c>
      <c r="F47" s="8">
        <v>81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2"/>
      <c r="T47" s="2"/>
      <c r="U47" s="8">
        <v>437</v>
      </c>
      <c r="V47" s="8">
        <v>0</v>
      </c>
      <c r="W47" s="8">
        <v>0</v>
      </c>
      <c r="X47" s="8">
        <v>0</v>
      </c>
      <c r="Y47" s="8">
        <v>0</v>
      </c>
      <c r="Z47" s="4">
        <v>0</v>
      </c>
      <c r="AA47" s="4">
        <v>0</v>
      </c>
      <c r="AB47" s="4">
        <v>0</v>
      </c>
      <c r="AC47" s="4">
        <v>0</v>
      </c>
    </row>
    <row r="48" spans="1:29" x14ac:dyDescent="0.25">
      <c r="A48" s="2">
        <v>45</v>
      </c>
      <c r="B48" s="2" t="s">
        <v>41</v>
      </c>
      <c r="C48" s="8">
        <v>0</v>
      </c>
      <c r="D48" s="8">
        <v>0</v>
      </c>
      <c r="E48" s="8">
        <v>442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2"/>
      <c r="T48" s="2"/>
      <c r="U48" s="8">
        <v>442</v>
      </c>
      <c r="V48" s="8">
        <v>0</v>
      </c>
      <c r="W48" s="8">
        <v>0</v>
      </c>
      <c r="X48" s="8">
        <v>0</v>
      </c>
      <c r="Y48" s="8">
        <v>0</v>
      </c>
      <c r="Z48" s="4">
        <v>0</v>
      </c>
      <c r="AA48" s="4">
        <v>0</v>
      </c>
      <c r="AB48" s="4">
        <v>0</v>
      </c>
      <c r="AC48" s="4">
        <v>0</v>
      </c>
    </row>
    <row r="49" spans="1:29" x14ac:dyDescent="0.25">
      <c r="A49" s="2">
        <v>46</v>
      </c>
      <c r="B49" s="2" t="s">
        <v>39</v>
      </c>
      <c r="C49" s="8">
        <v>0</v>
      </c>
      <c r="D49" s="8">
        <v>0</v>
      </c>
      <c r="E49" s="8">
        <v>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2"/>
      <c r="T49" s="2"/>
      <c r="U49" s="8">
        <v>3</v>
      </c>
      <c r="V49" s="8">
        <v>0</v>
      </c>
      <c r="W49" s="8">
        <v>0</v>
      </c>
      <c r="X49" s="8">
        <v>0</v>
      </c>
      <c r="Y49" s="8">
        <v>0</v>
      </c>
      <c r="Z49" s="4">
        <v>0</v>
      </c>
      <c r="AA49" s="4">
        <v>0</v>
      </c>
      <c r="AB49" s="4">
        <v>0</v>
      </c>
      <c r="AC49" s="4">
        <v>0</v>
      </c>
    </row>
    <row r="50" spans="1:29" x14ac:dyDescent="0.25">
      <c r="A50" s="2">
        <v>47</v>
      </c>
      <c r="B50" s="2" t="s">
        <v>77</v>
      </c>
      <c r="C50" s="8">
        <v>35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2"/>
      <c r="T50" s="2"/>
      <c r="U50" s="8">
        <v>35</v>
      </c>
      <c r="V50" s="8">
        <v>0</v>
      </c>
      <c r="W50" s="8">
        <v>0</v>
      </c>
      <c r="X50" s="8">
        <v>0</v>
      </c>
      <c r="Y50" s="8">
        <v>0</v>
      </c>
      <c r="Z50" s="4">
        <v>0</v>
      </c>
      <c r="AA50" s="4">
        <v>0</v>
      </c>
      <c r="AB50" s="4">
        <v>0</v>
      </c>
      <c r="AC50" s="4">
        <v>0</v>
      </c>
    </row>
    <row r="51" spans="1:29" x14ac:dyDescent="0.25">
      <c r="A51" s="5"/>
      <c r="B51" s="5" t="s">
        <v>401</v>
      </c>
      <c r="C51" s="9">
        <v>585</v>
      </c>
      <c r="D51" s="9">
        <v>437</v>
      </c>
      <c r="E51" s="9">
        <v>1994</v>
      </c>
      <c r="F51" s="9">
        <v>1128</v>
      </c>
      <c r="G51" s="9">
        <v>633</v>
      </c>
      <c r="H51" s="9">
        <v>8680</v>
      </c>
      <c r="I51" s="9">
        <v>5908</v>
      </c>
      <c r="J51" s="9">
        <v>7441</v>
      </c>
      <c r="K51" s="9">
        <v>5567</v>
      </c>
      <c r="L51" s="9">
        <v>3950</v>
      </c>
      <c r="M51" s="9">
        <v>10881</v>
      </c>
      <c r="N51" s="9">
        <v>4126</v>
      </c>
      <c r="O51" s="9">
        <v>1512</v>
      </c>
      <c r="P51" s="9">
        <v>3214</v>
      </c>
      <c r="Q51" s="9">
        <v>5181</v>
      </c>
      <c r="R51" s="9">
        <v>5533</v>
      </c>
      <c r="S51" s="5"/>
      <c r="T51" s="5"/>
      <c r="U51" s="9">
        <v>51330</v>
      </c>
      <c r="V51" s="9">
        <v>15440</v>
      </c>
      <c r="W51" s="9">
        <v>4642.666666666667</v>
      </c>
      <c r="X51" s="9">
        <v>5074.5</v>
      </c>
      <c r="Y51" s="9">
        <v>5267.222222222223</v>
      </c>
      <c r="Z51" s="7">
        <v>0.897851744014268</v>
      </c>
      <c r="AA51" s="7">
        <v>3.7258687258687258</v>
      </c>
      <c r="AB51" s="7">
        <v>3.7258687258687258</v>
      </c>
      <c r="AC51" s="7">
        <v>4.905141843971631</v>
      </c>
    </row>
    <row r="52" ht="14.25" customHeight="1" spans="2:30" x14ac:dyDescent="0.25">
      <c r="B52">
        <v>1</v>
      </c>
      <c r="C52">
        <v>3</v>
      </c>
      <c r="D52">
        <v>4</v>
      </c>
      <c r="E52">
        <v>5</v>
      </c>
      <c r="F52">
        <v>6</v>
      </c>
      <c r="G52">
        <v>7</v>
      </c>
      <c r="H52">
        <v>8</v>
      </c>
      <c r="I52">
        <v>9</v>
      </c>
      <c r="J52">
        <v>10</v>
      </c>
      <c r="K52">
        <v>11</v>
      </c>
      <c r="L52">
        <v>12</v>
      </c>
      <c r="M52">
        <v>13</v>
      </c>
      <c r="N52">
        <v>14</v>
      </c>
      <c r="O52">
        <v>15</v>
      </c>
      <c r="P52">
        <v>16</v>
      </c>
      <c r="Q52">
        <v>17</v>
      </c>
      <c r="R52">
        <v>18</v>
      </c>
      <c r="T52">
        <v>44</v>
      </c>
      <c r="U52" t="e">
        <v>#REF!</v>
      </c>
      <c r="W52">
        <v>49</v>
      </c>
      <c r="X52">
        <v>50</v>
      </c>
      <c r="Y52">
        <v>51</v>
      </c>
      <c r="AD52">
        <v>56</v>
      </c>
    </row>
    <row r="53" ht="24" customHeight="1" spans="1:29" x14ac:dyDescent="0.25">
      <c r="A53" s="1" t="s">
        <v>399</v>
      </c>
      <c r="B53" s="1" t="s">
        <v>402</v>
      </c>
      <c r="C53" s="1" t="s">
        <v>340</v>
      </c>
      <c r="D53" s="1" t="s">
        <v>341</v>
      </c>
      <c r="E53" s="1" t="s">
        <v>342</v>
      </c>
      <c r="F53" s="1" t="s">
        <v>343</v>
      </c>
      <c r="G53" s="1" t="s">
        <v>344</v>
      </c>
      <c r="H53" s="1" t="s">
        <v>345</v>
      </c>
      <c r="I53" s="1" t="s">
        <v>346</v>
      </c>
      <c r="J53" s="1" t="s">
        <v>347</v>
      </c>
      <c r="K53" s="1" t="s">
        <v>348</v>
      </c>
      <c r="L53" s="1" t="s">
        <v>349</v>
      </c>
      <c r="M53" s="1" t="s">
        <v>350</v>
      </c>
      <c r="N53" s="1" t="s">
        <v>351</v>
      </c>
      <c r="O53" s="1" t="s">
        <v>352</v>
      </c>
      <c r="P53" s="1" t="s">
        <v>353</v>
      </c>
      <c r="Q53" s="1" t="s">
        <v>354</v>
      </c>
      <c r="R53" s="1" t="s">
        <v>355</v>
      </c>
      <c r="S53" s="1"/>
      <c r="T53" s="1" t="s">
        <v>352</v>
      </c>
      <c r="U53" s="1" t="s">
        <v>403</v>
      </c>
      <c r="V53" s="1" t="s">
        <v>404</v>
      </c>
      <c r="W53" s="1" t="s">
        <v>356</v>
      </c>
      <c r="X53" s="1" t="s">
        <v>357</v>
      </c>
      <c r="Y53" s="1" t="s">
        <v>358</v>
      </c>
      <c r="Z53" s="1" t="s">
        <v>359</v>
      </c>
      <c r="AA53" s="1" t="s">
        <v>360</v>
      </c>
      <c r="AB53" s="1" t="s">
        <v>361</v>
      </c>
      <c r="AC53" s="1" t="s">
        <v>362</v>
      </c>
    </row>
    <row r="54" spans="1:29" x14ac:dyDescent="0.25">
      <c r="A54" s="2">
        <v>0</v>
      </c>
      <c r="B54" s="2" t="s">
        <v>25</v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508747500.005</v>
      </c>
      <c r="N54" s="3">
        <v>-161846600.036</v>
      </c>
      <c r="O54" s="3">
        <v>16910000</v>
      </c>
      <c r="P54" s="3">
        <v>148918300.08075</v>
      </c>
      <c r="Q54" s="3">
        <v>170826600</v>
      </c>
      <c r="R54" s="3">
        <v>1805373899.9999998</v>
      </c>
      <c r="S54" s="2"/>
      <c r="T54" s="2"/>
      <c r="U54" s="3">
        <v>346900899.969</v>
      </c>
      <c r="V54" s="3">
        <v>2142028800.0807498</v>
      </c>
      <c r="W54" s="3">
        <v>708372933.3602499</v>
      </c>
      <c r="X54" s="3">
        <v>414821616.6749583</v>
      </c>
      <c r="Y54" s="3">
        <v>276547744.4499722</v>
      </c>
      <c r="Z54" s="4">
        <v>2.0491880988409807</v>
      </c>
      <c r="AA54" s="4">
        <v>0</v>
      </c>
      <c r="AB54" s="4">
        <v>0</v>
      </c>
      <c r="AC54" s="4">
        <v>0</v>
      </c>
    </row>
    <row r="55" spans="1:29" x14ac:dyDescent="0.25">
      <c r="A55" s="2">
        <v>1</v>
      </c>
      <c r="B55" s="2" t="s">
        <v>31</v>
      </c>
      <c r="C55" s="3">
        <v>0</v>
      </c>
      <c r="D55" s="3">
        <v>0</v>
      </c>
      <c r="E55" s="3">
        <v>67446947.92</v>
      </c>
      <c r="F55" s="3">
        <v>21716750</v>
      </c>
      <c r="G55" s="3">
        <v>18818696.275000002</v>
      </c>
      <c r="H55" s="3">
        <v>314084545.53</v>
      </c>
      <c r="I55" s="3">
        <v>200015497.9825</v>
      </c>
      <c r="J55" s="3">
        <v>298752450</v>
      </c>
      <c r="K55" s="3">
        <v>338788750</v>
      </c>
      <c r="L55" s="3">
        <v>154736500</v>
      </c>
      <c r="M55" s="3">
        <v>801113400</v>
      </c>
      <c r="N55" s="3">
        <v>443699050.27500004</v>
      </c>
      <c r="O55" s="3">
        <v>132526200.165</v>
      </c>
      <c r="P55" s="3">
        <v>49094800.147</v>
      </c>
      <c r="Q55" s="3">
        <v>258574600</v>
      </c>
      <c r="R55" s="3">
        <v>25218250</v>
      </c>
      <c r="S55" s="2"/>
      <c r="T55" s="2"/>
      <c r="U55" s="3">
        <v>2659172587.9825</v>
      </c>
      <c r="V55" s="3">
        <v>465413850.31200004</v>
      </c>
      <c r="W55" s="3">
        <v>110962550.04900001</v>
      </c>
      <c r="X55" s="3">
        <v>285037716.7645</v>
      </c>
      <c r="Y55" s="3">
        <v>278056000.0652222</v>
      </c>
      <c r="Z55" s="4">
        <v>0.3941175215867477</v>
      </c>
      <c r="AA55" s="4">
        <v>5.219768371760237</v>
      </c>
      <c r="AB55" s="4">
        <v>5.219768371760237</v>
      </c>
      <c r="AC55" s="4">
        <v>1.1612349914236706</v>
      </c>
    </row>
    <row r="56" spans="1:29" x14ac:dyDescent="0.25">
      <c r="A56" s="2">
        <v>2</v>
      </c>
      <c r="B56" s="2" t="s">
        <v>33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82508200</v>
      </c>
      <c r="I56" s="3">
        <v>93643749.075</v>
      </c>
      <c r="J56" s="3">
        <v>271656260</v>
      </c>
      <c r="K56" s="3">
        <v>253680949.925</v>
      </c>
      <c r="L56" s="3">
        <v>132962750</v>
      </c>
      <c r="M56" s="3">
        <v>443462175</v>
      </c>
      <c r="N56" s="3">
        <v>233804600.00669998</v>
      </c>
      <c r="O56" s="3">
        <v>22183900</v>
      </c>
      <c r="P56" s="3">
        <v>64343287.905</v>
      </c>
      <c r="Q56" s="3">
        <v>274739350.48599994</v>
      </c>
      <c r="R56" s="3">
        <v>55074157.734</v>
      </c>
      <c r="S56" s="2"/>
      <c r="T56" s="2"/>
      <c r="U56" s="3">
        <v>1511718684.0067</v>
      </c>
      <c r="V56" s="3">
        <v>416340696.1249999</v>
      </c>
      <c r="W56" s="3">
        <v>131385598.7083333</v>
      </c>
      <c r="X56" s="3">
        <v>182267911.85528335</v>
      </c>
      <c r="Y56" s="3">
        <v>194656381.2285222</v>
      </c>
      <c r="Z56" s="4">
        <v>0.6971458254038349</v>
      </c>
      <c r="AA56" s="4">
        <v>0</v>
      </c>
      <c r="AB56" s="4">
        <v>0</v>
      </c>
      <c r="AC56" s="4">
        <v>0</v>
      </c>
    </row>
    <row r="57" spans="1:29" x14ac:dyDescent="0.25">
      <c r="A57" s="2">
        <v>3</v>
      </c>
      <c r="B57" s="2" t="s">
        <v>57</v>
      </c>
      <c r="C57" s="3">
        <v>0</v>
      </c>
      <c r="D57" s="3">
        <v>0</v>
      </c>
      <c r="E57" s="3">
        <v>57463947.92</v>
      </c>
      <c r="F57" s="3">
        <v>19556250</v>
      </c>
      <c r="G57" s="3">
        <v>19116696.275</v>
      </c>
      <c r="H57" s="3">
        <v>56284745.53</v>
      </c>
      <c r="I57" s="3">
        <v>48901798.51</v>
      </c>
      <c r="J57" s="3">
        <v>202051449.99999997</v>
      </c>
      <c r="K57" s="3">
        <v>128654050</v>
      </c>
      <c r="L57" s="3">
        <v>96805300</v>
      </c>
      <c r="M57" s="3">
        <v>484406452.086</v>
      </c>
      <c r="N57" s="3">
        <v>284379650.08738005</v>
      </c>
      <c r="O57" s="3">
        <v>72265000</v>
      </c>
      <c r="P57" s="3">
        <v>22052000</v>
      </c>
      <c r="Q57" s="3">
        <v>219834600</v>
      </c>
      <c r="R57" s="3">
        <v>25218250</v>
      </c>
      <c r="S57" s="2"/>
      <c r="T57" s="2"/>
      <c r="U57" s="3">
        <v>1397620340.40838</v>
      </c>
      <c r="V57" s="3">
        <v>339369850</v>
      </c>
      <c r="W57" s="3">
        <v>89034950</v>
      </c>
      <c r="X57" s="3">
        <v>184692658.69556335</v>
      </c>
      <c r="Y57" s="3">
        <v>170629639.13037553</v>
      </c>
      <c r="Z57" s="4">
        <v>0.5011503671160845</v>
      </c>
      <c r="AA57" s="4">
        <v>4.406244844404315</v>
      </c>
      <c r="AB57" s="4">
        <v>4.406244844404315</v>
      </c>
      <c r="AC57" s="4">
        <v>1.2895238095238095</v>
      </c>
    </row>
    <row r="58" spans="1:29" x14ac:dyDescent="0.25">
      <c r="A58" s="2">
        <v>4</v>
      </c>
      <c r="B58" s="2" t="s">
        <v>59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84939500</v>
      </c>
      <c r="I58" s="3">
        <v>105473750</v>
      </c>
      <c r="J58" s="3">
        <v>225633787.975</v>
      </c>
      <c r="K58" s="3">
        <v>205366250</v>
      </c>
      <c r="L58" s="3">
        <v>38688750</v>
      </c>
      <c r="M58" s="3">
        <v>299390125</v>
      </c>
      <c r="N58" s="3">
        <v>163314500</v>
      </c>
      <c r="O58" s="3">
        <v>44763999.99999999</v>
      </c>
      <c r="P58" s="3">
        <v>23421062.5</v>
      </c>
      <c r="Q58" s="3">
        <v>221022250</v>
      </c>
      <c r="R58" s="3">
        <v>27701850.85</v>
      </c>
      <c r="S58" s="2"/>
      <c r="T58" s="2"/>
      <c r="U58" s="3">
        <v>1122806662.975</v>
      </c>
      <c r="V58" s="3">
        <v>316909163.35</v>
      </c>
      <c r="W58" s="3">
        <v>90715054.45</v>
      </c>
      <c r="X58" s="3">
        <v>129935631.39166667</v>
      </c>
      <c r="Y58" s="3">
        <v>138811397.36944443</v>
      </c>
      <c r="Z58" s="4">
        <v>0.675096241012856</v>
      </c>
      <c r="AA58" s="4">
        <v>0</v>
      </c>
      <c r="AB58" s="4">
        <v>0</v>
      </c>
      <c r="AC58" s="4">
        <v>0</v>
      </c>
    </row>
    <row r="59" spans="1:29" x14ac:dyDescent="0.25">
      <c r="A59" s="2">
        <v>5</v>
      </c>
      <c r="B59" s="2" t="s">
        <v>27</v>
      </c>
      <c r="C59" s="3">
        <v>0</v>
      </c>
      <c r="D59" s="3">
        <v>0</v>
      </c>
      <c r="E59" s="3">
        <v>96632250</v>
      </c>
      <c r="F59" s="3">
        <v>31467097.75</v>
      </c>
      <c r="G59" s="3">
        <v>8134500</v>
      </c>
      <c r="H59" s="3">
        <v>7872700</v>
      </c>
      <c r="I59" s="3">
        <v>158145899.99999997</v>
      </c>
      <c r="J59" s="3">
        <v>232798638.435</v>
      </c>
      <c r="K59" s="3">
        <v>96571800.38</v>
      </c>
      <c r="L59" s="3">
        <v>435850250</v>
      </c>
      <c r="M59" s="3">
        <v>215536200</v>
      </c>
      <c r="N59" s="3">
        <v>433949800.03639</v>
      </c>
      <c r="O59" s="3">
        <v>48760250</v>
      </c>
      <c r="P59" s="3">
        <v>86742450.19</v>
      </c>
      <c r="Q59" s="3">
        <v>129852800</v>
      </c>
      <c r="R59" s="3">
        <v>3882750.000195</v>
      </c>
      <c r="S59" s="2"/>
      <c r="T59" s="2"/>
      <c r="U59" s="3">
        <v>1716959136.6013901</v>
      </c>
      <c r="V59" s="3">
        <v>269238250.190195</v>
      </c>
      <c r="W59" s="3">
        <v>73492666.730065</v>
      </c>
      <c r="X59" s="3">
        <v>153120708.37109753</v>
      </c>
      <c r="Y59" s="3">
        <v>187104993.2268428</v>
      </c>
      <c r="Z59" s="4">
        <v>0.43202301522131636</v>
      </c>
      <c r="AA59" s="4">
        <v>2.1017925143197695</v>
      </c>
      <c r="AB59" s="4">
        <v>2.1017925143197695</v>
      </c>
      <c r="AC59" s="4">
        <v>0.12339078840516837</v>
      </c>
    </row>
    <row r="60" spans="1:29" x14ac:dyDescent="0.25">
      <c r="A60" s="2">
        <v>6</v>
      </c>
      <c r="B60" s="2" t="s">
        <v>85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43113600</v>
      </c>
      <c r="I60" s="3">
        <v>59880000</v>
      </c>
      <c r="J60" s="3">
        <v>105521280</v>
      </c>
      <c r="K60" s="3">
        <v>44808000</v>
      </c>
      <c r="L60" s="3">
        <v>3456000</v>
      </c>
      <c r="M60" s="3">
        <v>281520000</v>
      </c>
      <c r="N60" s="3">
        <v>3340800</v>
      </c>
      <c r="O60" s="3">
        <v>4137600</v>
      </c>
      <c r="P60" s="3">
        <v>175018800</v>
      </c>
      <c r="Q60" s="3">
        <v>36115200</v>
      </c>
      <c r="R60" s="3">
        <v>7903296</v>
      </c>
      <c r="S60" s="2"/>
      <c r="T60" s="2"/>
      <c r="U60" s="3">
        <v>541639680</v>
      </c>
      <c r="V60" s="3">
        <v>223174896</v>
      </c>
      <c r="W60" s="3">
        <v>73012432</v>
      </c>
      <c r="X60" s="3">
        <v>84672616</v>
      </c>
      <c r="Y60" s="3">
        <v>73535664</v>
      </c>
      <c r="Z60" s="4">
        <v>0.9229912871816822</v>
      </c>
      <c r="AA60" s="4">
        <v>0</v>
      </c>
      <c r="AB60" s="4">
        <v>0</v>
      </c>
      <c r="AC60" s="4">
        <v>0</v>
      </c>
    </row>
    <row r="61" spans="1:29" x14ac:dyDescent="0.25">
      <c r="A61" s="2">
        <v>7</v>
      </c>
      <c r="B61" s="2" t="s">
        <v>19</v>
      </c>
      <c r="C61" s="3">
        <v>84558800</v>
      </c>
      <c r="D61" s="3">
        <v>36816000</v>
      </c>
      <c r="E61" s="3">
        <v>147146006.962</v>
      </c>
      <c r="F61" s="3">
        <v>93503199.41</v>
      </c>
      <c r="G61" s="3">
        <v>38397198.82</v>
      </c>
      <c r="H61" s="3">
        <v>752716096.755</v>
      </c>
      <c r="I61" s="3">
        <v>199921499.41</v>
      </c>
      <c r="J61" s="3">
        <v>236516907.26</v>
      </c>
      <c r="K61" s="3">
        <v>70276110.09</v>
      </c>
      <c r="L61" s="3">
        <v>124361970</v>
      </c>
      <c r="M61" s="3">
        <v>62150607.08</v>
      </c>
      <c r="N61" s="3">
        <v>-226312688.43120497</v>
      </c>
      <c r="O61" s="3">
        <v>85524799.979</v>
      </c>
      <c r="P61" s="3">
        <v>67364650.02575</v>
      </c>
      <c r="Q61" s="3">
        <v>45981650</v>
      </c>
      <c r="R61" s="3">
        <v>19529000</v>
      </c>
      <c r="S61" s="2"/>
      <c r="T61" s="2"/>
      <c r="U61" s="3">
        <v>1620051707.355795</v>
      </c>
      <c r="V61" s="3">
        <v>218400100.00475</v>
      </c>
      <c r="W61" s="3">
        <v>44291766.67525</v>
      </c>
      <c r="X61" s="3">
        <v>9039669.775590835</v>
      </c>
      <c r="Y61" s="3">
        <v>53932556.222616106</v>
      </c>
      <c r="Z61" s="4">
        <v>1.406707988264895</v>
      </c>
      <c r="AA61" s="4">
        <v>0.6032751866193417</v>
      </c>
      <c r="AB61" s="4">
        <v>0.6032751866193417</v>
      </c>
      <c r="AC61" s="4">
        <v>0.2088591633572638</v>
      </c>
    </row>
    <row r="62" spans="1:29" x14ac:dyDescent="0.25">
      <c r="A62" s="2">
        <v>8</v>
      </c>
      <c r="B62" s="2" t="s">
        <v>29</v>
      </c>
      <c r="C62" s="3">
        <v>61169784</v>
      </c>
      <c r="D62" s="3">
        <v>70102800.068</v>
      </c>
      <c r="E62" s="3">
        <v>27671006.962</v>
      </c>
      <c r="F62" s="3">
        <v>6684700</v>
      </c>
      <c r="G62" s="3">
        <v>849599.4099999999</v>
      </c>
      <c r="H62" s="3">
        <v>59359897.935</v>
      </c>
      <c r="I62" s="3">
        <v>103385700</v>
      </c>
      <c r="J62" s="3">
        <v>140883217.26</v>
      </c>
      <c r="K62" s="3">
        <v>31110700</v>
      </c>
      <c r="L62" s="3">
        <v>54074680</v>
      </c>
      <c r="M62" s="3">
        <v>21664807.08</v>
      </c>
      <c r="N62" s="3">
        <v>36025411.56872</v>
      </c>
      <c r="O62" s="3">
        <v>15479999.979</v>
      </c>
      <c r="P62" s="3">
        <v>78851050.27575</v>
      </c>
      <c r="Q62" s="3">
        <v>10726200</v>
      </c>
      <c r="R62" s="3">
        <v>4651914</v>
      </c>
      <c r="S62" s="2"/>
      <c r="T62" s="2"/>
      <c r="U62" s="3">
        <v>612982304.28372</v>
      </c>
      <c r="V62" s="3">
        <v>109709164.25475</v>
      </c>
      <c r="W62" s="3">
        <v>31409721.425249998</v>
      </c>
      <c r="X62" s="3">
        <v>27899897.15057833</v>
      </c>
      <c r="Y62" s="3">
        <v>43718664.46260777</v>
      </c>
      <c r="Z62" s="4">
        <v>0.8771391303526814</v>
      </c>
      <c r="AA62" s="4">
        <v>0.6623817922197757</v>
      </c>
      <c r="AB62" s="4">
        <v>0.6623817922197757</v>
      </c>
      <c r="AC62" s="4">
        <v>0.6959046778464254</v>
      </c>
    </row>
    <row r="63" spans="1:29" x14ac:dyDescent="0.25">
      <c r="A63" s="2">
        <v>9</v>
      </c>
      <c r="B63" s="2" t="s">
        <v>63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33275000</v>
      </c>
      <c r="J63" s="3">
        <v>17050000</v>
      </c>
      <c r="K63" s="3">
        <v>4510000</v>
      </c>
      <c r="L63" s="3">
        <v>33990000</v>
      </c>
      <c r="M63" s="3">
        <v>7870500</v>
      </c>
      <c r="N63" s="3">
        <v>13739000</v>
      </c>
      <c r="O63" s="3">
        <v>550000</v>
      </c>
      <c r="P63" s="3">
        <v>4411000</v>
      </c>
      <c r="Q63" s="3">
        <v>11341000</v>
      </c>
      <c r="R63" s="3">
        <v>57981000</v>
      </c>
      <c r="S63" s="2"/>
      <c r="T63" s="2"/>
      <c r="U63" s="3">
        <v>110434500</v>
      </c>
      <c r="V63" s="3">
        <v>74283000</v>
      </c>
      <c r="W63" s="3">
        <v>24577666.666666668</v>
      </c>
      <c r="X63" s="3">
        <v>15982083.333333334</v>
      </c>
      <c r="Y63" s="3">
        <v>16826944.444444444</v>
      </c>
      <c r="Z63" s="4">
        <v>1.4982258440046567</v>
      </c>
      <c r="AA63" s="4">
        <v>0</v>
      </c>
      <c r="AB63" s="4">
        <v>0</v>
      </c>
      <c r="AC63" s="4">
        <v>0</v>
      </c>
    </row>
    <row r="64" spans="1:29" x14ac:dyDescent="0.25">
      <c r="A64" s="2">
        <v>10</v>
      </c>
      <c r="B64" s="2" t="s">
        <v>23</v>
      </c>
      <c r="C64" s="3">
        <v>0</v>
      </c>
      <c r="D64" s="3">
        <v>0</v>
      </c>
      <c r="E64" s="3">
        <v>20030650</v>
      </c>
      <c r="F64" s="3">
        <v>5400010.125</v>
      </c>
      <c r="G64" s="3">
        <v>1162500</v>
      </c>
      <c r="H64" s="3">
        <v>114948000</v>
      </c>
      <c r="I64" s="3">
        <v>99703750</v>
      </c>
      <c r="J64" s="3">
        <v>227739277.3</v>
      </c>
      <c r="K64" s="3">
        <v>38827500</v>
      </c>
      <c r="L64" s="3">
        <v>52475250</v>
      </c>
      <c r="M64" s="3">
        <v>4535300</v>
      </c>
      <c r="N64" s="3">
        <v>21157500</v>
      </c>
      <c r="O64" s="3">
        <v>3526250</v>
      </c>
      <c r="P64" s="3">
        <v>8060000</v>
      </c>
      <c r="Q64" s="3">
        <v>19220000</v>
      </c>
      <c r="R64" s="3">
        <v>5541250</v>
      </c>
      <c r="S64" s="2"/>
      <c r="T64" s="2"/>
      <c r="U64" s="3">
        <v>585979737.425</v>
      </c>
      <c r="V64" s="3">
        <v>36347500</v>
      </c>
      <c r="W64" s="3">
        <v>10940416.666666666</v>
      </c>
      <c r="X64" s="3">
        <v>10340050</v>
      </c>
      <c r="Y64" s="3">
        <v>42342480.811111115</v>
      </c>
      <c r="Z64" s="4">
        <v>0.41533375478458434</v>
      </c>
      <c r="AA64" s="4">
        <v>1.4292786668273716</v>
      </c>
      <c r="AB64" s="4">
        <v>1.4292786668273716</v>
      </c>
      <c r="AC64" s="4">
        <v>1.0261554833658761</v>
      </c>
    </row>
    <row r="65" spans="1:29" x14ac:dyDescent="0.25">
      <c r="A65" s="2">
        <v>11</v>
      </c>
      <c r="B65" s="2" t="s">
        <v>91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540000</v>
      </c>
      <c r="Q65" s="3">
        <v>6480000</v>
      </c>
      <c r="R65" s="3">
        <v>25799998.659999996</v>
      </c>
      <c r="S65" s="2"/>
      <c r="T65" s="2"/>
      <c r="U65" s="3">
        <v>0</v>
      </c>
      <c r="V65" s="3">
        <v>32819998.659999996</v>
      </c>
      <c r="W65" s="3">
        <v>10939999.553333333</v>
      </c>
      <c r="X65" s="3">
        <v>5469999.776666666</v>
      </c>
      <c r="Y65" s="3">
        <v>3646666.5177777773</v>
      </c>
      <c r="Z65" s="4">
        <v>2.4</v>
      </c>
      <c r="AA65" s="4">
        <v>0</v>
      </c>
      <c r="AB65" s="4">
        <v>0</v>
      </c>
      <c r="AC65" s="4">
        <v>0</v>
      </c>
    </row>
    <row r="66" spans="1:29" x14ac:dyDescent="0.25">
      <c r="A66" s="2">
        <v>12</v>
      </c>
      <c r="B66" s="2" t="s">
        <v>51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33173986.522499997</v>
      </c>
      <c r="M66" s="3">
        <v>7346999.94885</v>
      </c>
      <c r="N66" s="3">
        <v>38832000.022248</v>
      </c>
      <c r="O66" s="3">
        <v>150000.16499999998</v>
      </c>
      <c r="P66" s="3">
        <v>1350000.02025</v>
      </c>
      <c r="Q66" s="3">
        <v>30000000.310500007</v>
      </c>
      <c r="R66" s="3">
        <v>0</v>
      </c>
      <c r="S66" s="2"/>
      <c r="T66" s="2"/>
      <c r="U66" s="3">
        <v>79352986.493598</v>
      </c>
      <c r="V66" s="3">
        <v>31500000.495750006</v>
      </c>
      <c r="W66" s="3">
        <v>10450000.110250002</v>
      </c>
      <c r="X66" s="3">
        <v>12946500.077808</v>
      </c>
      <c r="Y66" s="3">
        <v>12316998.554372001</v>
      </c>
      <c r="Z66" s="4">
        <v>0.8272805174291306</v>
      </c>
      <c r="AA66" s="4">
        <v>0</v>
      </c>
      <c r="AB66" s="4">
        <v>0</v>
      </c>
      <c r="AC66" s="4">
        <v>0</v>
      </c>
    </row>
    <row r="67" spans="1:29" x14ac:dyDescent="0.25">
      <c r="A67" s="2">
        <v>13</v>
      </c>
      <c r="B67" s="2" t="s">
        <v>35</v>
      </c>
      <c r="C67" s="3">
        <v>0</v>
      </c>
      <c r="D67" s="3">
        <v>3919999.6499999994</v>
      </c>
      <c r="E67" s="3">
        <v>0</v>
      </c>
      <c r="F67" s="3">
        <v>3328497.9</v>
      </c>
      <c r="G67" s="3">
        <v>4777498.1625</v>
      </c>
      <c r="H67" s="3">
        <v>10416496.65</v>
      </c>
      <c r="I67" s="3">
        <v>13608000</v>
      </c>
      <c r="J67" s="3">
        <v>7743750</v>
      </c>
      <c r="K67" s="3">
        <v>7819050.225</v>
      </c>
      <c r="L67" s="3">
        <v>1441449.975</v>
      </c>
      <c r="M67" s="3">
        <v>-409500</v>
      </c>
      <c r="N67" s="3">
        <v>756000</v>
      </c>
      <c r="O67" s="3">
        <v>5250000</v>
      </c>
      <c r="P67" s="3">
        <v>12594750</v>
      </c>
      <c r="Q67" s="3">
        <v>2180550.225</v>
      </c>
      <c r="R67" s="3">
        <v>10702770.225</v>
      </c>
      <c r="S67" s="2"/>
      <c r="T67" s="2"/>
      <c r="U67" s="3">
        <v>53401242.5625</v>
      </c>
      <c r="V67" s="3">
        <v>30728070.450000003</v>
      </c>
      <c r="W67" s="3">
        <v>8492690.15</v>
      </c>
      <c r="X67" s="3">
        <v>5179095.075</v>
      </c>
      <c r="Y67" s="3">
        <v>5342091.183333334</v>
      </c>
      <c r="Z67" s="4">
        <v>1.6143978333761257</v>
      </c>
      <c r="AA67" s="4">
        <v>4.23923306009809</v>
      </c>
      <c r="AB67" s="4">
        <v>4.23923306009809</v>
      </c>
      <c r="AC67" s="4">
        <v>3.215495561826853</v>
      </c>
    </row>
    <row r="68" spans="1:29" x14ac:dyDescent="0.25">
      <c r="A68" s="2">
        <v>14</v>
      </c>
      <c r="B68" s="2" t="s">
        <v>61</v>
      </c>
      <c r="C68" s="3">
        <v>1869000</v>
      </c>
      <c r="D68" s="3">
        <v>1869000</v>
      </c>
      <c r="E68" s="3">
        <v>12816000</v>
      </c>
      <c r="F68" s="3">
        <v>18440796.439999998</v>
      </c>
      <c r="G68" s="3">
        <v>12281995.995000001</v>
      </c>
      <c r="H68" s="3">
        <v>30158293.025</v>
      </c>
      <c r="I68" s="3">
        <v>20131798.665</v>
      </c>
      <c r="J68" s="3">
        <v>34194329.55</v>
      </c>
      <c r="K68" s="3">
        <v>7094599.4</v>
      </c>
      <c r="L68" s="3">
        <v>12039799.85</v>
      </c>
      <c r="M68" s="3">
        <v>7654010.68</v>
      </c>
      <c r="N68" s="3">
        <v>11486117.451228</v>
      </c>
      <c r="O68" s="3">
        <v>4460200.0052000005</v>
      </c>
      <c r="P68" s="3">
        <v>3909650.0013</v>
      </c>
      <c r="Q68" s="3">
        <v>10641900.0078</v>
      </c>
      <c r="R68" s="3">
        <v>8735346.00123</v>
      </c>
      <c r="S68" s="2"/>
      <c r="T68" s="2"/>
      <c r="U68" s="3">
        <v>170035741.05622798</v>
      </c>
      <c r="V68" s="3">
        <v>27747096.015529998</v>
      </c>
      <c r="W68" s="3">
        <v>7762298.670109999</v>
      </c>
      <c r="X68" s="3">
        <v>7814537.357793</v>
      </c>
      <c r="Y68" s="3">
        <v>11135105.882973112</v>
      </c>
      <c r="Z68" s="4">
        <v>0.8192553887675385</v>
      </c>
      <c r="AA68" s="4">
        <v>0.7928920536258447</v>
      </c>
      <c r="AB68" s="4">
        <v>0.7928920536258447</v>
      </c>
      <c r="AC68" s="4">
        <v>0.4736967858005378</v>
      </c>
    </row>
    <row r="69" spans="1:29" x14ac:dyDescent="0.25">
      <c r="A69" s="2">
        <v>15</v>
      </c>
      <c r="B69" s="2" t="s">
        <v>21</v>
      </c>
      <c r="C69" s="3">
        <v>445000</v>
      </c>
      <c r="D69" s="3">
        <v>0</v>
      </c>
      <c r="E69" s="3">
        <v>783200</v>
      </c>
      <c r="F69" s="3">
        <v>10519800</v>
      </c>
      <c r="G69" s="3">
        <v>6194400</v>
      </c>
      <c r="H69" s="3">
        <v>4369900</v>
      </c>
      <c r="I69" s="3">
        <v>1737280</v>
      </c>
      <c r="J69" s="3">
        <v>6675000</v>
      </c>
      <c r="K69" s="3">
        <v>667500</v>
      </c>
      <c r="L69" s="3">
        <v>1450700</v>
      </c>
      <c r="M69" s="3">
        <v>0</v>
      </c>
      <c r="N69" s="3">
        <v>0</v>
      </c>
      <c r="O69" s="3">
        <v>578500</v>
      </c>
      <c r="P69" s="3">
        <v>17800000</v>
      </c>
      <c r="Q69" s="3">
        <v>0</v>
      </c>
      <c r="R69" s="3">
        <v>0</v>
      </c>
      <c r="S69" s="2"/>
      <c r="T69" s="2"/>
      <c r="U69" s="3">
        <v>32842780</v>
      </c>
      <c r="V69" s="3">
        <v>18378500</v>
      </c>
      <c r="W69" s="3">
        <v>5933333.333333333</v>
      </c>
      <c r="X69" s="3">
        <v>3063083.3333333335</v>
      </c>
      <c r="Y69" s="3">
        <v>3019077.777777778</v>
      </c>
      <c r="Z69" s="4">
        <v>1.9510608893585883</v>
      </c>
      <c r="AA69" s="4">
        <v>1.5643939393939394</v>
      </c>
      <c r="AB69" s="4">
        <v>1.5643939393939394</v>
      </c>
      <c r="AC69" s="4">
        <v>0</v>
      </c>
    </row>
    <row r="70" spans="1:29" x14ac:dyDescent="0.25">
      <c r="A70" s="2">
        <v>16</v>
      </c>
      <c r="B70" s="2" t="s">
        <v>83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17158794.865</v>
      </c>
      <c r="I70" s="3">
        <v>125222898.81499998</v>
      </c>
      <c r="J70" s="3">
        <v>198468299.84</v>
      </c>
      <c r="K70" s="3">
        <v>170750600</v>
      </c>
      <c r="L70" s="3">
        <v>112908380</v>
      </c>
      <c r="M70" s="3">
        <v>36624409.48</v>
      </c>
      <c r="N70" s="3">
        <v>12687415.49032</v>
      </c>
      <c r="O70" s="3">
        <v>0</v>
      </c>
      <c r="P70" s="3">
        <v>2243600</v>
      </c>
      <c r="Q70" s="3">
        <v>5119200</v>
      </c>
      <c r="R70" s="3">
        <v>8796334</v>
      </c>
      <c r="S70" s="2"/>
      <c r="T70" s="2"/>
      <c r="U70" s="3">
        <v>673820798.49032</v>
      </c>
      <c r="V70" s="3">
        <v>16159134</v>
      </c>
      <c r="W70" s="3">
        <v>5386378</v>
      </c>
      <c r="X70" s="3">
        <v>10911826.495053334</v>
      </c>
      <c r="Y70" s="3">
        <v>60844248.75670224</v>
      </c>
      <c r="Z70" s="4">
        <v>0.15013022886499686</v>
      </c>
      <c r="AA70" s="4">
        <v>0</v>
      </c>
      <c r="AB70" s="4">
        <v>0</v>
      </c>
      <c r="AC70" s="4">
        <v>0</v>
      </c>
    </row>
    <row r="71" spans="1:29" x14ac:dyDescent="0.25">
      <c r="A71" s="2">
        <v>17</v>
      </c>
      <c r="B71" s="2" t="s">
        <v>73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226800000</v>
      </c>
      <c r="L71" s="3">
        <v>9450000</v>
      </c>
      <c r="M71" s="3">
        <v>0</v>
      </c>
      <c r="N71" s="3">
        <v>400000.0000049999</v>
      </c>
      <c r="O71" s="3">
        <v>0</v>
      </c>
      <c r="P71" s="3">
        <v>0</v>
      </c>
      <c r="Q71" s="3">
        <v>989999.9550000001</v>
      </c>
      <c r="R71" s="3">
        <v>3030000.0020999997</v>
      </c>
      <c r="S71" s="2"/>
      <c r="T71" s="2"/>
      <c r="U71" s="3">
        <v>236650000.000005</v>
      </c>
      <c r="V71" s="3">
        <v>4019999.9570999998</v>
      </c>
      <c r="W71" s="3">
        <v>1339999.9856999998</v>
      </c>
      <c r="X71" s="3">
        <v>736666.6595175</v>
      </c>
      <c r="Y71" s="3">
        <v>26741111.106345</v>
      </c>
      <c r="Z71" s="4">
        <v>0.09753335929259696</v>
      </c>
      <c r="AA71" s="4">
        <v>0</v>
      </c>
      <c r="AB71" s="4">
        <v>0</v>
      </c>
      <c r="AC71" s="4">
        <v>0</v>
      </c>
    </row>
    <row r="72" spans="1:29" x14ac:dyDescent="0.25">
      <c r="A72" s="2">
        <v>18</v>
      </c>
      <c r="B72" s="2" t="s">
        <v>89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2309999.647800001</v>
      </c>
      <c r="N72" s="3">
        <v>0</v>
      </c>
      <c r="O72" s="3">
        <v>0</v>
      </c>
      <c r="P72" s="3">
        <v>0</v>
      </c>
      <c r="Q72" s="3">
        <v>0</v>
      </c>
      <c r="R72" s="3">
        <v>935000.0594999999</v>
      </c>
      <c r="S72" s="2"/>
      <c r="T72" s="2"/>
      <c r="U72" s="3">
        <v>2309999.647800001</v>
      </c>
      <c r="V72" s="3">
        <v>935000.0594999999</v>
      </c>
      <c r="W72" s="3">
        <v>311666.68649999995</v>
      </c>
      <c r="X72" s="3">
        <v>540833.2845500001</v>
      </c>
      <c r="Y72" s="3">
        <v>360555.5230333334</v>
      </c>
      <c r="Z72" s="4">
        <v>0.6915255301107927</v>
      </c>
      <c r="AA72" s="4">
        <v>0</v>
      </c>
      <c r="AB72" s="4">
        <v>0</v>
      </c>
      <c r="AC72" s="4">
        <v>0</v>
      </c>
    </row>
    <row r="73" spans="1:29" x14ac:dyDescent="0.25">
      <c r="A73" s="2">
        <v>19</v>
      </c>
      <c r="B73" s="2" t="s">
        <v>65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750000</v>
      </c>
      <c r="R73" s="3">
        <v>0</v>
      </c>
      <c r="S73" s="2"/>
      <c r="T73" s="2"/>
      <c r="U73" s="3">
        <v>0</v>
      </c>
      <c r="V73" s="3">
        <v>750000</v>
      </c>
      <c r="W73" s="3">
        <v>250000</v>
      </c>
      <c r="X73" s="3">
        <v>125000</v>
      </c>
      <c r="Y73" s="3">
        <v>83333.33333333333</v>
      </c>
      <c r="Z73" s="4">
        <v>2.4000000000000004</v>
      </c>
      <c r="AA73" s="4">
        <v>0</v>
      </c>
      <c r="AB73" s="4">
        <v>0</v>
      </c>
      <c r="AC73" s="4">
        <v>0</v>
      </c>
    </row>
    <row r="74" spans="1:29" x14ac:dyDescent="0.25">
      <c r="A74" s="2">
        <v>20</v>
      </c>
      <c r="B74" s="2" t="s">
        <v>49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800000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2"/>
      <c r="T74" s="2"/>
      <c r="U74" s="3">
        <v>800000</v>
      </c>
      <c r="V74" s="3">
        <v>0</v>
      </c>
      <c r="W74" s="3">
        <v>0</v>
      </c>
      <c r="X74" s="3">
        <v>133333.33333333334</v>
      </c>
      <c r="Y74" s="3">
        <v>88888.88888888889</v>
      </c>
      <c r="Z74" s="4">
        <v>0</v>
      </c>
      <c r="AA74" s="4">
        <v>0</v>
      </c>
      <c r="AB74" s="4">
        <v>0</v>
      </c>
      <c r="AC74" s="4">
        <v>0</v>
      </c>
    </row>
    <row r="75" spans="1:29" x14ac:dyDescent="0.25">
      <c r="A75" s="2">
        <v>21</v>
      </c>
      <c r="B75" s="2" t="s">
        <v>67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1039500</v>
      </c>
      <c r="J75" s="3">
        <v>0</v>
      </c>
      <c r="K75" s="3">
        <v>68040000</v>
      </c>
      <c r="L75" s="3">
        <v>20412000</v>
      </c>
      <c r="M75" s="3">
        <v>0</v>
      </c>
      <c r="N75" s="3">
        <v>-43470000</v>
      </c>
      <c r="O75" s="3">
        <v>0</v>
      </c>
      <c r="P75" s="3">
        <v>0</v>
      </c>
      <c r="Q75" s="3">
        <v>0</v>
      </c>
      <c r="R75" s="3">
        <v>0</v>
      </c>
      <c r="S75" s="2"/>
      <c r="T75" s="2"/>
      <c r="U75" s="3">
        <v>46021500</v>
      </c>
      <c r="V75" s="3">
        <v>0</v>
      </c>
      <c r="W75" s="3">
        <v>0</v>
      </c>
      <c r="X75" s="3">
        <v>-7245000</v>
      </c>
      <c r="Y75" s="3">
        <v>4998000</v>
      </c>
      <c r="Z75" s="4">
        <v>0</v>
      </c>
      <c r="AA75" s="4">
        <v>0</v>
      </c>
      <c r="AB75" s="4">
        <v>0</v>
      </c>
      <c r="AC75" s="4">
        <v>0</v>
      </c>
    </row>
    <row r="76" spans="1:29" x14ac:dyDescent="0.25">
      <c r="A76" s="2">
        <v>22</v>
      </c>
      <c r="B76" s="2" t="s">
        <v>69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870000</v>
      </c>
      <c r="J76" s="3">
        <v>0</v>
      </c>
      <c r="K76" s="3">
        <v>17400000</v>
      </c>
      <c r="L76" s="3">
        <v>11762400</v>
      </c>
      <c r="M76" s="3">
        <v>0</v>
      </c>
      <c r="N76" s="3">
        <v>-6525000</v>
      </c>
      <c r="O76" s="3">
        <v>0</v>
      </c>
      <c r="P76" s="3">
        <v>0</v>
      </c>
      <c r="Q76" s="3">
        <v>0</v>
      </c>
      <c r="R76" s="3">
        <v>0</v>
      </c>
      <c r="S76" s="2"/>
      <c r="T76" s="2"/>
      <c r="U76" s="3">
        <v>23507400</v>
      </c>
      <c r="V76" s="3">
        <v>0</v>
      </c>
      <c r="W76" s="3">
        <v>0</v>
      </c>
      <c r="X76" s="3">
        <v>-1087500</v>
      </c>
      <c r="Y76" s="3">
        <v>2515266.6666666665</v>
      </c>
      <c r="Z76" s="4">
        <v>0</v>
      </c>
      <c r="AA76" s="4">
        <v>0</v>
      </c>
      <c r="AB76" s="4">
        <v>0</v>
      </c>
      <c r="AC76" s="4">
        <v>0</v>
      </c>
    </row>
    <row r="77" spans="1:29" x14ac:dyDescent="0.25">
      <c r="A77" s="2">
        <v>23</v>
      </c>
      <c r="B77" s="2" t="s">
        <v>71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4675000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2"/>
      <c r="T77" s="2"/>
      <c r="U77" s="3">
        <v>4675000</v>
      </c>
      <c r="V77" s="3">
        <v>0</v>
      </c>
      <c r="W77" s="3">
        <v>0</v>
      </c>
      <c r="X77" s="3">
        <v>0</v>
      </c>
      <c r="Y77" s="3">
        <v>519444.44444444444</v>
      </c>
      <c r="Z77" s="4">
        <v>0</v>
      </c>
      <c r="AA77" s="4">
        <v>0</v>
      </c>
      <c r="AB77" s="4">
        <v>0</v>
      </c>
      <c r="AC77" s="4">
        <v>0</v>
      </c>
    </row>
    <row r="78" spans="1:29" x14ac:dyDescent="0.25">
      <c r="A78" s="2">
        <v>24</v>
      </c>
      <c r="B78" s="2" t="s">
        <v>17</v>
      </c>
      <c r="C78" s="3">
        <v>3125000</v>
      </c>
      <c r="D78" s="3">
        <v>0</v>
      </c>
      <c r="E78" s="3">
        <v>0</v>
      </c>
      <c r="F78" s="3">
        <v>0</v>
      </c>
      <c r="G78" s="3">
        <v>0</v>
      </c>
      <c r="H78" s="3">
        <v>6250000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2"/>
      <c r="T78" s="2"/>
      <c r="U78" s="3">
        <v>9375000</v>
      </c>
      <c r="V78" s="3">
        <v>0</v>
      </c>
      <c r="W78" s="3">
        <v>0</v>
      </c>
      <c r="X78" s="3">
        <v>0</v>
      </c>
      <c r="Y78" s="3">
        <v>0</v>
      </c>
      <c r="Z78" s="4">
        <v>0</v>
      </c>
      <c r="AA78" s="4">
        <v>0</v>
      </c>
      <c r="AB78" s="4">
        <v>0</v>
      </c>
      <c r="AC78" s="4">
        <v>0</v>
      </c>
    </row>
    <row r="79" spans="1:29" x14ac:dyDescent="0.25">
      <c r="A79" s="2">
        <v>25</v>
      </c>
      <c r="B79" s="2" t="s">
        <v>53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9299996.200000001</v>
      </c>
      <c r="M79" s="3">
        <v>4323000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2"/>
      <c r="T79" s="2"/>
      <c r="U79" s="3">
        <v>13622996.200000001</v>
      </c>
      <c r="V79" s="3">
        <v>0</v>
      </c>
      <c r="W79" s="3">
        <v>0</v>
      </c>
      <c r="X79" s="3">
        <v>720500</v>
      </c>
      <c r="Y79" s="3">
        <v>1513666.2444444445</v>
      </c>
      <c r="Z79" s="4">
        <v>0</v>
      </c>
      <c r="AA79" s="4">
        <v>0</v>
      </c>
      <c r="AB79" s="4">
        <v>0</v>
      </c>
      <c r="AC79" s="4">
        <v>0</v>
      </c>
    </row>
    <row r="80" spans="1:29" x14ac:dyDescent="0.25">
      <c r="A80" s="2">
        <v>26</v>
      </c>
      <c r="B80" s="2" t="s">
        <v>75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6750000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2"/>
      <c r="T80" s="2"/>
      <c r="U80" s="3">
        <v>6750000</v>
      </c>
      <c r="V80" s="3">
        <v>0</v>
      </c>
      <c r="W80" s="3">
        <v>0</v>
      </c>
      <c r="X80" s="3">
        <v>0</v>
      </c>
      <c r="Y80" s="3">
        <v>750000</v>
      </c>
      <c r="Z80" s="4">
        <v>0</v>
      </c>
      <c r="AA80" s="4">
        <v>0</v>
      </c>
      <c r="AB80" s="4">
        <v>0</v>
      </c>
      <c r="AC80" s="4">
        <v>0</v>
      </c>
    </row>
    <row r="81" spans="1:29" x14ac:dyDescent="0.25">
      <c r="A81" s="2">
        <v>27</v>
      </c>
      <c r="B81" s="2" t="s">
        <v>81</v>
      </c>
      <c r="C81" s="3">
        <v>0</v>
      </c>
      <c r="D81" s="3">
        <v>0</v>
      </c>
      <c r="E81" s="3">
        <v>1185000</v>
      </c>
      <c r="F81" s="3">
        <v>10072496.84</v>
      </c>
      <c r="G81" s="3">
        <v>8342397.235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2"/>
      <c r="T81" s="2"/>
      <c r="U81" s="3">
        <v>19599894.075</v>
      </c>
      <c r="V81" s="3">
        <v>0</v>
      </c>
      <c r="W81" s="3">
        <v>0</v>
      </c>
      <c r="X81" s="3">
        <v>0</v>
      </c>
      <c r="Y81" s="3">
        <v>0</v>
      </c>
      <c r="Z81" s="4">
        <v>0</v>
      </c>
      <c r="AA81" s="4">
        <v>0</v>
      </c>
      <c r="AB81" s="4">
        <v>0</v>
      </c>
      <c r="AC81" s="4">
        <v>0</v>
      </c>
    </row>
    <row r="82" spans="1:29" x14ac:dyDescent="0.25">
      <c r="A82" s="2">
        <v>28</v>
      </c>
      <c r="B82" s="2" t="s">
        <v>37</v>
      </c>
      <c r="C82" s="3">
        <v>0</v>
      </c>
      <c r="D82" s="3">
        <v>0</v>
      </c>
      <c r="E82" s="3">
        <v>0</v>
      </c>
      <c r="F82" s="3">
        <v>16000004.999999993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2"/>
      <c r="T82" s="2"/>
      <c r="U82" s="3">
        <v>16000004.999999993</v>
      </c>
      <c r="V82" s="3">
        <v>0</v>
      </c>
      <c r="W82" s="3">
        <v>0</v>
      </c>
      <c r="X82" s="3">
        <v>0</v>
      </c>
      <c r="Y82" s="3">
        <v>0</v>
      </c>
      <c r="Z82" s="4">
        <v>0</v>
      </c>
      <c r="AA82" s="4">
        <v>0</v>
      </c>
      <c r="AB82" s="4">
        <v>0</v>
      </c>
      <c r="AC82" s="4">
        <v>0</v>
      </c>
    </row>
    <row r="83" spans="1:29" x14ac:dyDescent="0.25">
      <c r="A83" s="2">
        <v>29</v>
      </c>
      <c r="B83" s="2" t="s">
        <v>39</v>
      </c>
      <c r="C83" s="3">
        <v>0</v>
      </c>
      <c r="D83" s="3">
        <v>0</v>
      </c>
      <c r="E83" s="3">
        <v>945000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2"/>
      <c r="T83" s="2"/>
      <c r="U83" s="3">
        <v>945000</v>
      </c>
      <c r="V83" s="3">
        <v>0</v>
      </c>
      <c r="W83" s="3">
        <v>0</v>
      </c>
      <c r="X83" s="3">
        <v>0</v>
      </c>
      <c r="Y83" s="3">
        <v>0</v>
      </c>
      <c r="Z83" s="4">
        <v>0</v>
      </c>
      <c r="AA83" s="4">
        <v>0</v>
      </c>
      <c r="AB83" s="4">
        <v>0</v>
      </c>
      <c r="AC83" s="4">
        <v>0</v>
      </c>
    </row>
    <row r="84" spans="1:29" x14ac:dyDescent="0.25">
      <c r="A84" s="5"/>
      <c r="B84" s="5" t="s">
        <v>397</v>
      </c>
      <c r="C84" s="6">
        <v>151167584</v>
      </c>
      <c r="D84" s="6">
        <v>112707799.71800001</v>
      </c>
      <c r="E84" s="6">
        <v>432120009.76400006</v>
      </c>
      <c r="F84" s="6">
        <v>236689603.465</v>
      </c>
      <c r="G84" s="6">
        <v>118075482.1725</v>
      </c>
      <c r="H84" s="6">
        <v>1584180770.2900002</v>
      </c>
      <c r="I84" s="6">
        <v>1264956122.4575</v>
      </c>
      <c r="J84" s="6">
        <v>2210359647.62</v>
      </c>
      <c r="K84" s="6">
        <v>1711165860.02</v>
      </c>
      <c r="L84" s="6">
        <v>1346090162.5475</v>
      </c>
      <c r="M84" s="6">
        <v>3189045986.00765</v>
      </c>
      <c r="N84" s="6">
        <v>1259417556.470786</v>
      </c>
      <c r="O84" s="6">
        <v>457066700.2932001</v>
      </c>
      <c r="P84" s="6">
        <v>766715401.1458001</v>
      </c>
      <c r="Q84" s="6">
        <v>1454395900.9843</v>
      </c>
      <c r="R84" s="6">
        <v>2096075067.5320246</v>
      </c>
      <c r="S84" s="5"/>
      <c r="T84" s="5"/>
      <c r="U84" s="6">
        <v>13615976584.532936</v>
      </c>
      <c r="V84" s="6">
        <v>4774253069.955324</v>
      </c>
      <c r="W84" s="6">
        <v>1439062123.2207081</v>
      </c>
      <c r="X84" s="6">
        <v>1537119435.405627</v>
      </c>
      <c r="Y84" s="6">
        <v>1610036920.2912512</v>
      </c>
      <c r="Z84" s="7">
        <v>0.9145158108307936</v>
      </c>
      <c r="AA84" s="7">
        <v>5.118826919681459</v>
      </c>
      <c r="AB84" s="7">
        <v>5.118826919681459</v>
      </c>
      <c r="AC84" s="7">
        <v>8.855796946070669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D34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405</v>
      </c>
      <c r="B1" s="11" t="s">
        <v>2</v>
      </c>
    </row>
    <row r="2" ht="15" customHeight="1" x14ac:dyDescent="0.25"/>
    <row r="3" ht="24" customHeight="1" spans="4:30" x14ac:dyDescent="0.25">
      <c r="D3" s="1" t="s">
        <v>406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4:30" x14ac:dyDescent="0.25">
      <c r="D4" s="2" t="s">
        <v>25</v>
      </c>
      <c r="E4" s="3">
        <f>SUMIFS('Data nguồn'!J:J, 'Data nguồn'!D:D, $B$1, 'Data nguồn'!F:F, $D4, 'Data nguồn'!C:C, E$3)</f>
      </c>
      <c r="F4" s="3">
        <f>SUMIFS('Data nguồn'!J:J, 'Data nguồn'!D:D, $B$1, 'Data nguồn'!F:F, $D4, 'Data nguồn'!C:C, F$3)</f>
      </c>
      <c r="G4" s="3">
        <f>SUMIFS('Data nguồn'!J:J, 'Data nguồn'!D:D, $B$1, 'Data nguồn'!F:F, $D4, 'Data nguồn'!C:C, G$3)</f>
      </c>
      <c r="H4" s="3">
        <f>SUMIFS('Data nguồn'!J:J, 'Data nguồn'!D:D, $B$1, 'Data nguồn'!F:F, $D4, 'Data nguồn'!C:C, H$3)</f>
      </c>
      <c r="I4" s="3">
        <f>SUMIFS('Data nguồn'!J:J, 'Data nguồn'!D:D, $B$1, 'Data nguồn'!F:F, $D4, 'Data nguồn'!C:C, I$3)</f>
      </c>
      <c r="J4" s="3">
        <f>SUMIFS('Data nguồn'!J:J, 'Data nguồn'!D:D, $B$1, 'Data nguồn'!F:F, $D4, 'Data nguồn'!C:C, J$3)</f>
      </c>
      <c r="K4" s="3">
        <f>SUMIFS('Data nguồn'!J:J, 'Data nguồn'!D:D, $B$1, 'Data nguồn'!F:F, $D4, 'Data nguồn'!C:C, K$3)</f>
      </c>
      <c r="L4" s="3">
        <f>SUMIFS('Data nguồn'!J:J, 'Data nguồn'!D:D, $B$1, 'Data nguồn'!F:F, $D4, 'Data nguồn'!C:C, L$3)</f>
      </c>
      <c r="M4" s="3">
        <f>SUMIFS('Data nguồn'!J:J, 'Data nguồn'!D:D, $B$1, 'Data nguồn'!F:F, $D4, 'Data nguồn'!C:C, M$3)</f>
      </c>
      <c r="N4" s="3">
        <f>SUMIFS('Data nguồn'!J:J, 'Data nguồn'!D:D, $B$1, 'Data nguồn'!F:F, $D4, 'Data nguồn'!C:C, N$3)</f>
      </c>
      <c r="O4" s="3">
        <f>SUMIFS('Data nguồn'!J:J, 'Data nguồn'!D:D, $B$1, 'Data nguồn'!F:F, $D4, 'Data nguồn'!C:C, O$3)</f>
      </c>
      <c r="P4" s="3">
        <f>SUMIFS('Data nguồn'!J:J, 'Data nguồn'!D:D, $B$1, 'Data nguồn'!F:F, $D4, 'Data nguồn'!C:C, P$3)</f>
      </c>
      <c r="Q4" s="3">
        <f>SUMIFS('Data nguồn'!J:J, 'Data nguồn'!D:D, $B$1, 'Data nguồn'!F:F, $D4, 'Data nguồn'!C:C, Q$3)</f>
      </c>
      <c r="R4" s="3">
        <f>SUMIFS('Data nguồn'!J:J, 'Data nguồn'!D:D, $B$1, 'Data nguồn'!F:F, $D4, 'Data nguồn'!C:C, R$3)</f>
      </c>
      <c r="S4" s="3">
        <f>SUMIFS('Data nguồn'!J:J, 'Data nguồn'!D:D, $B$1, 'Data nguồn'!F:F, $D4, 'Data nguồn'!C:C, S$3)</f>
      </c>
      <c r="T4" s="3">
        <f>SUMIFS('Data nguồn'!J:J, 'Data nguồn'!D:D, $B$1, 'Data nguồn'!F:F, $D4, 'Data nguồn'!C:C, T$3)</f>
      </c>
      <c r="V4" s="3">
        <f>SUM(E4:P4)</f>
      </c>
      <c r="W4" s="3">
        <f>SUM(Q4:T4)</f>
      </c>
      <c r="X4" s="3">
        <f>AVERAGE(R4:T4)</f>
      </c>
      <c r="Y4" s="3">
        <f>AVERAGE(O4:T4)</f>
      </c>
      <c r="Z4" s="3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4:30" x14ac:dyDescent="0.25">
      <c r="D5" s="2" t="s">
        <v>31</v>
      </c>
      <c r="E5" s="3">
        <f>SUMIFS('Data nguồn'!J:J, 'Data nguồn'!D:D, $B$1, 'Data nguồn'!F:F, $D5, 'Data nguồn'!C:C, E$3)</f>
      </c>
      <c r="F5" s="3">
        <f>SUMIFS('Data nguồn'!J:J, 'Data nguồn'!D:D, $B$1, 'Data nguồn'!F:F, $D5, 'Data nguồn'!C:C, F$3)</f>
      </c>
      <c r="G5" s="3">
        <f>SUMIFS('Data nguồn'!J:J, 'Data nguồn'!D:D, $B$1, 'Data nguồn'!F:F, $D5, 'Data nguồn'!C:C, G$3)</f>
      </c>
      <c r="H5" s="3">
        <f>SUMIFS('Data nguồn'!J:J, 'Data nguồn'!D:D, $B$1, 'Data nguồn'!F:F, $D5, 'Data nguồn'!C:C, H$3)</f>
      </c>
      <c r="I5" s="3">
        <f>SUMIFS('Data nguồn'!J:J, 'Data nguồn'!D:D, $B$1, 'Data nguồn'!F:F, $D5, 'Data nguồn'!C:C, I$3)</f>
      </c>
      <c r="J5" s="3">
        <f>SUMIFS('Data nguồn'!J:J, 'Data nguồn'!D:D, $B$1, 'Data nguồn'!F:F, $D5, 'Data nguồn'!C:C, J$3)</f>
      </c>
      <c r="K5" s="3">
        <f>SUMIFS('Data nguồn'!J:J, 'Data nguồn'!D:D, $B$1, 'Data nguồn'!F:F, $D5, 'Data nguồn'!C:C, K$3)</f>
      </c>
      <c r="L5" s="3">
        <f>SUMIFS('Data nguồn'!J:J, 'Data nguồn'!D:D, $B$1, 'Data nguồn'!F:F, $D5, 'Data nguồn'!C:C, L$3)</f>
      </c>
      <c r="M5" s="3">
        <f>SUMIFS('Data nguồn'!J:J, 'Data nguồn'!D:D, $B$1, 'Data nguồn'!F:F, $D5, 'Data nguồn'!C:C, M$3)</f>
      </c>
      <c r="N5" s="3">
        <f>SUMIFS('Data nguồn'!J:J, 'Data nguồn'!D:D, $B$1, 'Data nguồn'!F:F, $D5, 'Data nguồn'!C:C, N$3)</f>
      </c>
      <c r="O5" s="3">
        <f>SUMIFS('Data nguồn'!J:J, 'Data nguồn'!D:D, $B$1, 'Data nguồn'!F:F, $D5, 'Data nguồn'!C:C, O$3)</f>
      </c>
      <c r="P5" s="3">
        <f>SUMIFS('Data nguồn'!J:J, 'Data nguồn'!D:D, $B$1, 'Data nguồn'!F:F, $D5, 'Data nguồn'!C:C, P$3)</f>
      </c>
      <c r="Q5" s="3">
        <f>SUMIFS('Data nguồn'!J:J, 'Data nguồn'!D:D, $B$1, 'Data nguồn'!F:F, $D5, 'Data nguồn'!C:C, Q$3)</f>
      </c>
      <c r="R5" s="3">
        <f>SUMIFS('Data nguồn'!J:J, 'Data nguồn'!D:D, $B$1, 'Data nguồn'!F:F, $D5, 'Data nguồn'!C:C, R$3)</f>
      </c>
      <c r="S5" s="3">
        <f>SUMIFS('Data nguồn'!J:J, 'Data nguồn'!D:D, $B$1, 'Data nguồn'!F:F, $D5, 'Data nguồn'!C:C, S$3)</f>
      </c>
      <c r="T5" s="3">
        <f>SUMIFS('Data nguồn'!J:J, 'Data nguồn'!D:D, $B$1, 'Data nguồn'!F:F, $D5, 'Data nguồn'!C:C, T$3)</f>
      </c>
      <c r="V5" s="3">
        <f>SUM(E5:P5)</f>
      </c>
      <c r="W5" s="3">
        <f>SUM(Q5:T5)</f>
      </c>
      <c r="X5" s="3">
        <f>AVERAGE(R5:T5)</f>
      </c>
      <c r="Y5" s="3">
        <f>AVERAGE(O5:T5)</f>
      </c>
      <c r="Z5" s="3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4:30" x14ac:dyDescent="0.25">
      <c r="D6" s="2" t="s">
        <v>33</v>
      </c>
      <c r="E6" s="3">
        <f>SUMIFS('Data nguồn'!J:J, 'Data nguồn'!D:D, $B$1, 'Data nguồn'!F:F, $D6, 'Data nguồn'!C:C, E$3)</f>
      </c>
      <c r="F6" s="3">
        <f>SUMIFS('Data nguồn'!J:J, 'Data nguồn'!D:D, $B$1, 'Data nguồn'!F:F, $D6, 'Data nguồn'!C:C, F$3)</f>
      </c>
      <c r="G6" s="3">
        <f>SUMIFS('Data nguồn'!J:J, 'Data nguồn'!D:D, $B$1, 'Data nguồn'!F:F, $D6, 'Data nguồn'!C:C, G$3)</f>
      </c>
      <c r="H6" s="3">
        <f>SUMIFS('Data nguồn'!J:J, 'Data nguồn'!D:D, $B$1, 'Data nguồn'!F:F, $D6, 'Data nguồn'!C:C, H$3)</f>
      </c>
      <c r="I6" s="3">
        <f>SUMIFS('Data nguồn'!J:J, 'Data nguồn'!D:D, $B$1, 'Data nguồn'!F:F, $D6, 'Data nguồn'!C:C, I$3)</f>
      </c>
      <c r="J6" s="3">
        <f>SUMIFS('Data nguồn'!J:J, 'Data nguồn'!D:D, $B$1, 'Data nguồn'!F:F, $D6, 'Data nguồn'!C:C, J$3)</f>
      </c>
      <c r="K6" s="3">
        <f>SUMIFS('Data nguồn'!J:J, 'Data nguồn'!D:D, $B$1, 'Data nguồn'!F:F, $D6, 'Data nguồn'!C:C, K$3)</f>
      </c>
      <c r="L6" s="3">
        <f>SUMIFS('Data nguồn'!J:J, 'Data nguồn'!D:D, $B$1, 'Data nguồn'!F:F, $D6, 'Data nguồn'!C:C, L$3)</f>
      </c>
      <c r="M6" s="3">
        <f>SUMIFS('Data nguồn'!J:J, 'Data nguồn'!D:D, $B$1, 'Data nguồn'!F:F, $D6, 'Data nguồn'!C:C, M$3)</f>
      </c>
      <c r="N6" s="3">
        <f>SUMIFS('Data nguồn'!J:J, 'Data nguồn'!D:D, $B$1, 'Data nguồn'!F:F, $D6, 'Data nguồn'!C:C, N$3)</f>
      </c>
      <c r="O6" s="3">
        <f>SUMIFS('Data nguồn'!J:J, 'Data nguồn'!D:D, $B$1, 'Data nguồn'!F:F, $D6, 'Data nguồn'!C:C, O$3)</f>
      </c>
      <c r="P6" s="3">
        <f>SUMIFS('Data nguồn'!J:J, 'Data nguồn'!D:D, $B$1, 'Data nguồn'!F:F, $D6, 'Data nguồn'!C:C, P$3)</f>
      </c>
      <c r="Q6" s="3">
        <f>SUMIFS('Data nguồn'!J:J, 'Data nguồn'!D:D, $B$1, 'Data nguồn'!F:F, $D6, 'Data nguồn'!C:C, Q$3)</f>
      </c>
      <c r="R6" s="3">
        <f>SUMIFS('Data nguồn'!J:J, 'Data nguồn'!D:D, $B$1, 'Data nguồn'!F:F, $D6, 'Data nguồn'!C:C, R$3)</f>
      </c>
      <c r="S6" s="3">
        <f>SUMIFS('Data nguồn'!J:J, 'Data nguồn'!D:D, $B$1, 'Data nguồn'!F:F, $D6, 'Data nguồn'!C:C, S$3)</f>
      </c>
      <c r="T6" s="3">
        <f>SUMIFS('Data nguồn'!J:J, 'Data nguồn'!D:D, $B$1, 'Data nguồn'!F:F, $D6, 'Data nguồn'!C:C, T$3)</f>
      </c>
      <c r="V6" s="3">
        <f>SUM(E6:P6)</f>
      </c>
      <c r="W6" s="3">
        <f>SUM(Q6:T6)</f>
      </c>
      <c r="X6" s="3">
        <f>AVERAGE(R6:T6)</f>
      </c>
      <c r="Y6" s="3">
        <f>AVERAGE(O6:T6)</f>
      </c>
      <c r="Z6" s="3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4:30" x14ac:dyDescent="0.25">
      <c r="D7" s="2" t="s">
        <v>57</v>
      </c>
      <c r="E7" s="3">
        <f>SUMIFS('Data nguồn'!J:J, 'Data nguồn'!D:D, $B$1, 'Data nguồn'!F:F, $D7, 'Data nguồn'!C:C, E$3)</f>
      </c>
      <c r="F7" s="3">
        <f>SUMIFS('Data nguồn'!J:J, 'Data nguồn'!D:D, $B$1, 'Data nguồn'!F:F, $D7, 'Data nguồn'!C:C, F$3)</f>
      </c>
      <c r="G7" s="3">
        <f>SUMIFS('Data nguồn'!J:J, 'Data nguồn'!D:D, $B$1, 'Data nguồn'!F:F, $D7, 'Data nguồn'!C:C, G$3)</f>
      </c>
      <c r="H7" s="3">
        <f>SUMIFS('Data nguồn'!J:J, 'Data nguồn'!D:D, $B$1, 'Data nguồn'!F:F, $D7, 'Data nguồn'!C:C, H$3)</f>
      </c>
      <c r="I7" s="3">
        <f>SUMIFS('Data nguồn'!J:J, 'Data nguồn'!D:D, $B$1, 'Data nguồn'!F:F, $D7, 'Data nguồn'!C:C, I$3)</f>
      </c>
      <c r="J7" s="3">
        <f>SUMIFS('Data nguồn'!J:J, 'Data nguồn'!D:D, $B$1, 'Data nguồn'!F:F, $D7, 'Data nguồn'!C:C, J$3)</f>
      </c>
      <c r="K7" s="3">
        <f>SUMIFS('Data nguồn'!J:J, 'Data nguồn'!D:D, $B$1, 'Data nguồn'!F:F, $D7, 'Data nguồn'!C:C, K$3)</f>
      </c>
      <c r="L7" s="3">
        <f>SUMIFS('Data nguồn'!J:J, 'Data nguồn'!D:D, $B$1, 'Data nguồn'!F:F, $D7, 'Data nguồn'!C:C, L$3)</f>
      </c>
      <c r="M7" s="3">
        <f>SUMIFS('Data nguồn'!J:J, 'Data nguồn'!D:D, $B$1, 'Data nguồn'!F:F, $D7, 'Data nguồn'!C:C, M$3)</f>
      </c>
      <c r="N7" s="3">
        <f>SUMIFS('Data nguồn'!J:J, 'Data nguồn'!D:D, $B$1, 'Data nguồn'!F:F, $D7, 'Data nguồn'!C:C, N$3)</f>
      </c>
      <c r="O7" s="3">
        <f>SUMIFS('Data nguồn'!J:J, 'Data nguồn'!D:D, $B$1, 'Data nguồn'!F:F, $D7, 'Data nguồn'!C:C, O$3)</f>
      </c>
      <c r="P7" s="3">
        <f>SUMIFS('Data nguồn'!J:J, 'Data nguồn'!D:D, $B$1, 'Data nguồn'!F:F, $D7, 'Data nguồn'!C:C, P$3)</f>
      </c>
      <c r="Q7" s="3">
        <f>SUMIFS('Data nguồn'!J:J, 'Data nguồn'!D:D, $B$1, 'Data nguồn'!F:F, $D7, 'Data nguồn'!C:C, Q$3)</f>
      </c>
      <c r="R7" s="3">
        <f>SUMIFS('Data nguồn'!J:J, 'Data nguồn'!D:D, $B$1, 'Data nguồn'!F:F, $D7, 'Data nguồn'!C:C, R$3)</f>
      </c>
      <c r="S7" s="3">
        <f>SUMIFS('Data nguồn'!J:J, 'Data nguồn'!D:D, $B$1, 'Data nguồn'!F:F, $D7, 'Data nguồn'!C:C, S$3)</f>
      </c>
      <c r="T7" s="3">
        <f>SUMIFS('Data nguồn'!J:J, 'Data nguồn'!D:D, $B$1, 'Data nguồn'!F:F, $D7, 'Data nguồn'!C:C, T$3)</f>
      </c>
      <c r="V7" s="3">
        <f>SUM(E7:P7)</f>
      </c>
      <c r="W7" s="3">
        <f>SUM(Q7:T7)</f>
      </c>
      <c r="X7" s="3">
        <f>AVERAGE(R7:T7)</f>
      </c>
      <c r="Y7" s="3">
        <f>AVERAGE(O7:T7)</f>
      </c>
      <c r="Z7" s="3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4:30" x14ac:dyDescent="0.25">
      <c r="D8" s="2" t="s">
        <v>59</v>
      </c>
      <c r="E8" s="3">
        <f>SUMIFS('Data nguồn'!J:J, 'Data nguồn'!D:D, $B$1, 'Data nguồn'!F:F, $D8, 'Data nguồn'!C:C, E$3)</f>
      </c>
      <c r="F8" s="3">
        <f>SUMIFS('Data nguồn'!J:J, 'Data nguồn'!D:D, $B$1, 'Data nguồn'!F:F, $D8, 'Data nguồn'!C:C, F$3)</f>
      </c>
      <c r="G8" s="3">
        <f>SUMIFS('Data nguồn'!J:J, 'Data nguồn'!D:D, $B$1, 'Data nguồn'!F:F, $D8, 'Data nguồn'!C:C, G$3)</f>
      </c>
      <c r="H8" s="3">
        <f>SUMIFS('Data nguồn'!J:J, 'Data nguồn'!D:D, $B$1, 'Data nguồn'!F:F, $D8, 'Data nguồn'!C:C, H$3)</f>
      </c>
      <c r="I8" s="3">
        <f>SUMIFS('Data nguồn'!J:J, 'Data nguồn'!D:D, $B$1, 'Data nguồn'!F:F, $D8, 'Data nguồn'!C:C, I$3)</f>
      </c>
      <c r="J8" s="3">
        <f>SUMIFS('Data nguồn'!J:J, 'Data nguồn'!D:D, $B$1, 'Data nguồn'!F:F, $D8, 'Data nguồn'!C:C, J$3)</f>
      </c>
      <c r="K8" s="3">
        <f>SUMIFS('Data nguồn'!J:J, 'Data nguồn'!D:D, $B$1, 'Data nguồn'!F:F, $D8, 'Data nguồn'!C:C, K$3)</f>
      </c>
      <c r="L8" s="3">
        <f>SUMIFS('Data nguồn'!J:J, 'Data nguồn'!D:D, $B$1, 'Data nguồn'!F:F, $D8, 'Data nguồn'!C:C, L$3)</f>
      </c>
      <c r="M8" s="3">
        <f>SUMIFS('Data nguồn'!J:J, 'Data nguồn'!D:D, $B$1, 'Data nguồn'!F:F, $D8, 'Data nguồn'!C:C, M$3)</f>
      </c>
      <c r="N8" s="3">
        <f>SUMIFS('Data nguồn'!J:J, 'Data nguồn'!D:D, $B$1, 'Data nguồn'!F:F, $D8, 'Data nguồn'!C:C, N$3)</f>
      </c>
      <c r="O8" s="3">
        <f>SUMIFS('Data nguồn'!J:J, 'Data nguồn'!D:D, $B$1, 'Data nguồn'!F:F, $D8, 'Data nguồn'!C:C, O$3)</f>
      </c>
      <c r="P8" s="3">
        <f>SUMIFS('Data nguồn'!J:J, 'Data nguồn'!D:D, $B$1, 'Data nguồn'!F:F, $D8, 'Data nguồn'!C:C, P$3)</f>
      </c>
      <c r="Q8" s="3">
        <f>SUMIFS('Data nguồn'!J:J, 'Data nguồn'!D:D, $B$1, 'Data nguồn'!F:F, $D8, 'Data nguồn'!C:C, Q$3)</f>
      </c>
      <c r="R8" s="3">
        <f>SUMIFS('Data nguồn'!J:J, 'Data nguồn'!D:D, $B$1, 'Data nguồn'!F:F, $D8, 'Data nguồn'!C:C, R$3)</f>
      </c>
      <c r="S8" s="3">
        <f>SUMIFS('Data nguồn'!J:J, 'Data nguồn'!D:D, $B$1, 'Data nguồn'!F:F, $D8, 'Data nguồn'!C:C, S$3)</f>
      </c>
      <c r="T8" s="3">
        <f>SUMIFS('Data nguồn'!J:J, 'Data nguồn'!D:D, $B$1, 'Data nguồn'!F:F, $D8, 'Data nguồn'!C:C, T$3)</f>
      </c>
      <c r="V8" s="3">
        <f>SUM(E8:P8)</f>
      </c>
      <c r="W8" s="3">
        <f>SUM(Q8:T8)</f>
      </c>
      <c r="X8" s="3">
        <f>AVERAGE(R8:T8)</f>
      </c>
      <c r="Y8" s="3">
        <f>AVERAGE(O8:T8)</f>
      </c>
      <c r="Z8" s="3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4:30" x14ac:dyDescent="0.25">
      <c r="D9" s="2" t="s">
        <v>27</v>
      </c>
      <c r="E9" s="3">
        <f>SUMIFS('Data nguồn'!J:J, 'Data nguồn'!D:D, $B$1, 'Data nguồn'!F:F, $D9, 'Data nguồn'!C:C, E$3)</f>
      </c>
      <c r="F9" s="3">
        <f>SUMIFS('Data nguồn'!J:J, 'Data nguồn'!D:D, $B$1, 'Data nguồn'!F:F, $D9, 'Data nguồn'!C:C, F$3)</f>
      </c>
      <c r="G9" s="3">
        <f>SUMIFS('Data nguồn'!J:J, 'Data nguồn'!D:D, $B$1, 'Data nguồn'!F:F, $D9, 'Data nguồn'!C:C, G$3)</f>
      </c>
      <c r="H9" s="3">
        <f>SUMIFS('Data nguồn'!J:J, 'Data nguồn'!D:D, $B$1, 'Data nguồn'!F:F, $D9, 'Data nguồn'!C:C, H$3)</f>
      </c>
      <c r="I9" s="3">
        <f>SUMIFS('Data nguồn'!J:J, 'Data nguồn'!D:D, $B$1, 'Data nguồn'!F:F, $D9, 'Data nguồn'!C:C, I$3)</f>
      </c>
      <c r="J9" s="3">
        <f>SUMIFS('Data nguồn'!J:J, 'Data nguồn'!D:D, $B$1, 'Data nguồn'!F:F, $D9, 'Data nguồn'!C:C, J$3)</f>
      </c>
      <c r="K9" s="3">
        <f>SUMIFS('Data nguồn'!J:J, 'Data nguồn'!D:D, $B$1, 'Data nguồn'!F:F, $D9, 'Data nguồn'!C:C, K$3)</f>
      </c>
      <c r="L9" s="3">
        <f>SUMIFS('Data nguồn'!J:J, 'Data nguồn'!D:D, $B$1, 'Data nguồn'!F:F, $D9, 'Data nguồn'!C:C, L$3)</f>
      </c>
      <c r="M9" s="3">
        <f>SUMIFS('Data nguồn'!J:J, 'Data nguồn'!D:D, $B$1, 'Data nguồn'!F:F, $D9, 'Data nguồn'!C:C, M$3)</f>
      </c>
      <c r="N9" s="3">
        <f>SUMIFS('Data nguồn'!J:J, 'Data nguồn'!D:D, $B$1, 'Data nguồn'!F:F, $D9, 'Data nguồn'!C:C, N$3)</f>
      </c>
      <c r="O9" s="3">
        <f>SUMIFS('Data nguồn'!J:J, 'Data nguồn'!D:D, $B$1, 'Data nguồn'!F:F, $D9, 'Data nguồn'!C:C, O$3)</f>
      </c>
      <c r="P9" s="3">
        <f>SUMIFS('Data nguồn'!J:J, 'Data nguồn'!D:D, $B$1, 'Data nguồn'!F:F, $D9, 'Data nguồn'!C:C, P$3)</f>
      </c>
      <c r="Q9" s="3">
        <f>SUMIFS('Data nguồn'!J:J, 'Data nguồn'!D:D, $B$1, 'Data nguồn'!F:F, $D9, 'Data nguồn'!C:C, Q$3)</f>
      </c>
      <c r="R9" s="3">
        <f>SUMIFS('Data nguồn'!J:J, 'Data nguồn'!D:D, $B$1, 'Data nguồn'!F:F, $D9, 'Data nguồn'!C:C, R$3)</f>
      </c>
      <c r="S9" s="3">
        <f>SUMIFS('Data nguồn'!J:J, 'Data nguồn'!D:D, $B$1, 'Data nguồn'!F:F, $D9, 'Data nguồn'!C:C, S$3)</f>
      </c>
      <c r="T9" s="3">
        <f>SUMIFS('Data nguồn'!J:J, 'Data nguồn'!D:D, $B$1, 'Data nguồn'!F:F, $D9, 'Data nguồn'!C:C, T$3)</f>
      </c>
      <c r="V9" s="3">
        <f>SUM(E9:P9)</f>
      </c>
      <c r="W9" s="3">
        <f>SUM(Q9:T9)</f>
      </c>
      <c r="X9" s="3">
        <f>AVERAGE(R9:T9)</f>
      </c>
      <c r="Y9" s="3">
        <f>AVERAGE(O9:T9)</f>
      </c>
      <c r="Z9" s="3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4:30" x14ac:dyDescent="0.25">
      <c r="D10" s="2" t="s">
        <v>85</v>
      </c>
      <c r="E10" s="3">
        <f>SUMIFS('Data nguồn'!J:J, 'Data nguồn'!D:D, $B$1, 'Data nguồn'!F:F, $D10, 'Data nguồn'!C:C, E$3)</f>
      </c>
      <c r="F10" s="3">
        <f>SUMIFS('Data nguồn'!J:J, 'Data nguồn'!D:D, $B$1, 'Data nguồn'!F:F, $D10, 'Data nguồn'!C:C, F$3)</f>
      </c>
      <c r="G10" s="3">
        <f>SUMIFS('Data nguồn'!J:J, 'Data nguồn'!D:D, $B$1, 'Data nguồn'!F:F, $D10, 'Data nguồn'!C:C, G$3)</f>
      </c>
      <c r="H10" s="3">
        <f>SUMIFS('Data nguồn'!J:J, 'Data nguồn'!D:D, $B$1, 'Data nguồn'!F:F, $D10, 'Data nguồn'!C:C, H$3)</f>
      </c>
      <c r="I10" s="3">
        <f>SUMIFS('Data nguồn'!J:J, 'Data nguồn'!D:D, $B$1, 'Data nguồn'!F:F, $D10, 'Data nguồn'!C:C, I$3)</f>
      </c>
      <c r="J10" s="3">
        <f>SUMIFS('Data nguồn'!J:J, 'Data nguồn'!D:D, $B$1, 'Data nguồn'!F:F, $D10, 'Data nguồn'!C:C, J$3)</f>
      </c>
      <c r="K10" s="3">
        <f>SUMIFS('Data nguồn'!J:J, 'Data nguồn'!D:D, $B$1, 'Data nguồn'!F:F, $D10, 'Data nguồn'!C:C, K$3)</f>
      </c>
      <c r="L10" s="3">
        <f>SUMIFS('Data nguồn'!J:J, 'Data nguồn'!D:D, $B$1, 'Data nguồn'!F:F, $D10, 'Data nguồn'!C:C, L$3)</f>
      </c>
      <c r="M10" s="3">
        <f>SUMIFS('Data nguồn'!J:J, 'Data nguồn'!D:D, $B$1, 'Data nguồn'!F:F, $D10, 'Data nguồn'!C:C, M$3)</f>
      </c>
      <c r="N10" s="3">
        <f>SUMIFS('Data nguồn'!J:J, 'Data nguồn'!D:D, $B$1, 'Data nguồn'!F:F, $D10, 'Data nguồn'!C:C, N$3)</f>
      </c>
      <c r="O10" s="3">
        <f>SUMIFS('Data nguồn'!J:J, 'Data nguồn'!D:D, $B$1, 'Data nguồn'!F:F, $D10, 'Data nguồn'!C:C, O$3)</f>
      </c>
      <c r="P10" s="3">
        <f>SUMIFS('Data nguồn'!J:J, 'Data nguồn'!D:D, $B$1, 'Data nguồn'!F:F, $D10, 'Data nguồn'!C:C, P$3)</f>
      </c>
      <c r="Q10" s="3">
        <f>SUMIFS('Data nguồn'!J:J, 'Data nguồn'!D:D, $B$1, 'Data nguồn'!F:F, $D10, 'Data nguồn'!C:C, Q$3)</f>
      </c>
      <c r="R10" s="3">
        <f>SUMIFS('Data nguồn'!J:J, 'Data nguồn'!D:D, $B$1, 'Data nguồn'!F:F, $D10, 'Data nguồn'!C:C, R$3)</f>
      </c>
      <c r="S10" s="3">
        <f>SUMIFS('Data nguồn'!J:J, 'Data nguồn'!D:D, $B$1, 'Data nguồn'!F:F, $D10, 'Data nguồn'!C:C, S$3)</f>
      </c>
      <c r="T10" s="3">
        <f>SUMIFS('Data nguồn'!J:J, 'Data nguồn'!D:D, $B$1, 'Data nguồn'!F:F, $D10, 'Data nguồn'!C:C, T$3)</f>
      </c>
      <c r="V10" s="3">
        <f>SUM(E10:P10)</f>
      </c>
      <c r="W10" s="3">
        <f>SUM(Q10:T10)</f>
      </c>
      <c r="X10" s="3">
        <f>AVERAGE(R10:T10)</f>
      </c>
      <c r="Y10" s="3">
        <f>AVERAGE(O10:T10)</f>
      </c>
      <c r="Z10" s="3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4:30" x14ac:dyDescent="0.25">
      <c r="D11" s="2" t="s">
        <v>19</v>
      </c>
      <c r="E11" s="3">
        <f>SUMIFS('Data nguồn'!J:J, 'Data nguồn'!D:D, $B$1, 'Data nguồn'!F:F, $D11, 'Data nguồn'!C:C, E$3)</f>
      </c>
      <c r="F11" s="3">
        <f>SUMIFS('Data nguồn'!J:J, 'Data nguồn'!D:D, $B$1, 'Data nguồn'!F:F, $D11, 'Data nguồn'!C:C, F$3)</f>
      </c>
      <c r="G11" s="3">
        <f>SUMIFS('Data nguồn'!J:J, 'Data nguồn'!D:D, $B$1, 'Data nguồn'!F:F, $D11, 'Data nguồn'!C:C, G$3)</f>
      </c>
      <c r="H11" s="3">
        <f>SUMIFS('Data nguồn'!J:J, 'Data nguồn'!D:D, $B$1, 'Data nguồn'!F:F, $D11, 'Data nguồn'!C:C, H$3)</f>
      </c>
      <c r="I11" s="3">
        <f>SUMIFS('Data nguồn'!J:J, 'Data nguồn'!D:D, $B$1, 'Data nguồn'!F:F, $D11, 'Data nguồn'!C:C, I$3)</f>
      </c>
      <c r="J11" s="3">
        <f>SUMIFS('Data nguồn'!J:J, 'Data nguồn'!D:D, $B$1, 'Data nguồn'!F:F, $D11, 'Data nguồn'!C:C, J$3)</f>
      </c>
      <c r="K11" s="3">
        <f>SUMIFS('Data nguồn'!J:J, 'Data nguồn'!D:D, $B$1, 'Data nguồn'!F:F, $D11, 'Data nguồn'!C:C, K$3)</f>
      </c>
      <c r="L11" s="3">
        <f>SUMIFS('Data nguồn'!J:J, 'Data nguồn'!D:D, $B$1, 'Data nguồn'!F:F, $D11, 'Data nguồn'!C:C, L$3)</f>
      </c>
      <c r="M11" s="3">
        <f>SUMIFS('Data nguồn'!J:J, 'Data nguồn'!D:D, $B$1, 'Data nguồn'!F:F, $D11, 'Data nguồn'!C:C, M$3)</f>
      </c>
      <c r="N11" s="3">
        <f>SUMIFS('Data nguồn'!J:J, 'Data nguồn'!D:D, $B$1, 'Data nguồn'!F:F, $D11, 'Data nguồn'!C:C, N$3)</f>
      </c>
      <c r="O11" s="3">
        <f>SUMIFS('Data nguồn'!J:J, 'Data nguồn'!D:D, $B$1, 'Data nguồn'!F:F, $D11, 'Data nguồn'!C:C, O$3)</f>
      </c>
      <c r="P11" s="3">
        <f>SUMIFS('Data nguồn'!J:J, 'Data nguồn'!D:D, $B$1, 'Data nguồn'!F:F, $D11, 'Data nguồn'!C:C, P$3)</f>
      </c>
      <c r="Q11" s="3">
        <f>SUMIFS('Data nguồn'!J:J, 'Data nguồn'!D:D, $B$1, 'Data nguồn'!F:F, $D11, 'Data nguồn'!C:C, Q$3)</f>
      </c>
      <c r="R11" s="3">
        <f>SUMIFS('Data nguồn'!J:J, 'Data nguồn'!D:D, $B$1, 'Data nguồn'!F:F, $D11, 'Data nguồn'!C:C, R$3)</f>
      </c>
      <c r="S11" s="3">
        <f>SUMIFS('Data nguồn'!J:J, 'Data nguồn'!D:D, $B$1, 'Data nguồn'!F:F, $D11, 'Data nguồn'!C:C, S$3)</f>
      </c>
      <c r="T11" s="3">
        <f>SUMIFS('Data nguồn'!J:J, 'Data nguồn'!D:D, $B$1, 'Data nguồn'!F:F, $D11, 'Data nguồn'!C:C, T$3)</f>
      </c>
      <c r="V11" s="3">
        <f>SUM(E11:P11)</f>
      </c>
      <c r="W11" s="3">
        <f>SUM(Q11:T11)</f>
      </c>
      <c r="X11" s="3">
        <f>AVERAGE(R11:T11)</f>
      </c>
      <c r="Y11" s="3">
        <f>AVERAGE(O11:T11)</f>
      </c>
      <c r="Z11" s="3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4:30" x14ac:dyDescent="0.25">
      <c r="D12" s="2" t="s">
        <v>29</v>
      </c>
      <c r="E12" s="3">
        <f>SUMIFS('Data nguồn'!J:J, 'Data nguồn'!D:D, $B$1, 'Data nguồn'!F:F, $D12, 'Data nguồn'!C:C, E$3)</f>
      </c>
      <c r="F12" s="3">
        <f>SUMIFS('Data nguồn'!J:J, 'Data nguồn'!D:D, $B$1, 'Data nguồn'!F:F, $D12, 'Data nguồn'!C:C, F$3)</f>
      </c>
      <c r="G12" s="3">
        <f>SUMIFS('Data nguồn'!J:J, 'Data nguồn'!D:D, $B$1, 'Data nguồn'!F:F, $D12, 'Data nguồn'!C:C, G$3)</f>
      </c>
      <c r="H12" s="3">
        <f>SUMIFS('Data nguồn'!J:J, 'Data nguồn'!D:D, $B$1, 'Data nguồn'!F:F, $D12, 'Data nguồn'!C:C, H$3)</f>
      </c>
      <c r="I12" s="3">
        <f>SUMIFS('Data nguồn'!J:J, 'Data nguồn'!D:D, $B$1, 'Data nguồn'!F:F, $D12, 'Data nguồn'!C:C, I$3)</f>
      </c>
      <c r="J12" s="3">
        <f>SUMIFS('Data nguồn'!J:J, 'Data nguồn'!D:D, $B$1, 'Data nguồn'!F:F, $D12, 'Data nguồn'!C:C, J$3)</f>
      </c>
      <c r="K12" s="3">
        <f>SUMIFS('Data nguồn'!J:J, 'Data nguồn'!D:D, $B$1, 'Data nguồn'!F:F, $D12, 'Data nguồn'!C:C, K$3)</f>
      </c>
      <c r="L12" s="3">
        <f>SUMIFS('Data nguồn'!J:J, 'Data nguồn'!D:D, $B$1, 'Data nguồn'!F:F, $D12, 'Data nguồn'!C:C, L$3)</f>
      </c>
      <c r="M12" s="3">
        <f>SUMIFS('Data nguồn'!J:J, 'Data nguồn'!D:D, $B$1, 'Data nguồn'!F:F, $D12, 'Data nguồn'!C:C, M$3)</f>
      </c>
      <c r="N12" s="3">
        <f>SUMIFS('Data nguồn'!J:J, 'Data nguồn'!D:D, $B$1, 'Data nguồn'!F:F, $D12, 'Data nguồn'!C:C, N$3)</f>
      </c>
      <c r="O12" s="3">
        <f>SUMIFS('Data nguồn'!J:J, 'Data nguồn'!D:D, $B$1, 'Data nguồn'!F:F, $D12, 'Data nguồn'!C:C, O$3)</f>
      </c>
      <c r="P12" s="3">
        <f>SUMIFS('Data nguồn'!J:J, 'Data nguồn'!D:D, $B$1, 'Data nguồn'!F:F, $D12, 'Data nguồn'!C:C, P$3)</f>
      </c>
      <c r="Q12" s="3">
        <f>SUMIFS('Data nguồn'!J:J, 'Data nguồn'!D:D, $B$1, 'Data nguồn'!F:F, $D12, 'Data nguồn'!C:C, Q$3)</f>
      </c>
      <c r="R12" s="3">
        <f>SUMIFS('Data nguồn'!J:J, 'Data nguồn'!D:D, $B$1, 'Data nguồn'!F:F, $D12, 'Data nguồn'!C:C, R$3)</f>
      </c>
      <c r="S12" s="3">
        <f>SUMIFS('Data nguồn'!J:J, 'Data nguồn'!D:D, $B$1, 'Data nguồn'!F:F, $D12, 'Data nguồn'!C:C, S$3)</f>
      </c>
      <c r="T12" s="3">
        <f>SUMIFS('Data nguồn'!J:J, 'Data nguồn'!D:D, $B$1, 'Data nguồn'!F:F, $D12, 'Data nguồn'!C:C, T$3)</f>
      </c>
      <c r="V12" s="3">
        <f>SUM(E12:P12)</f>
      </c>
      <c r="W12" s="3">
        <f>SUM(Q12:T12)</f>
      </c>
      <c r="X12" s="3">
        <f>AVERAGE(R12:T12)</f>
      </c>
      <c r="Y12" s="3">
        <f>AVERAGE(O12:T12)</f>
      </c>
      <c r="Z12" s="3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4:30" x14ac:dyDescent="0.25">
      <c r="D13" s="2" t="s">
        <v>63</v>
      </c>
      <c r="E13" s="3">
        <f>SUMIFS('Data nguồn'!J:J, 'Data nguồn'!D:D, $B$1, 'Data nguồn'!F:F, $D13, 'Data nguồn'!C:C, E$3)</f>
      </c>
      <c r="F13" s="3">
        <f>SUMIFS('Data nguồn'!J:J, 'Data nguồn'!D:D, $B$1, 'Data nguồn'!F:F, $D13, 'Data nguồn'!C:C, F$3)</f>
      </c>
      <c r="G13" s="3">
        <f>SUMIFS('Data nguồn'!J:J, 'Data nguồn'!D:D, $B$1, 'Data nguồn'!F:F, $D13, 'Data nguồn'!C:C, G$3)</f>
      </c>
      <c r="H13" s="3">
        <f>SUMIFS('Data nguồn'!J:J, 'Data nguồn'!D:D, $B$1, 'Data nguồn'!F:F, $D13, 'Data nguồn'!C:C, H$3)</f>
      </c>
      <c r="I13" s="3">
        <f>SUMIFS('Data nguồn'!J:J, 'Data nguồn'!D:D, $B$1, 'Data nguồn'!F:F, $D13, 'Data nguồn'!C:C, I$3)</f>
      </c>
      <c r="J13" s="3">
        <f>SUMIFS('Data nguồn'!J:J, 'Data nguồn'!D:D, $B$1, 'Data nguồn'!F:F, $D13, 'Data nguồn'!C:C, J$3)</f>
      </c>
      <c r="K13" s="3">
        <f>SUMIFS('Data nguồn'!J:J, 'Data nguồn'!D:D, $B$1, 'Data nguồn'!F:F, $D13, 'Data nguồn'!C:C, K$3)</f>
      </c>
      <c r="L13" s="3">
        <f>SUMIFS('Data nguồn'!J:J, 'Data nguồn'!D:D, $B$1, 'Data nguồn'!F:F, $D13, 'Data nguồn'!C:C, L$3)</f>
      </c>
      <c r="M13" s="3">
        <f>SUMIFS('Data nguồn'!J:J, 'Data nguồn'!D:D, $B$1, 'Data nguồn'!F:F, $D13, 'Data nguồn'!C:C, M$3)</f>
      </c>
      <c r="N13" s="3">
        <f>SUMIFS('Data nguồn'!J:J, 'Data nguồn'!D:D, $B$1, 'Data nguồn'!F:F, $D13, 'Data nguồn'!C:C, N$3)</f>
      </c>
      <c r="O13" s="3">
        <f>SUMIFS('Data nguồn'!J:J, 'Data nguồn'!D:D, $B$1, 'Data nguồn'!F:F, $D13, 'Data nguồn'!C:C, O$3)</f>
      </c>
      <c r="P13" s="3">
        <f>SUMIFS('Data nguồn'!J:J, 'Data nguồn'!D:D, $B$1, 'Data nguồn'!F:F, $D13, 'Data nguồn'!C:C, P$3)</f>
      </c>
      <c r="Q13" s="3">
        <f>SUMIFS('Data nguồn'!J:J, 'Data nguồn'!D:D, $B$1, 'Data nguồn'!F:F, $D13, 'Data nguồn'!C:C, Q$3)</f>
      </c>
      <c r="R13" s="3">
        <f>SUMIFS('Data nguồn'!J:J, 'Data nguồn'!D:D, $B$1, 'Data nguồn'!F:F, $D13, 'Data nguồn'!C:C, R$3)</f>
      </c>
      <c r="S13" s="3">
        <f>SUMIFS('Data nguồn'!J:J, 'Data nguồn'!D:D, $B$1, 'Data nguồn'!F:F, $D13, 'Data nguồn'!C:C, S$3)</f>
      </c>
      <c r="T13" s="3">
        <f>SUMIFS('Data nguồn'!J:J, 'Data nguồn'!D:D, $B$1, 'Data nguồn'!F:F, $D13, 'Data nguồn'!C:C, T$3)</f>
      </c>
      <c r="V13" s="3">
        <f>SUM(E13:P13)</f>
      </c>
      <c r="W13" s="3">
        <f>SUM(Q13:T13)</f>
      </c>
      <c r="X13" s="3">
        <f>AVERAGE(R13:T13)</f>
      </c>
      <c r="Y13" s="3">
        <f>AVERAGE(O13:T13)</f>
      </c>
      <c r="Z13" s="3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4:30" x14ac:dyDescent="0.25">
      <c r="D14" s="2" t="s">
        <v>23</v>
      </c>
      <c r="E14" s="3">
        <f>SUMIFS('Data nguồn'!J:J, 'Data nguồn'!D:D, $B$1, 'Data nguồn'!F:F, $D14, 'Data nguồn'!C:C, E$3)</f>
      </c>
      <c r="F14" s="3">
        <f>SUMIFS('Data nguồn'!J:J, 'Data nguồn'!D:D, $B$1, 'Data nguồn'!F:F, $D14, 'Data nguồn'!C:C, F$3)</f>
      </c>
      <c r="G14" s="3">
        <f>SUMIFS('Data nguồn'!J:J, 'Data nguồn'!D:D, $B$1, 'Data nguồn'!F:F, $D14, 'Data nguồn'!C:C, G$3)</f>
      </c>
      <c r="H14" s="3">
        <f>SUMIFS('Data nguồn'!J:J, 'Data nguồn'!D:D, $B$1, 'Data nguồn'!F:F, $D14, 'Data nguồn'!C:C, H$3)</f>
      </c>
      <c r="I14" s="3">
        <f>SUMIFS('Data nguồn'!J:J, 'Data nguồn'!D:D, $B$1, 'Data nguồn'!F:F, $D14, 'Data nguồn'!C:C, I$3)</f>
      </c>
      <c r="J14" s="3">
        <f>SUMIFS('Data nguồn'!J:J, 'Data nguồn'!D:D, $B$1, 'Data nguồn'!F:F, $D14, 'Data nguồn'!C:C, J$3)</f>
      </c>
      <c r="K14" s="3">
        <f>SUMIFS('Data nguồn'!J:J, 'Data nguồn'!D:D, $B$1, 'Data nguồn'!F:F, $D14, 'Data nguồn'!C:C, K$3)</f>
      </c>
      <c r="L14" s="3">
        <f>SUMIFS('Data nguồn'!J:J, 'Data nguồn'!D:D, $B$1, 'Data nguồn'!F:F, $D14, 'Data nguồn'!C:C, L$3)</f>
      </c>
      <c r="M14" s="3">
        <f>SUMIFS('Data nguồn'!J:J, 'Data nguồn'!D:D, $B$1, 'Data nguồn'!F:F, $D14, 'Data nguồn'!C:C, M$3)</f>
      </c>
      <c r="N14" s="3">
        <f>SUMIFS('Data nguồn'!J:J, 'Data nguồn'!D:D, $B$1, 'Data nguồn'!F:F, $D14, 'Data nguồn'!C:C, N$3)</f>
      </c>
      <c r="O14" s="3">
        <f>SUMIFS('Data nguồn'!J:J, 'Data nguồn'!D:D, $B$1, 'Data nguồn'!F:F, $D14, 'Data nguồn'!C:C, O$3)</f>
      </c>
      <c r="P14" s="3">
        <f>SUMIFS('Data nguồn'!J:J, 'Data nguồn'!D:D, $B$1, 'Data nguồn'!F:F, $D14, 'Data nguồn'!C:C, P$3)</f>
      </c>
      <c r="Q14" s="3">
        <f>SUMIFS('Data nguồn'!J:J, 'Data nguồn'!D:D, $B$1, 'Data nguồn'!F:F, $D14, 'Data nguồn'!C:C, Q$3)</f>
      </c>
      <c r="R14" s="3">
        <f>SUMIFS('Data nguồn'!J:J, 'Data nguồn'!D:D, $B$1, 'Data nguồn'!F:F, $D14, 'Data nguồn'!C:C, R$3)</f>
      </c>
      <c r="S14" s="3">
        <f>SUMIFS('Data nguồn'!J:J, 'Data nguồn'!D:D, $B$1, 'Data nguồn'!F:F, $D14, 'Data nguồn'!C:C, S$3)</f>
      </c>
      <c r="T14" s="3">
        <f>SUMIFS('Data nguồn'!J:J, 'Data nguồn'!D:D, $B$1, 'Data nguồn'!F:F, $D14, 'Data nguồn'!C:C, T$3)</f>
      </c>
      <c r="V14" s="3">
        <f>SUM(E14:P14)</f>
      </c>
      <c r="W14" s="3">
        <f>SUM(Q14:T14)</f>
      </c>
      <c r="X14" s="3">
        <f>AVERAGE(R14:T14)</f>
      </c>
      <c r="Y14" s="3">
        <f>AVERAGE(O14:T14)</f>
      </c>
      <c r="Z14" s="3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4:30" x14ac:dyDescent="0.25">
      <c r="D15" s="2" t="s">
        <v>91</v>
      </c>
      <c r="E15" s="3">
        <f>SUMIFS('Data nguồn'!J:J, 'Data nguồn'!D:D, $B$1, 'Data nguồn'!F:F, $D15, 'Data nguồn'!C:C, E$3)</f>
      </c>
      <c r="F15" s="3">
        <f>SUMIFS('Data nguồn'!J:J, 'Data nguồn'!D:D, $B$1, 'Data nguồn'!F:F, $D15, 'Data nguồn'!C:C, F$3)</f>
      </c>
      <c r="G15" s="3">
        <f>SUMIFS('Data nguồn'!J:J, 'Data nguồn'!D:D, $B$1, 'Data nguồn'!F:F, $D15, 'Data nguồn'!C:C, G$3)</f>
      </c>
      <c r="H15" s="3">
        <f>SUMIFS('Data nguồn'!J:J, 'Data nguồn'!D:D, $B$1, 'Data nguồn'!F:F, $D15, 'Data nguồn'!C:C, H$3)</f>
      </c>
      <c r="I15" s="3">
        <f>SUMIFS('Data nguồn'!J:J, 'Data nguồn'!D:D, $B$1, 'Data nguồn'!F:F, $D15, 'Data nguồn'!C:C, I$3)</f>
      </c>
      <c r="J15" s="3">
        <f>SUMIFS('Data nguồn'!J:J, 'Data nguồn'!D:D, $B$1, 'Data nguồn'!F:F, $D15, 'Data nguồn'!C:C, J$3)</f>
      </c>
      <c r="K15" s="3">
        <f>SUMIFS('Data nguồn'!J:J, 'Data nguồn'!D:D, $B$1, 'Data nguồn'!F:F, $D15, 'Data nguồn'!C:C, K$3)</f>
      </c>
      <c r="L15" s="3">
        <f>SUMIFS('Data nguồn'!J:J, 'Data nguồn'!D:D, $B$1, 'Data nguồn'!F:F, $D15, 'Data nguồn'!C:C, L$3)</f>
      </c>
      <c r="M15" s="3">
        <f>SUMIFS('Data nguồn'!J:J, 'Data nguồn'!D:D, $B$1, 'Data nguồn'!F:F, $D15, 'Data nguồn'!C:C, M$3)</f>
      </c>
      <c r="N15" s="3">
        <f>SUMIFS('Data nguồn'!J:J, 'Data nguồn'!D:D, $B$1, 'Data nguồn'!F:F, $D15, 'Data nguồn'!C:C, N$3)</f>
      </c>
      <c r="O15" s="3">
        <f>SUMIFS('Data nguồn'!J:J, 'Data nguồn'!D:D, $B$1, 'Data nguồn'!F:F, $D15, 'Data nguồn'!C:C, O$3)</f>
      </c>
      <c r="P15" s="3">
        <f>SUMIFS('Data nguồn'!J:J, 'Data nguồn'!D:D, $B$1, 'Data nguồn'!F:F, $D15, 'Data nguồn'!C:C, P$3)</f>
      </c>
      <c r="Q15" s="3">
        <f>SUMIFS('Data nguồn'!J:J, 'Data nguồn'!D:D, $B$1, 'Data nguồn'!F:F, $D15, 'Data nguồn'!C:C, Q$3)</f>
      </c>
      <c r="R15" s="3">
        <f>SUMIFS('Data nguồn'!J:J, 'Data nguồn'!D:D, $B$1, 'Data nguồn'!F:F, $D15, 'Data nguồn'!C:C, R$3)</f>
      </c>
      <c r="S15" s="3">
        <f>SUMIFS('Data nguồn'!J:J, 'Data nguồn'!D:D, $B$1, 'Data nguồn'!F:F, $D15, 'Data nguồn'!C:C, S$3)</f>
      </c>
      <c r="T15" s="3">
        <f>SUMIFS('Data nguồn'!J:J, 'Data nguồn'!D:D, $B$1, 'Data nguồn'!F:F, $D15, 'Data nguồn'!C:C, T$3)</f>
      </c>
      <c r="V15" s="3">
        <f>SUM(E15:P15)</f>
      </c>
      <c r="W15" s="3">
        <f>SUM(Q15:T15)</f>
      </c>
      <c r="X15" s="3">
        <f>AVERAGE(R15:T15)</f>
      </c>
      <c r="Y15" s="3">
        <f>AVERAGE(O15:T15)</f>
      </c>
      <c r="Z15" s="3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4:30" x14ac:dyDescent="0.25">
      <c r="D16" s="2" t="s">
        <v>51</v>
      </c>
      <c r="E16" s="3">
        <f>SUMIFS('Data nguồn'!J:J, 'Data nguồn'!D:D, $B$1, 'Data nguồn'!F:F, $D16, 'Data nguồn'!C:C, E$3)</f>
      </c>
      <c r="F16" s="3">
        <f>SUMIFS('Data nguồn'!J:J, 'Data nguồn'!D:D, $B$1, 'Data nguồn'!F:F, $D16, 'Data nguồn'!C:C, F$3)</f>
      </c>
      <c r="G16" s="3">
        <f>SUMIFS('Data nguồn'!J:J, 'Data nguồn'!D:D, $B$1, 'Data nguồn'!F:F, $D16, 'Data nguồn'!C:C, G$3)</f>
      </c>
      <c r="H16" s="3">
        <f>SUMIFS('Data nguồn'!J:J, 'Data nguồn'!D:D, $B$1, 'Data nguồn'!F:F, $D16, 'Data nguồn'!C:C, H$3)</f>
      </c>
      <c r="I16" s="3">
        <f>SUMIFS('Data nguồn'!J:J, 'Data nguồn'!D:D, $B$1, 'Data nguồn'!F:F, $D16, 'Data nguồn'!C:C, I$3)</f>
      </c>
      <c r="J16" s="3">
        <f>SUMIFS('Data nguồn'!J:J, 'Data nguồn'!D:D, $B$1, 'Data nguồn'!F:F, $D16, 'Data nguồn'!C:C, J$3)</f>
      </c>
      <c r="K16" s="3">
        <f>SUMIFS('Data nguồn'!J:J, 'Data nguồn'!D:D, $B$1, 'Data nguồn'!F:F, $D16, 'Data nguồn'!C:C, K$3)</f>
      </c>
      <c r="L16" s="3">
        <f>SUMIFS('Data nguồn'!J:J, 'Data nguồn'!D:D, $B$1, 'Data nguồn'!F:F, $D16, 'Data nguồn'!C:C, L$3)</f>
      </c>
      <c r="M16" s="3">
        <f>SUMIFS('Data nguồn'!J:J, 'Data nguồn'!D:D, $B$1, 'Data nguồn'!F:F, $D16, 'Data nguồn'!C:C, M$3)</f>
      </c>
      <c r="N16" s="3">
        <f>SUMIFS('Data nguồn'!J:J, 'Data nguồn'!D:D, $B$1, 'Data nguồn'!F:F, $D16, 'Data nguồn'!C:C, N$3)</f>
      </c>
      <c r="O16" s="3">
        <f>SUMIFS('Data nguồn'!J:J, 'Data nguồn'!D:D, $B$1, 'Data nguồn'!F:F, $D16, 'Data nguồn'!C:C, O$3)</f>
      </c>
      <c r="P16" s="3">
        <f>SUMIFS('Data nguồn'!J:J, 'Data nguồn'!D:D, $B$1, 'Data nguồn'!F:F, $D16, 'Data nguồn'!C:C, P$3)</f>
      </c>
      <c r="Q16" s="3">
        <f>SUMIFS('Data nguồn'!J:J, 'Data nguồn'!D:D, $B$1, 'Data nguồn'!F:F, $D16, 'Data nguồn'!C:C, Q$3)</f>
      </c>
      <c r="R16" s="3">
        <f>SUMIFS('Data nguồn'!J:J, 'Data nguồn'!D:D, $B$1, 'Data nguồn'!F:F, $D16, 'Data nguồn'!C:C, R$3)</f>
      </c>
      <c r="S16" s="3">
        <f>SUMIFS('Data nguồn'!J:J, 'Data nguồn'!D:D, $B$1, 'Data nguồn'!F:F, $D16, 'Data nguồn'!C:C, S$3)</f>
      </c>
      <c r="T16" s="3">
        <f>SUMIFS('Data nguồn'!J:J, 'Data nguồn'!D:D, $B$1, 'Data nguồn'!F:F, $D16, 'Data nguồn'!C:C, T$3)</f>
      </c>
      <c r="V16" s="3">
        <f>SUM(E16:P16)</f>
      </c>
      <c r="W16" s="3">
        <f>SUM(Q16:T16)</f>
      </c>
      <c r="X16" s="3">
        <f>AVERAGE(R16:T16)</f>
      </c>
      <c r="Y16" s="3">
        <f>AVERAGE(O16:T16)</f>
      </c>
      <c r="Z16" s="3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4:30" x14ac:dyDescent="0.25">
      <c r="D17" s="2" t="s">
        <v>35</v>
      </c>
      <c r="E17" s="3">
        <f>SUMIFS('Data nguồn'!J:J, 'Data nguồn'!D:D, $B$1, 'Data nguồn'!F:F, $D17, 'Data nguồn'!C:C, E$3)</f>
      </c>
      <c r="F17" s="3">
        <f>SUMIFS('Data nguồn'!J:J, 'Data nguồn'!D:D, $B$1, 'Data nguồn'!F:F, $D17, 'Data nguồn'!C:C, F$3)</f>
      </c>
      <c r="G17" s="3">
        <f>SUMIFS('Data nguồn'!J:J, 'Data nguồn'!D:D, $B$1, 'Data nguồn'!F:F, $D17, 'Data nguồn'!C:C, G$3)</f>
      </c>
      <c r="H17" s="3">
        <f>SUMIFS('Data nguồn'!J:J, 'Data nguồn'!D:D, $B$1, 'Data nguồn'!F:F, $D17, 'Data nguồn'!C:C, H$3)</f>
      </c>
      <c r="I17" s="3">
        <f>SUMIFS('Data nguồn'!J:J, 'Data nguồn'!D:D, $B$1, 'Data nguồn'!F:F, $D17, 'Data nguồn'!C:C, I$3)</f>
      </c>
      <c r="J17" s="3">
        <f>SUMIFS('Data nguồn'!J:J, 'Data nguồn'!D:D, $B$1, 'Data nguồn'!F:F, $D17, 'Data nguồn'!C:C, J$3)</f>
      </c>
      <c r="K17" s="3">
        <f>SUMIFS('Data nguồn'!J:J, 'Data nguồn'!D:D, $B$1, 'Data nguồn'!F:F, $D17, 'Data nguồn'!C:C, K$3)</f>
      </c>
      <c r="L17" s="3">
        <f>SUMIFS('Data nguồn'!J:J, 'Data nguồn'!D:D, $B$1, 'Data nguồn'!F:F, $D17, 'Data nguồn'!C:C, L$3)</f>
      </c>
      <c r="M17" s="3">
        <f>SUMIFS('Data nguồn'!J:J, 'Data nguồn'!D:D, $B$1, 'Data nguồn'!F:F, $D17, 'Data nguồn'!C:C, M$3)</f>
      </c>
      <c r="N17" s="3">
        <f>SUMIFS('Data nguồn'!J:J, 'Data nguồn'!D:D, $B$1, 'Data nguồn'!F:F, $D17, 'Data nguồn'!C:C, N$3)</f>
      </c>
      <c r="O17" s="3">
        <f>SUMIFS('Data nguồn'!J:J, 'Data nguồn'!D:D, $B$1, 'Data nguồn'!F:F, $D17, 'Data nguồn'!C:C, O$3)</f>
      </c>
      <c r="P17" s="3">
        <f>SUMIFS('Data nguồn'!J:J, 'Data nguồn'!D:D, $B$1, 'Data nguồn'!F:F, $D17, 'Data nguồn'!C:C, P$3)</f>
      </c>
      <c r="Q17" s="3">
        <f>SUMIFS('Data nguồn'!J:J, 'Data nguồn'!D:D, $B$1, 'Data nguồn'!F:F, $D17, 'Data nguồn'!C:C, Q$3)</f>
      </c>
      <c r="R17" s="3">
        <f>SUMIFS('Data nguồn'!J:J, 'Data nguồn'!D:D, $B$1, 'Data nguồn'!F:F, $D17, 'Data nguồn'!C:C, R$3)</f>
      </c>
      <c r="S17" s="3">
        <f>SUMIFS('Data nguồn'!J:J, 'Data nguồn'!D:D, $B$1, 'Data nguồn'!F:F, $D17, 'Data nguồn'!C:C, S$3)</f>
      </c>
      <c r="T17" s="3">
        <f>SUMIFS('Data nguồn'!J:J, 'Data nguồn'!D:D, $B$1, 'Data nguồn'!F:F, $D17, 'Data nguồn'!C:C, T$3)</f>
      </c>
      <c r="V17" s="3">
        <f>SUM(E17:P17)</f>
      </c>
      <c r="W17" s="3">
        <f>SUM(Q17:T17)</f>
      </c>
      <c r="X17" s="3">
        <f>AVERAGE(R17:T17)</f>
      </c>
      <c r="Y17" s="3">
        <f>AVERAGE(O17:T17)</f>
      </c>
      <c r="Z17" s="3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4:30" x14ac:dyDescent="0.25">
      <c r="D18" s="2" t="s">
        <v>61</v>
      </c>
      <c r="E18" s="3">
        <f>SUMIFS('Data nguồn'!J:J, 'Data nguồn'!D:D, $B$1, 'Data nguồn'!F:F, $D18, 'Data nguồn'!C:C, E$3)</f>
      </c>
      <c r="F18" s="3">
        <f>SUMIFS('Data nguồn'!J:J, 'Data nguồn'!D:D, $B$1, 'Data nguồn'!F:F, $D18, 'Data nguồn'!C:C, F$3)</f>
      </c>
      <c r="G18" s="3">
        <f>SUMIFS('Data nguồn'!J:J, 'Data nguồn'!D:D, $B$1, 'Data nguồn'!F:F, $D18, 'Data nguồn'!C:C, G$3)</f>
      </c>
      <c r="H18" s="3">
        <f>SUMIFS('Data nguồn'!J:J, 'Data nguồn'!D:D, $B$1, 'Data nguồn'!F:F, $D18, 'Data nguồn'!C:C, H$3)</f>
      </c>
      <c r="I18" s="3">
        <f>SUMIFS('Data nguồn'!J:J, 'Data nguồn'!D:D, $B$1, 'Data nguồn'!F:F, $D18, 'Data nguồn'!C:C, I$3)</f>
      </c>
      <c r="J18" s="3">
        <f>SUMIFS('Data nguồn'!J:J, 'Data nguồn'!D:D, $B$1, 'Data nguồn'!F:F, $D18, 'Data nguồn'!C:C, J$3)</f>
      </c>
      <c r="K18" s="3">
        <f>SUMIFS('Data nguồn'!J:J, 'Data nguồn'!D:D, $B$1, 'Data nguồn'!F:F, $D18, 'Data nguồn'!C:C, K$3)</f>
      </c>
      <c r="L18" s="3">
        <f>SUMIFS('Data nguồn'!J:J, 'Data nguồn'!D:D, $B$1, 'Data nguồn'!F:F, $D18, 'Data nguồn'!C:C, L$3)</f>
      </c>
      <c r="M18" s="3">
        <f>SUMIFS('Data nguồn'!J:J, 'Data nguồn'!D:D, $B$1, 'Data nguồn'!F:F, $D18, 'Data nguồn'!C:C, M$3)</f>
      </c>
      <c r="N18" s="3">
        <f>SUMIFS('Data nguồn'!J:J, 'Data nguồn'!D:D, $B$1, 'Data nguồn'!F:F, $D18, 'Data nguồn'!C:C, N$3)</f>
      </c>
      <c r="O18" s="3">
        <f>SUMIFS('Data nguồn'!J:J, 'Data nguồn'!D:D, $B$1, 'Data nguồn'!F:F, $D18, 'Data nguồn'!C:C, O$3)</f>
      </c>
      <c r="P18" s="3">
        <f>SUMIFS('Data nguồn'!J:J, 'Data nguồn'!D:D, $B$1, 'Data nguồn'!F:F, $D18, 'Data nguồn'!C:C, P$3)</f>
      </c>
      <c r="Q18" s="3">
        <f>SUMIFS('Data nguồn'!J:J, 'Data nguồn'!D:D, $B$1, 'Data nguồn'!F:F, $D18, 'Data nguồn'!C:C, Q$3)</f>
      </c>
      <c r="R18" s="3">
        <f>SUMIFS('Data nguồn'!J:J, 'Data nguồn'!D:D, $B$1, 'Data nguồn'!F:F, $D18, 'Data nguồn'!C:C, R$3)</f>
      </c>
      <c r="S18" s="3">
        <f>SUMIFS('Data nguồn'!J:J, 'Data nguồn'!D:D, $B$1, 'Data nguồn'!F:F, $D18, 'Data nguồn'!C:C, S$3)</f>
      </c>
      <c r="T18" s="3">
        <f>SUMIFS('Data nguồn'!J:J, 'Data nguồn'!D:D, $B$1, 'Data nguồn'!F:F, $D18, 'Data nguồn'!C:C, T$3)</f>
      </c>
      <c r="V18" s="3">
        <f>SUM(E18:P18)</f>
      </c>
      <c r="W18" s="3">
        <f>SUM(Q18:T18)</f>
      </c>
      <c r="X18" s="3">
        <f>AVERAGE(R18:T18)</f>
      </c>
      <c r="Y18" s="3">
        <f>AVERAGE(O18:T18)</f>
      </c>
      <c r="Z18" s="3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4:30" x14ac:dyDescent="0.25">
      <c r="D19" s="2" t="s">
        <v>21</v>
      </c>
      <c r="E19" s="3">
        <f>SUMIFS('Data nguồn'!J:J, 'Data nguồn'!D:D, $B$1, 'Data nguồn'!F:F, $D19, 'Data nguồn'!C:C, E$3)</f>
      </c>
      <c r="F19" s="3">
        <f>SUMIFS('Data nguồn'!J:J, 'Data nguồn'!D:D, $B$1, 'Data nguồn'!F:F, $D19, 'Data nguồn'!C:C, F$3)</f>
      </c>
      <c r="G19" s="3">
        <f>SUMIFS('Data nguồn'!J:J, 'Data nguồn'!D:D, $B$1, 'Data nguồn'!F:F, $D19, 'Data nguồn'!C:C, G$3)</f>
      </c>
      <c r="H19" s="3">
        <f>SUMIFS('Data nguồn'!J:J, 'Data nguồn'!D:D, $B$1, 'Data nguồn'!F:F, $D19, 'Data nguồn'!C:C, H$3)</f>
      </c>
      <c r="I19" s="3">
        <f>SUMIFS('Data nguồn'!J:J, 'Data nguồn'!D:D, $B$1, 'Data nguồn'!F:F, $D19, 'Data nguồn'!C:C, I$3)</f>
      </c>
      <c r="J19" s="3">
        <f>SUMIFS('Data nguồn'!J:J, 'Data nguồn'!D:D, $B$1, 'Data nguồn'!F:F, $D19, 'Data nguồn'!C:C, J$3)</f>
      </c>
      <c r="K19" s="3">
        <f>SUMIFS('Data nguồn'!J:J, 'Data nguồn'!D:D, $B$1, 'Data nguồn'!F:F, $D19, 'Data nguồn'!C:C, K$3)</f>
      </c>
      <c r="L19" s="3">
        <f>SUMIFS('Data nguồn'!J:J, 'Data nguồn'!D:D, $B$1, 'Data nguồn'!F:F, $D19, 'Data nguồn'!C:C, L$3)</f>
      </c>
      <c r="M19" s="3">
        <f>SUMIFS('Data nguồn'!J:J, 'Data nguồn'!D:D, $B$1, 'Data nguồn'!F:F, $D19, 'Data nguồn'!C:C, M$3)</f>
      </c>
      <c r="N19" s="3">
        <f>SUMIFS('Data nguồn'!J:J, 'Data nguồn'!D:D, $B$1, 'Data nguồn'!F:F, $D19, 'Data nguồn'!C:C, N$3)</f>
      </c>
      <c r="O19" s="3">
        <f>SUMIFS('Data nguồn'!J:J, 'Data nguồn'!D:D, $B$1, 'Data nguồn'!F:F, $D19, 'Data nguồn'!C:C, O$3)</f>
      </c>
      <c r="P19" s="3">
        <f>SUMIFS('Data nguồn'!J:J, 'Data nguồn'!D:D, $B$1, 'Data nguồn'!F:F, $D19, 'Data nguồn'!C:C, P$3)</f>
      </c>
      <c r="Q19" s="3">
        <f>SUMIFS('Data nguồn'!J:J, 'Data nguồn'!D:D, $B$1, 'Data nguồn'!F:F, $D19, 'Data nguồn'!C:C, Q$3)</f>
      </c>
      <c r="R19" s="3">
        <f>SUMIFS('Data nguồn'!J:J, 'Data nguồn'!D:D, $B$1, 'Data nguồn'!F:F, $D19, 'Data nguồn'!C:C, R$3)</f>
      </c>
      <c r="S19" s="3">
        <f>SUMIFS('Data nguồn'!J:J, 'Data nguồn'!D:D, $B$1, 'Data nguồn'!F:F, $D19, 'Data nguồn'!C:C, S$3)</f>
      </c>
      <c r="T19" s="3">
        <f>SUMIFS('Data nguồn'!J:J, 'Data nguồn'!D:D, $B$1, 'Data nguồn'!F:F, $D19, 'Data nguồn'!C:C, T$3)</f>
      </c>
      <c r="V19" s="3">
        <f>SUM(E19:P19)</f>
      </c>
      <c r="W19" s="3">
        <f>SUM(Q19:T19)</f>
      </c>
      <c r="X19" s="3">
        <f>AVERAGE(R19:T19)</f>
      </c>
      <c r="Y19" s="3">
        <f>AVERAGE(O19:T19)</f>
      </c>
      <c r="Z19" s="3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4:30" x14ac:dyDescent="0.25">
      <c r="D20" s="2" t="s">
        <v>83</v>
      </c>
      <c r="E20" s="3">
        <f>SUMIFS('Data nguồn'!J:J, 'Data nguồn'!D:D, $B$1, 'Data nguồn'!F:F, $D20, 'Data nguồn'!C:C, E$3)</f>
      </c>
      <c r="F20" s="3">
        <f>SUMIFS('Data nguồn'!J:J, 'Data nguồn'!D:D, $B$1, 'Data nguồn'!F:F, $D20, 'Data nguồn'!C:C, F$3)</f>
      </c>
      <c r="G20" s="3">
        <f>SUMIFS('Data nguồn'!J:J, 'Data nguồn'!D:D, $B$1, 'Data nguồn'!F:F, $D20, 'Data nguồn'!C:C, G$3)</f>
      </c>
      <c r="H20" s="3">
        <f>SUMIFS('Data nguồn'!J:J, 'Data nguồn'!D:D, $B$1, 'Data nguồn'!F:F, $D20, 'Data nguồn'!C:C, H$3)</f>
      </c>
      <c r="I20" s="3">
        <f>SUMIFS('Data nguồn'!J:J, 'Data nguồn'!D:D, $B$1, 'Data nguồn'!F:F, $D20, 'Data nguồn'!C:C, I$3)</f>
      </c>
      <c r="J20" s="3">
        <f>SUMIFS('Data nguồn'!J:J, 'Data nguồn'!D:D, $B$1, 'Data nguồn'!F:F, $D20, 'Data nguồn'!C:C, J$3)</f>
      </c>
      <c r="K20" s="3">
        <f>SUMIFS('Data nguồn'!J:J, 'Data nguồn'!D:D, $B$1, 'Data nguồn'!F:F, $D20, 'Data nguồn'!C:C, K$3)</f>
      </c>
      <c r="L20" s="3">
        <f>SUMIFS('Data nguồn'!J:J, 'Data nguồn'!D:D, $B$1, 'Data nguồn'!F:F, $D20, 'Data nguồn'!C:C, L$3)</f>
      </c>
      <c r="M20" s="3">
        <f>SUMIFS('Data nguồn'!J:J, 'Data nguồn'!D:D, $B$1, 'Data nguồn'!F:F, $D20, 'Data nguồn'!C:C, M$3)</f>
      </c>
      <c r="N20" s="3">
        <f>SUMIFS('Data nguồn'!J:J, 'Data nguồn'!D:D, $B$1, 'Data nguồn'!F:F, $D20, 'Data nguồn'!C:C, N$3)</f>
      </c>
      <c r="O20" s="3">
        <f>SUMIFS('Data nguồn'!J:J, 'Data nguồn'!D:D, $B$1, 'Data nguồn'!F:F, $D20, 'Data nguồn'!C:C, O$3)</f>
      </c>
      <c r="P20" s="3">
        <f>SUMIFS('Data nguồn'!J:J, 'Data nguồn'!D:D, $B$1, 'Data nguồn'!F:F, $D20, 'Data nguồn'!C:C, P$3)</f>
      </c>
      <c r="Q20" s="3">
        <f>SUMIFS('Data nguồn'!J:J, 'Data nguồn'!D:D, $B$1, 'Data nguồn'!F:F, $D20, 'Data nguồn'!C:C, Q$3)</f>
      </c>
      <c r="R20" s="3">
        <f>SUMIFS('Data nguồn'!J:J, 'Data nguồn'!D:D, $B$1, 'Data nguồn'!F:F, $D20, 'Data nguồn'!C:C, R$3)</f>
      </c>
      <c r="S20" s="3">
        <f>SUMIFS('Data nguồn'!J:J, 'Data nguồn'!D:D, $B$1, 'Data nguồn'!F:F, $D20, 'Data nguồn'!C:C, S$3)</f>
      </c>
      <c r="T20" s="3">
        <f>SUMIFS('Data nguồn'!J:J, 'Data nguồn'!D:D, $B$1, 'Data nguồn'!F:F, $D20, 'Data nguồn'!C:C, T$3)</f>
      </c>
      <c r="V20" s="3">
        <f>SUM(E20:P20)</f>
      </c>
      <c r="W20" s="3">
        <f>SUM(Q20:T20)</f>
      </c>
      <c r="X20" s="3">
        <f>AVERAGE(R20:T20)</f>
      </c>
      <c r="Y20" s="3">
        <f>AVERAGE(O20:T20)</f>
      </c>
      <c r="Z20" s="3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4:30" x14ac:dyDescent="0.25">
      <c r="D21" s="2" t="s">
        <v>73</v>
      </c>
      <c r="E21" s="3">
        <f>SUMIFS('Data nguồn'!J:J, 'Data nguồn'!D:D, $B$1, 'Data nguồn'!F:F, $D21, 'Data nguồn'!C:C, E$3)</f>
      </c>
      <c r="F21" s="3">
        <f>SUMIFS('Data nguồn'!J:J, 'Data nguồn'!D:D, $B$1, 'Data nguồn'!F:F, $D21, 'Data nguồn'!C:C, F$3)</f>
      </c>
      <c r="G21" s="3">
        <f>SUMIFS('Data nguồn'!J:J, 'Data nguồn'!D:D, $B$1, 'Data nguồn'!F:F, $D21, 'Data nguồn'!C:C, G$3)</f>
      </c>
      <c r="H21" s="3">
        <f>SUMIFS('Data nguồn'!J:J, 'Data nguồn'!D:D, $B$1, 'Data nguồn'!F:F, $D21, 'Data nguồn'!C:C, H$3)</f>
      </c>
      <c r="I21" s="3">
        <f>SUMIFS('Data nguồn'!J:J, 'Data nguồn'!D:D, $B$1, 'Data nguồn'!F:F, $D21, 'Data nguồn'!C:C, I$3)</f>
      </c>
      <c r="J21" s="3">
        <f>SUMIFS('Data nguồn'!J:J, 'Data nguồn'!D:D, $B$1, 'Data nguồn'!F:F, $D21, 'Data nguồn'!C:C, J$3)</f>
      </c>
      <c r="K21" s="3">
        <f>SUMIFS('Data nguồn'!J:J, 'Data nguồn'!D:D, $B$1, 'Data nguồn'!F:F, $D21, 'Data nguồn'!C:C, K$3)</f>
      </c>
      <c r="L21" s="3">
        <f>SUMIFS('Data nguồn'!J:J, 'Data nguồn'!D:D, $B$1, 'Data nguồn'!F:F, $D21, 'Data nguồn'!C:C, L$3)</f>
      </c>
      <c r="M21" s="3">
        <f>SUMIFS('Data nguồn'!J:J, 'Data nguồn'!D:D, $B$1, 'Data nguồn'!F:F, $D21, 'Data nguồn'!C:C, M$3)</f>
      </c>
      <c r="N21" s="3">
        <f>SUMIFS('Data nguồn'!J:J, 'Data nguồn'!D:D, $B$1, 'Data nguồn'!F:F, $D21, 'Data nguồn'!C:C, N$3)</f>
      </c>
      <c r="O21" s="3">
        <f>SUMIFS('Data nguồn'!J:J, 'Data nguồn'!D:D, $B$1, 'Data nguồn'!F:F, $D21, 'Data nguồn'!C:C, O$3)</f>
      </c>
      <c r="P21" s="3">
        <f>SUMIFS('Data nguồn'!J:J, 'Data nguồn'!D:D, $B$1, 'Data nguồn'!F:F, $D21, 'Data nguồn'!C:C, P$3)</f>
      </c>
      <c r="Q21" s="3">
        <f>SUMIFS('Data nguồn'!J:J, 'Data nguồn'!D:D, $B$1, 'Data nguồn'!F:F, $D21, 'Data nguồn'!C:C, Q$3)</f>
      </c>
      <c r="R21" s="3">
        <f>SUMIFS('Data nguồn'!J:J, 'Data nguồn'!D:D, $B$1, 'Data nguồn'!F:F, $D21, 'Data nguồn'!C:C, R$3)</f>
      </c>
      <c r="S21" s="3">
        <f>SUMIFS('Data nguồn'!J:J, 'Data nguồn'!D:D, $B$1, 'Data nguồn'!F:F, $D21, 'Data nguồn'!C:C, S$3)</f>
      </c>
      <c r="T21" s="3">
        <f>SUMIFS('Data nguồn'!J:J, 'Data nguồn'!D:D, $B$1, 'Data nguồn'!F:F, $D21, 'Data nguồn'!C:C, T$3)</f>
      </c>
      <c r="V21" s="3">
        <f>SUM(E21:P21)</f>
      </c>
      <c r="W21" s="3">
        <f>SUM(Q21:T21)</f>
      </c>
      <c r="X21" s="3">
        <f>AVERAGE(R21:T21)</f>
      </c>
      <c r="Y21" s="3">
        <f>AVERAGE(O21:T21)</f>
      </c>
      <c r="Z21" s="3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4:30" x14ac:dyDescent="0.25">
      <c r="D22" s="2" t="s">
        <v>89</v>
      </c>
      <c r="E22" s="3">
        <f>SUMIFS('Data nguồn'!J:J, 'Data nguồn'!D:D, $B$1, 'Data nguồn'!F:F, $D22, 'Data nguồn'!C:C, E$3)</f>
      </c>
      <c r="F22" s="3">
        <f>SUMIFS('Data nguồn'!J:J, 'Data nguồn'!D:D, $B$1, 'Data nguồn'!F:F, $D22, 'Data nguồn'!C:C, F$3)</f>
      </c>
      <c r="G22" s="3">
        <f>SUMIFS('Data nguồn'!J:J, 'Data nguồn'!D:D, $B$1, 'Data nguồn'!F:F, $D22, 'Data nguồn'!C:C, G$3)</f>
      </c>
      <c r="H22" s="3">
        <f>SUMIFS('Data nguồn'!J:J, 'Data nguồn'!D:D, $B$1, 'Data nguồn'!F:F, $D22, 'Data nguồn'!C:C, H$3)</f>
      </c>
      <c r="I22" s="3">
        <f>SUMIFS('Data nguồn'!J:J, 'Data nguồn'!D:D, $B$1, 'Data nguồn'!F:F, $D22, 'Data nguồn'!C:C, I$3)</f>
      </c>
      <c r="J22" s="3">
        <f>SUMIFS('Data nguồn'!J:J, 'Data nguồn'!D:D, $B$1, 'Data nguồn'!F:F, $D22, 'Data nguồn'!C:C, J$3)</f>
      </c>
      <c r="K22" s="3">
        <f>SUMIFS('Data nguồn'!J:J, 'Data nguồn'!D:D, $B$1, 'Data nguồn'!F:F, $D22, 'Data nguồn'!C:C, K$3)</f>
      </c>
      <c r="L22" s="3">
        <f>SUMIFS('Data nguồn'!J:J, 'Data nguồn'!D:D, $B$1, 'Data nguồn'!F:F, $D22, 'Data nguồn'!C:C, L$3)</f>
      </c>
      <c r="M22" s="3">
        <f>SUMIFS('Data nguồn'!J:J, 'Data nguồn'!D:D, $B$1, 'Data nguồn'!F:F, $D22, 'Data nguồn'!C:C, M$3)</f>
      </c>
      <c r="N22" s="3">
        <f>SUMIFS('Data nguồn'!J:J, 'Data nguồn'!D:D, $B$1, 'Data nguồn'!F:F, $D22, 'Data nguồn'!C:C, N$3)</f>
      </c>
      <c r="O22" s="3">
        <f>SUMIFS('Data nguồn'!J:J, 'Data nguồn'!D:D, $B$1, 'Data nguồn'!F:F, $D22, 'Data nguồn'!C:C, O$3)</f>
      </c>
      <c r="P22" s="3">
        <f>SUMIFS('Data nguồn'!J:J, 'Data nguồn'!D:D, $B$1, 'Data nguồn'!F:F, $D22, 'Data nguồn'!C:C, P$3)</f>
      </c>
      <c r="Q22" s="3">
        <f>SUMIFS('Data nguồn'!J:J, 'Data nguồn'!D:D, $B$1, 'Data nguồn'!F:F, $D22, 'Data nguồn'!C:C, Q$3)</f>
      </c>
      <c r="R22" s="3">
        <f>SUMIFS('Data nguồn'!J:J, 'Data nguồn'!D:D, $B$1, 'Data nguồn'!F:F, $D22, 'Data nguồn'!C:C, R$3)</f>
      </c>
      <c r="S22" s="3">
        <f>SUMIFS('Data nguồn'!J:J, 'Data nguồn'!D:D, $B$1, 'Data nguồn'!F:F, $D22, 'Data nguồn'!C:C, S$3)</f>
      </c>
      <c r="T22" s="3">
        <f>SUMIFS('Data nguồn'!J:J, 'Data nguồn'!D:D, $B$1, 'Data nguồn'!F:F, $D22, 'Data nguồn'!C:C, T$3)</f>
      </c>
      <c r="V22" s="3">
        <f>SUM(E22:P22)</f>
      </c>
      <c r="W22" s="3">
        <f>SUM(Q22:T22)</f>
      </c>
      <c r="X22" s="3">
        <f>AVERAGE(R22:T22)</f>
      </c>
      <c r="Y22" s="3">
        <f>AVERAGE(O22:T22)</f>
      </c>
      <c r="Z22" s="3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4:30" x14ac:dyDescent="0.25">
      <c r="D23" s="2" t="s">
        <v>65</v>
      </c>
      <c r="E23" s="3">
        <f>SUMIFS('Data nguồn'!J:J, 'Data nguồn'!D:D, $B$1, 'Data nguồn'!F:F, $D23, 'Data nguồn'!C:C, E$3)</f>
      </c>
      <c r="F23" s="3">
        <f>SUMIFS('Data nguồn'!J:J, 'Data nguồn'!D:D, $B$1, 'Data nguồn'!F:F, $D23, 'Data nguồn'!C:C, F$3)</f>
      </c>
      <c r="G23" s="3">
        <f>SUMIFS('Data nguồn'!J:J, 'Data nguồn'!D:D, $B$1, 'Data nguồn'!F:F, $D23, 'Data nguồn'!C:C, G$3)</f>
      </c>
      <c r="H23" s="3">
        <f>SUMIFS('Data nguồn'!J:J, 'Data nguồn'!D:D, $B$1, 'Data nguồn'!F:F, $D23, 'Data nguồn'!C:C, H$3)</f>
      </c>
      <c r="I23" s="3">
        <f>SUMIFS('Data nguồn'!J:J, 'Data nguồn'!D:D, $B$1, 'Data nguồn'!F:F, $D23, 'Data nguồn'!C:C, I$3)</f>
      </c>
      <c r="J23" s="3">
        <f>SUMIFS('Data nguồn'!J:J, 'Data nguồn'!D:D, $B$1, 'Data nguồn'!F:F, $D23, 'Data nguồn'!C:C, J$3)</f>
      </c>
      <c r="K23" s="3">
        <f>SUMIFS('Data nguồn'!J:J, 'Data nguồn'!D:D, $B$1, 'Data nguồn'!F:F, $D23, 'Data nguồn'!C:C, K$3)</f>
      </c>
      <c r="L23" s="3">
        <f>SUMIFS('Data nguồn'!J:J, 'Data nguồn'!D:D, $B$1, 'Data nguồn'!F:F, $D23, 'Data nguồn'!C:C, L$3)</f>
      </c>
      <c r="M23" s="3">
        <f>SUMIFS('Data nguồn'!J:J, 'Data nguồn'!D:D, $B$1, 'Data nguồn'!F:F, $D23, 'Data nguồn'!C:C, M$3)</f>
      </c>
      <c r="N23" s="3">
        <f>SUMIFS('Data nguồn'!J:J, 'Data nguồn'!D:D, $B$1, 'Data nguồn'!F:F, $D23, 'Data nguồn'!C:C, N$3)</f>
      </c>
      <c r="O23" s="3">
        <f>SUMIFS('Data nguồn'!J:J, 'Data nguồn'!D:D, $B$1, 'Data nguồn'!F:F, $D23, 'Data nguồn'!C:C, O$3)</f>
      </c>
      <c r="P23" s="3">
        <f>SUMIFS('Data nguồn'!J:J, 'Data nguồn'!D:D, $B$1, 'Data nguồn'!F:F, $D23, 'Data nguồn'!C:C, P$3)</f>
      </c>
      <c r="Q23" s="3">
        <f>SUMIFS('Data nguồn'!J:J, 'Data nguồn'!D:D, $B$1, 'Data nguồn'!F:F, $D23, 'Data nguồn'!C:C, Q$3)</f>
      </c>
      <c r="R23" s="3">
        <f>SUMIFS('Data nguồn'!J:J, 'Data nguồn'!D:D, $B$1, 'Data nguồn'!F:F, $D23, 'Data nguồn'!C:C, R$3)</f>
      </c>
      <c r="S23" s="3">
        <f>SUMIFS('Data nguồn'!J:J, 'Data nguồn'!D:D, $B$1, 'Data nguồn'!F:F, $D23, 'Data nguồn'!C:C, S$3)</f>
      </c>
      <c r="T23" s="3">
        <f>SUMIFS('Data nguồn'!J:J, 'Data nguồn'!D:D, $B$1, 'Data nguồn'!F:F, $D23, 'Data nguồn'!C:C, T$3)</f>
      </c>
      <c r="V23" s="3">
        <f>SUM(E23:P23)</f>
      </c>
      <c r="W23" s="3">
        <f>SUM(Q23:T23)</f>
      </c>
      <c r="X23" s="3">
        <f>AVERAGE(R23:T23)</f>
      </c>
      <c r="Y23" s="3">
        <f>AVERAGE(O23:T23)</f>
      </c>
      <c r="Z23" s="3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4:30" x14ac:dyDescent="0.25">
      <c r="D24" s="2" t="s">
        <v>49</v>
      </c>
      <c r="E24" s="3">
        <f>SUMIFS('Data nguồn'!J:J, 'Data nguồn'!D:D, $B$1, 'Data nguồn'!F:F, $D24, 'Data nguồn'!C:C, E$3)</f>
      </c>
      <c r="F24" s="3">
        <f>SUMIFS('Data nguồn'!J:J, 'Data nguồn'!D:D, $B$1, 'Data nguồn'!F:F, $D24, 'Data nguồn'!C:C, F$3)</f>
      </c>
      <c r="G24" s="3">
        <f>SUMIFS('Data nguồn'!J:J, 'Data nguồn'!D:D, $B$1, 'Data nguồn'!F:F, $D24, 'Data nguồn'!C:C, G$3)</f>
      </c>
      <c r="H24" s="3">
        <f>SUMIFS('Data nguồn'!J:J, 'Data nguồn'!D:D, $B$1, 'Data nguồn'!F:F, $D24, 'Data nguồn'!C:C, H$3)</f>
      </c>
      <c r="I24" s="3">
        <f>SUMIFS('Data nguồn'!J:J, 'Data nguồn'!D:D, $B$1, 'Data nguồn'!F:F, $D24, 'Data nguồn'!C:C, I$3)</f>
      </c>
      <c r="J24" s="3">
        <f>SUMIFS('Data nguồn'!J:J, 'Data nguồn'!D:D, $B$1, 'Data nguồn'!F:F, $D24, 'Data nguồn'!C:C, J$3)</f>
      </c>
      <c r="K24" s="3">
        <f>SUMIFS('Data nguồn'!J:J, 'Data nguồn'!D:D, $B$1, 'Data nguồn'!F:F, $D24, 'Data nguồn'!C:C, K$3)</f>
      </c>
      <c r="L24" s="3">
        <f>SUMIFS('Data nguồn'!J:J, 'Data nguồn'!D:D, $B$1, 'Data nguồn'!F:F, $D24, 'Data nguồn'!C:C, L$3)</f>
      </c>
      <c r="M24" s="3">
        <f>SUMIFS('Data nguồn'!J:J, 'Data nguồn'!D:D, $B$1, 'Data nguồn'!F:F, $D24, 'Data nguồn'!C:C, M$3)</f>
      </c>
      <c r="N24" s="3">
        <f>SUMIFS('Data nguồn'!J:J, 'Data nguồn'!D:D, $B$1, 'Data nguồn'!F:F, $D24, 'Data nguồn'!C:C, N$3)</f>
      </c>
      <c r="O24" s="3">
        <f>SUMIFS('Data nguồn'!J:J, 'Data nguồn'!D:D, $B$1, 'Data nguồn'!F:F, $D24, 'Data nguồn'!C:C, O$3)</f>
      </c>
      <c r="P24" s="3">
        <f>SUMIFS('Data nguồn'!J:J, 'Data nguồn'!D:D, $B$1, 'Data nguồn'!F:F, $D24, 'Data nguồn'!C:C, P$3)</f>
      </c>
      <c r="Q24" s="3">
        <f>SUMIFS('Data nguồn'!J:J, 'Data nguồn'!D:D, $B$1, 'Data nguồn'!F:F, $D24, 'Data nguồn'!C:C, Q$3)</f>
      </c>
      <c r="R24" s="3">
        <f>SUMIFS('Data nguồn'!J:J, 'Data nguồn'!D:D, $B$1, 'Data nguồn'!F:F, $D24, 'Data nguồn'!C:C, R$3)</f>
      </c>
      <c r="S24" s="3">
        <f>SUMIFS('Data nguồn'!J:J, 'Data nguồn'!D:D, $B$1, 'Data nguồn'!F:F, $D24, 'Data nguồn'!C:C, S$3)</f>
      </c>
      <c r="T24" s="3">
        <f>SUMIFS('Data nguồn'!J:J, 'Data nguồn'!D:D, $B$1, 'Data nguồn'!F:F, $D24, 'Data nguồn'!C:C, T$3)</f>
      </c>
      <c r="V24" s="3">
        <f>SUM(E24:P24)</f>
      </c>
      <c r="W24" s="3">
        <f>SUM(Q24:T24)</f>
      </c>
      <c r="X24" s="3">
        <f>AVERAGE(R24:T24)</f>
      </c>
      <c r="Y24" s="3">
        <f>AVERAGE(O24:T24)</f>
      </c>
      <c r="Z24" s="3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4:30" x14ac:dyDescent="0.25">
      <c r="D25" s="2" t="s">
        <v>67</v>
      </c>
      <c r="E25" s="3">
        <f>SUMIFS('Data nguồn'!J:J, 'Data nguồn'!D:D, $B$1, 'Data nguồn'!F:F, $D25, 'Data nguồn'!C:C, E$3)</f>
      </c>
      <c r="F25" s="3">
        <f>SUMIFS('Data nguồn'!J:J, 'Data nguồn'!D:D, $B$1, 'Data nguồn'!F:F, $D25, 'Data nguồn'!C:C, F$3)</f>
      </c>
      <c r="G25" s="3">
        <f>SUMIFS('Data nguồn'!J:J, 'Data nguồn'!D:D, $B$1, 'Data nguồn'!F:F, $D25, 'Data nguồn'!C:C, G$3)</f>
      </c>
      <c r="H25" s="3">
        <f>SUMIFS('Data nguồn'!J:J, 'Data nguồn'!D:D, $B$1, 'Data nguồn'!F:F, $D25, 'Data nguồn'!C:C, H$3)</f>
      </c>
      <c r="I25" s="3">
        <f>SUMIFS('Data nguồn'!J:J, 'Data nguồn'!D:D, $B$1, 'Data nguồn'!F:F, $D25, 'Data nguồn'!C:C, I$3)</f>
      </c>
      <c r="J25" s="3">
        <f>SUMIFS('Data nguồn'!J:J, 'Data nguồn'!D:D, $B$1, 'Data nguồn'!F:F, $D25, 'Data nguồn'!C:C, J$3)</f>
      </c>
      <c r="K25" s="3">
        <f>SUMIFS('Data nguồn'!J:J, 'Data nguồn'!D:D, $B$1, 'Data nguồn'!F:F, $D25, 'Data nguồn'!C:C, K$3)</f>
      </c>
      <c r="L25" s="3">
        <f>SUMIFS('Data nguồn'!J:J, 'Data nguồn'!D:D, $B$1, 'Data nguồn'!F:F, $D25, 'Data nguồn'!C:C, L$3)</f>
      </c>
      <c r="M25" s="3">
        <f>SUMIFS('Data nguồn'!J:J, 'Data nguồn'!D:D, $B$1, 'Data nguồn'!F:F, $D25, 'Data nguồn'!C:C, M$3)</f>
      </c>
      <c r="N25" s="3">
        <f>SUMIFS('Data nguồn'!J:J, 'Data nguồn'!D:D, $B$1, 'Data nguồn'!F:F, $D25, 'Data nguồn'!C:C, N$3)</f>
      </c>
      <c r="O25" s="3">
        <f>SUMIFS('Data nguồn'!J:J, 'Data nguồn'!D:D, $B$1, 'Data nguồn'!F:F, $D25, 'Data nguồn'!C:C, O$3)</f>
      </c>
      <c r="P25" s="3">
        <f>SUMIFS('Data nguồn'!J:J, 'Data nguồn'!D:D, $B$1, 'Data nguồn'!F:F, $D25, 'Data nguồn'!C:C, P$3)</f>
      </c>
      <c r="Q25" s="3">
        <f>SUMIFS('Data nguồn'!J:J, 'Data nguồn'!D:D, $B$1, 'Data nguồn'!F:F, $D25, 'Data nguồn'!C:C, Q$3)</f>
      </c>
      <c r="R25" s="3">
        <f>SUMIFS('Data nguồn'!J:J, 'Data nguồn'!D:D, $B$1, 'Data nguồn'!F:F, $D25, 'Data nguồn'!C:C, R$3)</f>
      </c>
      <c r="S25" s="3">
        <f>SUMIFS('Data nguồn'!J:J, 'Data nguồn'!D:D, $B$1, 'Data nguồn'!F:F, $D25, 'Data nguồn'!C:C, S$3)</f>
      </c>
      <c r="T25" s="3">
        <f>SUMIFS('Data nguồn'!J:J, 'Data nguồn'!D:D, $B$1, 'Data nguồn'!F:F, $D25, 'Data nguồn'!C:C, T$3)</f>
      </c>
      <c r="V25" s="3">
        <f>SUM(E25:P25)</f>
      </c>
      <c r="W25" s="3">
        <f>SUM(Q25:T25)</f>
      </c>
      <c r="X25" s="3">
        <f>AVERAGE(R25:T25)</f>
      </c>
      <c r="Y25" s="3">
        <f>AVERAGE(O25:T25)</f>
      </c>
      <c r="Z25" s="3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4:30" x14ac:dyDescent="0.25">
      <c r="D26" s="2" t="s">
        <v>69</v>
      </c>
      <c r="E26" s="3">
        <f>SUMIFS('Data nguồn'!J:J, 'Data nguồn'!D:D, $B$1, 'Data nguồn'!F:F, $D26, 'Data nguồn'!C:C, E$3)</f>
      </c>
      <c r="F26" s="3">
        <f>SUMIFS('Data nguồn'!J:J, 'Data nguồn'!D:D, $B$1, 'Data nguồn'!F:F, $D26, 'Data nguồn'!C:C, F$3)</f>
      </c>
      <c r="G26" s="3">
        <f>SUMIFS('Data nguồn'!J:J, 'Data nguồn'!D:D, $B$1, 'Data nguồn'!F:F, $D26, 'Data nguồn'!C:C, G$3)</f>
      </c>
      <c r="H26" s="3">
        <f>SUMIFS('Data nguồn'!J:J, 'Data nguồn'!D:D, $B$1, 'Data nguồn'!F:F, $D26, 'Data nguồn'!C:C, H$3)</f>
      </c>
      <c r="I26" s="3">
        <f>SUMIFS('Data nguồn'!J:J, 'Data nguồn'!D:D, $B$1, 'Data nguồn'!F:F, $D26, 'Data nguồn'!C:C, I$3)</f>
      </c>
      <c r="J26" s="3">
        <f>SUMIFS('Data nguồn'!J:J, 'Data nguồn'!D:D, $B$1, 'Data nguồn'!F:F, $D26, 'Data nguồn'!C:C, J$3)</f>
      </c>
      <c r="K26" s="3">
        <f>SUMIFS('Data nguồn'!J:J, 'Data nguồn'!D:D, $B$1, 'Data nguồn'!F:F, $D26, 'Data nguồn'!C:C, K$3)</f>
      </c>
      <c r="L26" s="3">
        <f>SUMIFS('Data nguồn'!J:J, 'Data nguồn'!D:D, $B$1, 'Data nguồn'!F:F, $D26, 'Data nguồn'!C:C, L$3)</f>
      </c>
      <c r="M26" s="3">
        <f>SUMIFS('Data nguồn'!J:J, 'Data nguồn'!D:D, $B$1, 'Data nguồn'!F:F, $D26, 'Data nguồn'!C:C, M$3)</f>
      </c>
      <c r="N26" s="3">
        <f>SUMIFS('Data nguồn'!J:J, 'Data nguồn'!D:D, $B$1, 'Data nguồn'!F:F, $D26, 'Data nguồn'!C:C, N$3)</f>
      </c>
      <c r="O26" s="3">
        <f>SUMIFS('Data nguồn'!J:J, 'Data nguồn'!D:D, $B$1, 'Data nguồn'!F:F, $D26, 'Data nguồn'!C:C, O$3)</f>
      </c>
      <c r="P26" s="3">
        <f>SUMIFS('Data nguồn'!J:J, 'Data nguồn'!D:D, $B$1, 'Data nguồn'!F:F, $D26, 'Data nguồn'!C:C, P$3)</f>
      </c>
      <c r="Q26" s="3">
        <f>SUMIFS('Data nguồn'!J:J, 'Data nguồn'!D:D, $B$1, 'Data nguồn'!F:F, $D26, 'Data nguồn'!C:C, Q$3)</f>
      </c>
      <c r="R26" s="3">
        <f>SUMIFS('Data nguồn'!J:J, 'Data nguồn'!D:D, $B$1, 'Data nguồn'!F:F, $D26, 'Data nguồn'!C:C, R$3)</f>
      </c>
      <c r="S26" s="3">
        <f>SUMIFS('Data nguồn'!J:J, 'Data nguồn'!D:D, $B$1, 'Data nguồn'!F:F, $D26, 'Data nguồn'!C:C, S$3)</f>
      </c>
      <c r="T26" s="3">
        <f>SUMIFS('Data nguồn'!J:J, 'Data nguồn'!D:D, $B$1, 'Data nguồn'!F:F, $D26, 'Data nguồn'!C:C, T$3)</f>
      </c>
      <c r="V26" s="3">
        <f>SUM(E26:P26)</f>
      </c>
      <c r="W26" s="3">
        <f>SUM(Q26:T26)</f>
      </c>
      <c r="X26" s="3">
        <f>AVERAGE(R26:T26)</f>
      </c>
      <c r="Y26" s="3">
        <f>AVERAGE(O26:T26)</f>
      </c>
      <c r="Z26" s="3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4:30" x14ac:dyDescent="0.25">
      <c r="D27" s="2" t="s">
        <v>71</v>
      </c>
      <c r="E27" s="3">
        <f>SUMIFS('Data nguồn'!J:J, 'Data nguồn'!D:D, $B$1, 'Data nguồn'!F:F, $D27, 'Data nguồn'!C:C, E$3)</f>
      </c>
      <c r="F27" s="3">
        <f>SUMIFS('Data nguồn'!J:J, 'Data nguồn'!D:D, $B$1, 'Data nguồn'!F:F, $D27, 'Data nguồn'!C:C, F$3)</f>
      </c>
      <c r="G27" s="3">
        <f>SUMIFS('Data nguồn'!J:J, 'Data nguồn'!D:D, $B$1, 'Data nguồn'!F:F, $D27, 'Data nguồn'!C:C, G$3)</f>
      </c>
      <c r="H27" s="3">
        <f>SUMIFS('Data nguồn'!J:J, 'Data nguồn'!D:D, $B$1, 'Data nguồn'!F:F, $D27, 'Data nguồn'!C:C, H$3)</f>
      </c>
      <c r="I27" s="3">
        <f>SUMIFS('Data nguồn'!J:J, 'Data nguồn'!D:D, $B$1, 'Data nguồn'!F:F, $D27, 'Data nguồn'!C:C, I$3)</f>
      </c>
      <c r="J27" s="3">
        <f>SUMIFS('Data nguồn'!J:J, 'Data nguồn'!D:D, $B$1, 'Data nguồn'!F:F, $D27, 'Data nguồn'!C:C, J$3)</f>
      </c>
      <c r="K27" s="3">
        <f>SUMIFS('Data nguồn'!J:J, 'Data nguồn'!D:D, $B$1, 'Data nguồn'!F:F, $D27, 'Data nguồn'!C:C, K$3)</f>
      </c>
      <c r="L27" s="3">
        <f>SUMIFS('Data nguồn'!J:J, 'Data nguồn'!D:D, $B$1, 'Data nguồn'!F:F, $D27, 'Data nguồn'!C:C, L$3)</f>
      </c>
      <c r="M27" s="3">
        <f>SUMIFS('Data nguồn'!J:J, 'Data nguồn'!D:D, $B$1, 'Data nguồn'!F:F, $D27, 'Data nguồn'!C:C, M$3)</f>
      </c>
      <c r="N27" s="3">
        <f>SUMIFS('Data nguồn'!J:J, 'Data nguồn'!D:D, $B$1, 'Data nguồn'!F:F, $D27, 'Data nguồn'!C:C, N$3)</f>
      </c>
      <c r="O27" s="3">
        <f>SUMIFS('Data nguồn'!J:J, 'Data nguồn'!D:D, $B$1, 'Data nguồn'!F:F, $D27, 'Data nguồn'!C:C, O$3)</f>
      </c>
      <c r="P27" s="3">
        <f>SUMIFS('Data nguồn'!J:J, 'Data nguồn'!D:D, $B$1, 'Data nguồn'!F:F, $D27, 'Data nguồn'!C:C, P$3)</f>
      </c>
      <c r="Q27" s="3">
        <f>SUMIFS('Data nguồn'!J:J, 'Data nguồn'!D:D, $B$1, 'Data nguồn'!F:F, $D27, 'Data nguồn'!C:C, Q$3)</f>
      </c>
      <c r="R27" s="3">
        <f>SUMIFS('Data nguồn'!J:J, 'Data nguồn'!D:D, $B$1, 'Data nguồn'!F:F, $D27, 'Data nguồn'!C:C, R$3)</f>
      </c>
      <c r="S27" s="3">
        <f>SUMIFS('Data nguồn'!J:J, 'Data nguồn'!D:D, $B$1, 'Data nguồn'!F:F, $D27, 'Data nguồn'!C:C, S$3)</f>
      </c>
      <c r="T27" s="3">
        <f>SUMIFS('Data nguồn'!J:J, 'Data nguồn'!D:D, $B$1, 'Data nguồn'!F:F, $D27, 'Data nguồn'!C:C, T$3)</f>
      </c>
      <c r="V27" s="3">
        <f>SUM(E27:P27)</f>
      </c>
      <c r="W27" s="3">
        <f>SUM(Q27:T27)</f>
      </c>
      <c r="X27" s="3">
        <f>AVERAGE(R27:T27)</f>
      </c>
      <c r="Y27" s="3">
        <f>AVERAGE(O27:T27)</f>
      </c>
      <c r="Z27" s="3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4:30" x14ac:dyDescent="0.25">
      <c r="D28" s="2" t="s">
        <v>17</v>
      </c>
      <c r="E28" s="3">
        <f>SUMIFS('Data nguồn'!J:J, 'Data nguồn'!D:D, $B$1, 'Data nguồn'!F:F, $D28, 'Data nguồn'!C:C, E$3)</f>
      </c>
      <c r="F28" s="3">
        <f>SUMIFS('Data nguồn'!J:J, 'Data nguồn'!D:D, $B$1, 'Data nguồn'!F:F, $D28, 'Data nguồn'!C:C, F$3)</f>
      </c>
      <c r="G28" s="3">
        <f>SUMIFS('Data nguồn'!J:J, 'Data nguồn'!D:D, $B$1, 'Data nguồn'!F:F, $D28, 'Data nguồn'!C:C, G$3)</f>
      </c>
      <c r="H28" s="3">
        <f>SUMIFS('Data nguồn'!J:J, 'Data nguồn'!D:D, $B$1, 'Data nguồn'!F:F, $D28, 'Data nguồn'!C:C, H$3)</f>
      </c>
      <c r="I28" s="3">
        <f>SUMIFS('Data nguồn'!J:J, 'Data nguồn'!D:D, $B$1, 'Data nguồn'!F:F, $D28, 'Data nguồn'!C:C, I$3)</f>
      </c>
      <c r="J28" s="3">
        <f>SUMIFS('Data nguồn'!J:J, 'Data nguồn'!D:D, $B$1, 'Data nguồn'!F:F, $D28, 'Data nguồn'!C:C, J$3)</f>
      </c>
      <c r="K28" s="3">
        <f>SUMIFS('Data nguồn'!J:J, 'Data nguồn'!D:D, $B$1, 'Data nguồn'!F:F, $D28, 'Data nguồn'!C:C, K$3)</f>
      </c>
      <c r="L28" s="3">
        <f>SUMIFS('Data nguồn'!J:J, 'Data nguồn'!D:D, $B$1, 'Data nguồn'!F:F, $D28, 'Data nguồn'!C:C, L$3)</f>
      </c>
      <c r="M28" s="3">
        <f>SUMIFS('Data nguồn'!J:J, 'Data nguồn'!D:D, $B$1, 'Data nguồn'!F:F, $D28, 'Data nguồn'!C:C, M$3)</f>
      </c>
      <c r="N28" s="3">
        <f>SUMIFS('Data nguồn'!J:J, 'Data nguồn'!D:D, $B$1, 'Data nguồn'!F:F, $D28, 'Data nguồn'!C:C, N$3)</f>
      </c>
      <c r="O28" s="3">
        <f>SUMIFS('Data nguồn'!J:J, 'Data nguồn'!D:D, $B$1, 'Data nguồn'!F:F, $D28, 'Data nguồn'!C:C, O$3)</f>
      </c>
      <c r="P28" s="3">
        <f>SUMIFS('Data nguồn'!J:J, 'Data nguồn'!D:D, $B$1, 'Data nguồn'!F:F, $D28, 'Data nguồn'!C:C, P$3)</f>
      </c>
      <c r="Q28" s="3">
        <f>SUMIFS('Data nguồn'!J:J, 'Data nguồn'!D:D, $B$1, 'Data nguồn'!F:F, $D28, 'Data nguồn'!C:C, Q$3)</f>
      </c>
      <c r="R28" s="3">
        <f>SUMIFS('Data nguồn'!J:J, 'Data nguồn'!D:D, $B$1, 'Data nguồn'!F:F, $D28, 'Data nguồn'!C:C, R$3)</f>
      </c>
      <c r="S28" s="3">
        <f>SUMIFS('Data nguồn'!J:J, 'Data nguồn'!D:D, $B$1, 'Data nguồn'!F:F, $D28, 'Data nguồn'!C:C, S$3)</f>
      </c>
      <c r="T28" s="3">
        <f>SUMIFS('Data nguồn'!J:J, 'Data nguồn'!D:D, $B$1, 'Data nguồn'!F:F, $D28, 'Data nguồn'!C:C, T$3)</f>
      </c>
      <c r="V28" s="3">
        <f>SUM(E28:P28)</f>
      </c>
      <c r="W28" s="3">
        <f>SUM(Q28:T28)</f>
      </c>
      <c r="X28" s="3">
        <f>AVERAGE(R28:T28)</f>
      </c>
      <c r="Y28" s="3">
        <f>AVERAGE(O28:T28)</f>
      </c>
      <c r="Z28" s="3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4:30" x14ac:dyDescent="0.25">
      <c r="D29" s="2" t="s">
        <v>53</v>
      </c>
      <c r="E29" s="3">
        <f>SUMIFS('Data nguồn'!J:J, 'Data nguồn'!D:D, $B$1, 'Data nguồn'!F:F, $D29, 'Data nguồn'!C:C, E$3)</f>
      </c>
      <c r="F29" s="3">
        <f>SUMIFS('Data nguồn'!J:J, 'Data nguồn'!D:D, $B$1, 'Data nguồn'!F:F, $D29, 'Data nguồn'!C:C, F$3)</f>
      </c>
      <c r="G29" s="3">
        <f>SUMIFS('Data nguồn'!J:J, 'Data nguồn'!D:D, $B$1, 'Data nguồn'!F:F, $D29, 'Data nguồn'!C:C, G$3)</f>
      </c>
      <c r="H29" s="3">
        <f>SUMIFS('Data nguồn'!J:J, 'Data nguồn'!D:D, $B$1, 'Data nguồn'!F:F, $D29, 'Data nguồn'!C:C, H$3)</f>
      </c>
      <c r="I29" s="3">
        <f>SUMIFS('Data nguồn'!J:J, 'Data nguồn'!D:D, $B$1, 'Data nguồn'!F:F, $D29, 'Data nguồn'!C:C, I$3)</f>
      </c>
      <c r="J29" s="3">
        <f>SUMIFS('Data nguồn'!J:J, 'Data nguồn'!D:D, $B$1, 'Data nguồn'!F:F, $D29, 'Data nguồn'!C:C, J$3)</f>
      </c>
      <c r="K29" s="3">
        <f>SUMIFS('Data nguồn'!J:J, 'Data nguồn'!D:D, $B$1, 'Data nguồn'!F:F, $D29, 'Data nguồn'!C:C, K$3)</f>
      </c>
      <c r="L29" s="3">
        <f>SUMIFS('Data nguồn'!J:J, 'Data nguồn'!D:D, $B$1, 'Data nguồn'!F:F, $D29, 'Data nguồn'!C:C, L$3)</f>
      </c>
      <c r="M29" s="3">
        <f>SUMIFS('Data nguồn'!J:J, 'Data nguồn'!D:D, $B$1, 'Data nguồn'!F:F, $D29, 'Data nguồn'!C:C, M$3)</f>
      </c>
      <c r="N29" s="3">
        <f>SUMIFS('Data nguồn'!J:J, 'Data nguồn'!D:D, $B$1, 'Data nguồn'!F:F, $D29, 'Data nguồn'!C:C, N$3)</f>
      </c>
      <c r="O29" s="3">
        <f>SUMIFS('Data nguồn'!J:J, 'Data nguồn'!D:D, $B$1, 'Data nguồn'!F:F, $D29, 'Data nguồn'!C:C, O$3)</f>
      </c>
      <c r="P29" s="3">
        <f>SUMIFS('Data nguồn'!J:J, 'Data nguồn'!D:D, $B$1, 'Data nguồn'!F:F, $D29, 'Data nguồn'!C:C, P$3)</f>
      </c>
      <c r="Q29" s="3">
        <f>SUMIFS('Data nguồn'!J:J, 'Data nguồn'!D:D, $B$1, 'Data nguồn'!F:F, $D29, 'Data nguồn'!C:C, Q$3)</f>
      </c>
      <c r="R29" s="3">
        <f>SUMIFS('Data nguồn'!J:J, 'Data nguồn'!D:D, $B$1, 'Data nguồn'!F:F, $D29, 'Data nguồn'!C:C, R$3)</f>
      </c>
      <c r="S29" s="3">
        <f>SUMIFS('Data nguồn'!J:J, 'Data nguồn'!D:D, $B$1, 'Data nguồn'!F:F, $D29, 'Data nguồn'!C:C, S$3)</f>
      </c>
      <c r="T29" s="3">
        <f>SUMIFS('Data nguồn'!J:J, 'Data nguồn'!D:D, $B$1, 'Data nguồn'!F:F, $D29, 'Data nguồn'!C:C, T$3)</f>
      </c>
      <c r="V29" s="3">
        <f>SUM(E29:P29)</f>
      </c>
      <c r="W29" s="3">
        <f>SUM(Q29:T29)</f>
      </c>
      <c r="X29" s="3">
        <f>AVERAGE(R29:T29)</f>
      </c>
      <c r="Y29" s="3">
        <f>AVERAGE(O29:T29)</f>
      </c>
      <c r="Z29" s="3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4:30" x14ac:dyDescent="0.25">
      <c r="D30" s="2" t="s">
        <v>75</v>
      </c>
      <c r="E30" s="3">
        <f>SUMIFS('Data nguồn'!J:J, 'Data nguồn'!D:D, $B$1, 'Data nguồn'!F:F, $D30, 'Data nguồn'!C:C, E$3)</f>
      </c>
      <c r="F30" s="3">
        <f>SUMIFS('Data nguồn'!J:J, 'Data nguồn'!D:D, $B$1, 'Data nguồn'!F:F, $D30, 'Data nguồn'!C:C, F$3)</f>
      </c>
      <c r="G30" s="3">
        <f>SUMIFS('Data nguồn'!J:J, 'Data nguồn'!D:D, $B$1, 'Data nguồn'!F:F, $D30, 'Data nguồn'!C:C, G$3)</f>
      </c>
      <c r="H30" s="3">
        <f>SUMIFS('Data nguồn'!J:J, 'Data nguồn'!D:D, $B$1, 'Data nguồn'!F:F, $D30, 'Data nguồn'!C:C, H$3)</f>
      </c>
      <c r="I30" s="3">
        <f>SUMIFS('Data nguồn'!J:J, 'Data nguồn'!D:D, $B$1, 'Data nguồn'!F:F, $D30, 'Data nguồn'!C:C, I$3)</f>
      </c>
      <c r="J30" s="3">
        <f>SUMIFS('Data nguồn'!J:J, 'Data nguồn'!D:D, $B$1, 'Data nguồn'!F:F, $D30, 'Data nguồn'!C:C, J$3)</f>
      </c>
      <c r="K30" s="3">
        <f>SUMIFS('Data nguồn'!J:J, 'Data nguồn'!D:D, $B$1, 'Data nguồn'!F:F, $D30, 'Data nguồn'!C:C, K$3)</f>
      </c>
      <c r="L30" s="3">
        <f>SUMIFS('Data nguồn'!J:J, 'Data nguồn'!D:D, $B$1, 'Data nguồn'!F:F, $D30, 'Data nguồn'!C:C, L$3)</f>
      </c>
      <c r="M30" s="3">
        <f>SUMIFS('Data nguồn'!J:J, 'Data nguồn'!D:D, $B$1, 'Data nguồn'!F:F, $D30, 'Data nguồn'!C:C, M$3)</f>
      </c>
      <c r="N30" s="3">
        <f>SUMIFS('Data nguồn'!J:J, 'Data nguồn'!D:D, $B$1, 'Data nguồn'!F:F, $D30, 'Data nguồn'!C:C, N$3)</f>
      </c>
      <c r="O30" s="3">
        <f>SUMIFS('Data nguồn'!J:J, 'Data nguồn'!D:D, $B$1, 'Data nguồn'!F:F, $D30, 'Data nguồn'!C:C, O$3)</f>
      </c>
      <c r="P30" s="3">
        <f>SUMIFS('Data nguồn'!J:J, 'Data nguồn'!D:D, $B$1, 'Data nguồn'!F:F, $D30, 'Data nguồn'!C:C, P$3)</f>
      </c>
      <c r="Q30" s="3">
        <f>SUMIFS('Data nguồn'!J:J, 'Data nguồn'!D:D, $B$1, 'Data nguồn'!F:F, $D30, 'Data nguồn'!C:C, Q$3)</f>
      </c>
      <c r="R30" s="3">
        <f>SUMIFS('Data nguồn'!J:J, 'Data nguồn'!D:D, $B$1, 'Data nguồn'!F:F, $D30, 'Data nguồn'!C:C, R$3)</f>
      </c>
      <c r="S30" s="3">
        <f>SUMIFS('Data nguồn'!J:J, 'Data nguồn'!D:D, $B$1, 'Data nguồn'!F:F, $D30, 'Data nguồn'!C:C, S$3)</f>
      </c>
      <c r="T30" s="3">
        <f>SUMIFS('Data nguồn'!J:J, 'Data nguồn'!D:D, $B$1, 'Data nguồn'!F:F, $D30, 'Data nguồn'!C:C, T$3)</f>
      </c>
      <c r="V30" s="3">
        <f>SUM(E30:P30)</f>
      </c>
      <c r="W30" s="3">
        <f>SUM(Q30:T30)</f>
      </c>
      <c r="X30" s="3">
        <f>AVERAGE(R30:T30)</f>
      </c>
      <c r="Y30" s="3">
        <f>AVERAGE(O30:T30)</f>
      </c>
      <c r="Z30" s="3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4:30" x14ac:dyDescent="0.25">
      <c r="D31" s="2" t="s">
        <v>81</v>
      </c>
      <c r="E31" s="3">
        <f>SUMIFS('Data nguồn'!J:J, 'Data nguồn'!D:D, $B$1, 'Data nguồn'!F:F, $D31, 'Data nguồn'!C:C, E$3)</f>
      </c>
      <c r="F31" s="3">
        <f>SUMIFS('Data nguồn'!J:J, 'Data nguồn'!D:D, $B$1, 'Data nguồn'!F:F, $D31, 'Data nguồn'!C:C, F$3)</f>
      </c>
      <c r="G31" s="3">
        <f>SUMIFS('Data nguồn'!J:J, 'Data nguồn'!D:D, $B$1, 'Data nguồn'!F:F, $D31, 'Data nguồn'!C:C, G$3)</f>
      </c>
      <c r="H31" s="3">
        <f>SUMIFS('Data nguồn'!J:J, 'Data nguồn'!D:D, $B$1, 'Data nguồn'!F:F, $D31, 'Data nguồn'!C:C, H$3)</f>
      </c>
      <c r="I31" s="3">
        <f>SUMIFS('Data nguồn'!J:J, 'Data nguồn'!D:D, $B$1, 'Data nguồn'!F:F, $D31, 'Data nguồn'!C:C, I$3)</f>
      </c>
      <c r="J31" s="3">
        <f>SUMIFS('Data nguồn'!J:J, 'Data nguồn'!D:D, $B$1, 'Data nguồn'!F:F, $D31, 'Data nguồn'!C:C, J$3)</f>
      </c>
      <c r="K31" s="3">
        <f>SUMIFS('Data nguồn'!J:J, 'Data nguồn'!D:D, $B$1, 'Data nguồn'!F:F, $D31, 'Data nguồn'!C:C, K$3)</f>
      </c>
      <c r="L31" s="3">
        <f>SUMIFS('Data nguồn'!J:J, 'Data nguồn'!D:D, $B$1, 'Data nguồn'!F:F, $D31, 'Data nguồn'!C:C, L$3)</f>
      </c>
      <c r="M31" s="3">
        <f>SUMIFS('Data nguồn'!J:J, 'Data nguồn'!D:D, $B$1, 'Data nguồn'!F:F, $D31, 'Data nguồn'!C:C, M$3)</f>
      </c>
      <c r="N31" s="3">
        <f>SUMIFS('Data nguồn'!J:J, 'Data nguồn'!D:D, $B$1, 'Data nguồn'!F:F, $D31, 'Data nguồn'!C:C, N$3)</f>
      </c>
      <c r="O31" s="3">
        <f>SUMIFS('Data nguồn'!J:J, 'Data nguồn'!D:D, $B$1, 'Data nguồn'!F:F, $D31, 'Data nguồn'!C:C, O$3)</f>
      </c>
      <c r="P31" s="3">
        <f>SUMIFS('Data nguồn'!J:J, 'Data nguồn'!D:D, $B$1, 'Data nguồn'!F:F, $D31, 'Data nguồn'!C:C, P$3)</f>
      </c>
      <c r="Q31" s="3">
        <f>SUMIFS('Data nguồn'!J:J, 'Data nguồn'!D:D, $B$1, 'Data nguồn'!F:F, $D31, 'Data nguồn'!C:C, Q$3)</f>
      </c>
      <c r="R31" s="3">
        <f>SUMIFS('Data nguồn'!J:J, 'Data nguồn'!D:D, $B$1, 'Data nguồn'!F:F, $D31, 'Data nguồn'!C:C, R$3)</f>
      </c>
      <c r="S31" s="3">
        <f>SUMIFS('Data nguồn'!J:J, 'Data nguồn'!D:D, $B$1, 'Data nguồn'!F:F, $D31, 'Data nguồn'!C:C, S$3)</f>
      </c>
      <c r="T31" s="3">
        <f>SUMIFS('Data nguồn'!J:J, 'Data nguồn'!D:D, $B$1, 'Data nguồn'!F:F, $D31, 'Data nguồn'!C:C, T$3)</f>
      </c>
      <c r="V31" s="3">
        <f>SUM(E31:P31)</f>
      </c>
      <c r="W31" s="3">
        <f>SUM(Q31:T31)</f>
      </c>
      <c r="X31" s="3">
        <f>AVERAGE(R31:T31)</f>
      </c>
      <c r="Y31" s="3">
        <f>AVERAGE(O31:T31)</f>
      </c>
      <c r="Z31" s="3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4:30" x14ac:dyDescent="0.25">
      <c r="D32" s="2" t="s">
        <v>37</v>
      </c>
      <c r="E32" s="3">
        <f>SUMIFS('Data nguồn'!J:J, 'Data nguồn'!D:D, $B$1, 'Data nguồn'!F:F, $D32, 'Data nguồn'!C:C, E$3)</f>
      </c>
      <c r="F32" s="3">
        <f>SUMIFS('Data nguồn'!J:J, 'Data nguồn'!D:D, $B$1, 'Data nguồn'!F:F, $D32, 'Data nguồn'!C:C, F$3)</f>
      </c>
      <c r="G32" s="3">
        <f>SUMIFS('Data nguồn'!J:J, 'Data nguồn'!D:D, $B$1, 'Data nguồn'!F:F, $D32, 'Data nguồn'!C:C, G$3)</f>
      </c>
      <c r="H32" s="3">
        <f>SUMIFS('Data nguồn'!J:J, 'Data nguồn'!D:D, $B$1, 'Data nguồn'!F:F, $D32, 'Data nguồn'!C:C, H$3)</f>
      </c>
      <c r="I32" s="3">
        <f>SUMIFS('Data nguồn'!J:J, 'Data nguồn'!D:D, $B$1, 'Data nguồn'!F:F, $D32, 'Data nguồn'!C:C, I$3)</f>
      </c>
      <c r="J32" s="3">
        <f>SUMIFS('Data nguồn'!J:J, 'Data nguồn'!D:D, $B$1, 'Data nguồn'!F:F, $D32, 'Data nguồn'!C:C, J$3)</f>
      </c>
      <c r="K32" s="3">
        <f>SUMIFS('Data nguồn'!J:J, 'Data nguồn'!D:D, $B$1, 'Data nguồn'!F:F, $D32, 'Data nguồn'!C:C, K$3)</f>
      </c>
      <c r="L32" s="3">
        <f>SUMIFS('Data nguồn'!J:J, 'Data nguồn'!D:D, $B$1, 'Data nguồn'!F:F, $D32, 'Data nguồn'!C:C, L$3)</f>
      </c>
      <c r="M32" s="3">
        <f>SUMIFS('Data nguồn'!J:J, 'Data nguồn'!D:D, $B$1, 'Data nguồn'!F:F, $D32, 'Data nguồn'!C:C, M$3)</f>
      </c>
      <c r="N32" s="3">
        <f>SUMIFS('Data nguồn'!J:J, 'Data nguồn'!D:D, $B$1, 'Data nguồn'!F:F, $D32, 'Data nguồn'!C:C, N$3)</f>
      </c>
      <c r="O32" s="3">
        <f>SUMIFS('Data nguồn'!J:J, 'Data nguồn'!D:D, $B$1, 'Data nguồn'!F:F, $D32, 'Data nguồn'!C:C, O$3)</f>
      </c>
      <c r="P32" s="3">
        <f>SUMIFS('Data nguồn'!J:J, 'Data nguồn'!D:D, $B$1, 'Data nguồn'!F:F, $D32, 'Data nguồn'!C:C, P$3)</f>
      </c>
      <c r="Q32" s="3">
        <f>SUMIFS('Data nguồn'!J:J, 'Data nguồn'!D:D, $B$1, 'Data nguồn'!F:F, $D32, 'Data nguồn'!C:C, Q$3)</f>
      </c>
      <c r="R32" s="3">
        <f>SUMIFS('Data nguồn'!J:J, 'Data nguồn'!D:D, $B$1, 'Data nguồn'!F:F, $D32, 'Data nguồn'!C:C, R$3)</f>
      </c>
      <c r="S32" s="3">
        <f>SUMIFS('Data nguồn'!J:J, 'Data nguồn'!D:D, $B$1, 'Data nguồn'!F:F, $D32, 'Data nguồn'!C:C, S$3)</f>
      </c>
      <c r="T32" s="3">
        <f>SUMIFS('Data nguồn'!J:J, 'Data nguồn'!D:D, $B$1, 'Data nguồn'!F:F, $D32, 'Data nguồn'!C:C, T$3)</f>
      </c>
      <c r="V32" s="3">
        <f>SUM(E32:P32)</f>
      </c>
      <c r="W32" s="3">
        <f>SUM(Q32:T32)</f>
      </c>
      <c r="X32" s="3">
        <f>AVERAGE(R32:T32)</f>
      </c>
      <c r="Y32" s="3">
        <f>AVERAGE(O32:T32)</f>
      </c>
      <c r="Z32" s="3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4:30" x14ac:dyDescent="0.25">
      <c r="D33" s="2" t="s">
        <v>39</v>
      </c>
      <c r="E33" s="3">
        <f>SUMIFS('Data nguồn'!J:J, 'Data nguồn'!D:D, $B$1, 'Data nguồn'!F:F, $D33, 'Data nguồn'!C:C, E$3)</f>
      </c>
      <c r="F33" s="3">
        <f>SUMIFS('Data nguồn'!J:J, 'Data nguồn'!D:D, $B$1, 'Data nguồn'!F:F, $D33, 'Data nguồn'!C:C, F$3)</f>
      </c>
      <c r="G33" s="3">
        <f>SUMIFS('Data nguồn'!J:J, 'Data nguồn'!D:D, $B$1, 'Data nguồn'!F:F, $D33, 'Data nguồn'!C:C, G$3)</f>
      </c>
      <c r="H33" s="3">
        <f>SUMIFS('Data nguồn'!J:J, 'Data nguồn'!D:D, $B$1, 'Data nguồn'!F:F, $D33, 'Data nguồn'!C:C, H$3)</f>
      </c>
      <c r="I33" s="3">
        <f>SUMIFS('Data nguồn'!J:J, 'Data nguồn'!D:D, $B$1, 'Data nguồn'!F:F, $D33, 'Data nguồn'!C:C, I$3)</f>
      </c>
      <c r="J33" s="3">
        <f>SUMIFS('Data nguồn'!J:J, 'Data nguồn'!D:D, $B$1, 'Data nguồn'!F:F, $D33, 'Data nguồn'!C:C, J$3)</f>
      </c>
      <c r="K33" s="3">
        <f>SUMIFS('Data nguồn'!J:J, 'Data nguồn'!D:D, $B$1, 'Data nguồn'!F:F, $D33, 'Data nguồn'!C:C, K$3)</f>
      </c>
      <c r="L33" s="3">
        <f>SUMIFS('Data nguồn'!J:J, 'Data nguồn'!D:D, $B$1, 'Data nguồn'!F:F, $D33, 'Data nguồn'!C:C, L$3)</f>
      </c>
      <c r="M33" s="3">
        <f>SUMIFS('Data nguồn'!J:J, 'Data nguồn'!D:D, $B$1, 'Data nguồn'!F:F, $D33, 'Data nguồn'!C:C, M$3)</f>
      </c>
      <c r="N33" s="3">
        <f>SUMIFS('Data nguồn'!J:J, 'Data nguồn'!D:D, $B$1, 'Data nguồn'!F:F, $D33, 'Data nguồn'!C:C, N$3)</f>
      </c>
      <c r="O33" s="3">
        <f>SUMIFS('Data nguồn'!J:J, 'Data nguồn'!D:D, $B$1, 'Data nguồn'!F:F, $D33, 'Data nguồn'!C:C, O$3)</f>
      </c>
      <c r="P33" s="3">
        <f>SUMIFS('Data nguồn'!J:J, 'Data nguồn'!D:D, $B$1, 'Data nguồn'!F:F, $D33, 'Data nguồn'!C:C, P$3)</f>
      </c>
      <c r="Q33" s="3">
        <f>SUMIFS('Data nguồn'!J:J, 'Data nguồn'!D:D, $B$1, 'Data nguồn'!F:F, $D33, 'Data nguồn'!C:C, Q$3)</f>
      </c>
      <c r="R33" s="3">
        <f>SUMIFS('Data nguồn'!J:J, 'Data nguồn'!D:D, $B$1, 'Data nguồn'!F:F, $D33, 'Data nguồn'!C:C, R$3)</f>
      </c>
      <c r="S33" s="3">
        <f>SUMIFS('Data nguồn'!J:J, 'Data nguồn'!D:D, $B$1, 'Data nguồn'!F:F, $D33, 'Data nguồn'!C:C, S$3)</f>
      </c>
      <c r="T33" s="3">
        <f>SUMIFS('Data nguồn'!J:J, 'Data nguồn'!D:D, $B$1, 'Data nguồn'!F:F, $D33, 'Data nguồn'!C:C, T$3)</f>
      </c>
      <c r="V33" s="3">
        <f>SUM(E33:P33)</f>
      </c>
      <c r="W33" s="3">
        <f>SUM(Q33:T33)</f>
      </c>
      <c r="X33" s="3">
        <f>AVERAGE(R33:T33)</f>
      </c>
      <c r="Y33" s="3">
        <f>AVERAGE(O33:T33)</f>
      </c>
      <c r="Z33" s="3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2" customHeight="1" spans="4:30" x14ac:dyDescent="0.25">
      <c r="D34" s="5" t="s">
        <v>397</v>
      </c>
      <c r="E34" s="6">
        <f>SUM(E4:E33)</f>
      </c>
      <c r="F34" s="6">
        <f>SUM(F4:F33)</f>
      </c>
      <c r="G34" s="6">
        <f>SUM(G4:G33)</f>
      </c>
      <c r="H34" s="6">
        <f>SUM(H4:H33)</f>
      </c>
      <c r="I34" s="6">
        <f>SUM(I4:I33)</f>
      </c>
      <c r="J34" s="6">
        <f>SUM(J4:J33)</f>
      </c>
      <c r="K34" s="6">
        <f>SUM(K4:K33)</f>
      </c>
      <c r="L34" s="6">
        <f>SUM(L4:L33)</f>
      </c>
      <c r="M34" s="6">
        <f>SUM(M4:M33)</f>
      </c>
      <c r="N34" s="6">
        <f>SUM(N4:N33)</f>
      </c>
      <c r="O34" s="6">
        <f>SUM(O4:O33)</f>
      </c>
      <c r="P34" s="6">
        <f>SUM(P4:P33)</f>
      </c>
      <c r="Q34" s="6">
        <f>SUM(Q4:Q33)</f>
      </c>
      <c r="R34" s="6">
        <f>SUM(R4:R33)</f>
      </c>
      <c r="S34" s="6">
        <f>SUM(S4:S33)</f>
      </c>
      <c r="T34" s="6">
        <f>SUM(T4:T33)</f>
      </c>
      <c r="V34" s="6">
        <f>SUM(V4:V33)</f>
      </c>
      <c r="W34" s="6">
        <f>SUM(W4:W33)</f>
      </c>
      <c r="X34" s="6">
        <f>SUM(X4:X33)</f>
      </c>
      <c r="Y34" s="6">
        <f>SUM(Y4:Y33)</f>
      </c>
      <c r="Z34" s="6">
        <f>SUM(Z4:Z33)</f>
      </c>
      <c r="AA34" s="7">
        <f>IFERROR((X34*2)/(Y34+Z34), 0)</f>
      </c>
      <c r="AB34" s="7">
        <f>IFERROR(W34/SUM(E34:H34), 0)</f>
      </c>
      <c r="AC34" s="7">
        <f>IFERROR(W34/SUM(E34:H34), 0)</f>
      </c>
      <c r="AD34" s="7">
        <f>IFERROR(T34/H34, 0)</f>
      </c>
    </row>
  </sheetData>
  <dataValidations count="1">
    <dataValidation type="list" allowBlank="1" sqref="B1">
      <formula1>Config!$A$2:$A$290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D52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405</v>
      </c>
      <c r="B1" s="11" t="s">
        <v>2</v>
      </c>
    </row>
    <row r="2" ht="15" customHeight="1" x14ac:dyDescent="0.25"/>
    <row r="3" ht="24" customHeight="1" spans="4:30" x14ac:dyDescent="0.25">
      <c r="D3" s="1" t="s">
        <v>406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4:30" x14ac:dyDescent="0.25">
      <c r="D4" s="2" t="s">
        <v>25</v>
      </c>
      <c r="E4" s="8">
        <f>SUMIFS('Data nguồn'!H:H, 'Data nguồn'!D:D, $B$1, 'Data nguồn'!F:F, $D4, 'Data nguồn'!C:C, E$3)</f>
      </c>
      <c r="F4" s="8">
        <f>SUMIFS('Data nguồn'!H:H, 'Data nguồn'!D:D, $B$1, 'Data nguồn'!F:F, $D4, 'Data nguồn'!C:C, F$3)</f>
      </c>
      <c r="G4" s="8">
        <f>SUMIFS('Data nguồn'!H:H, 'Data nguồn'!D:D, $B$1, 'Data nguồn'!F:F, $D4, 'Data nguồn'!C:C, G$3)</f>
      </c>
      <c r="H4" s="8">
        <f>SUMIFS('Data nguồn'!H:H, 'Data nguồn'!D:D, $B$1, 'Data nguồn'!F:F, $D4, 'Data nguồn'!C:C, H$3)</f>
      </c>
      <c r="I4" s="8">
        <f>SUMIFS('Data nguồn'!H:H, 'Data nguồn'!D:D, $B$1, 'Data nguồn'!F:F, $D4, 'Data nguồn'!C:C, I$3)</f>
      </c>
      <c r="J4" s="8">
        <f>SUMIFS('Data nguồn'!H:H, 'Data nguồn'!D:D, $B$1, 'Data nguồn'!F:F, $D4, 'Data nguồn'!C:C, J$3)</f>
      </c>
      <c r="K4" s="8">
        <f>SUMIFS('Data nguồn'!H:H, 'Data nguồn'!D:D, $B$1, 'Data nguồn'!F:F, $D4, 'Data nguồn'!C:C, K$3)</f>
      </c>
      <c r="L4" s="8">
        <f>SUMIFS('Data nguồn'!H:H, 'Data nguồn'!D:D, $B$1, 'Data nguồn'!F:F, $D4, 'Data nguồn'!C:C, L$3)</f>
      </c>
      <c r="M4" s="8">
        <f>SUMIFS('Data nguồn'!H:H, 'Data nguồn'!D:D, $B$1, 'Data nguồn'!F:F, $D4, 'Data nguồn'!C:C, M$3)</f>
      </c>
      <c r="N4" s="8">
        <f>SUMIFS('Data nguồn'!H:H, 'Data nguồn'!D:D, $B$1, 'Data nguồn'!F:F, $D4, 'Data nguồn'!C:C, N$3)</f>
      </c>
      <c r="O4" s="8">
        <f>SUMIFS('Data nguồn'!H:H, 'Data nguồn'!D:D, $B$1, 'Data nguồn'!F:F, $D4, 'Data nguồn'!C:C, O$3)</f>
      </c>
      <c r="P4" s="8">
        <f>SUMIFS('Data nguồn'!H:H, 'Data nguồn'!D:D, $B$1, 'Data nguồn'!F:F, $D4, 'Data nguồn'!C:C, P$3)</f>
      </c>
      <c r="Q4" s="8">
        <f>SUMIFS('Data nguồn'!H:H, 'Data nguồn'!D:D, $B$1, 'Data nguồn'!F:F, $D4, 'Data nguồn'!C:C, Q$3)</f>
      </c>
      <c r="R4" s="8">
        <f>SUMIFS('Data nguồn'!H:H, 'Data nguồn'!D:D, $B$1, 'Data nguồn'!F:F, $D4, 'Data nguồn'!C:C, R$3)</f>
      </c>
      <c r="S4" s="8">
        <f>SUMIFS('Data nguồn'!H:H, 'Data nguồn'!D:D, $B$1, 'Data nguồn'!F:F, $D4, 'Data nguồn'!C:C, S$3)</f>
      </c>
      <c r="T4" s="8">
        <f>SUMIFS('Data nguồn'!H:H, 'Data nguồn'!D:D, $B$1, 'Data nguồn'!F:F, $D4, 'Data nguồn'!C:C, T$3)</f>
      </c>
      <c r="V4" s="8">
        <f>SUM(E4:P4)</f>
      </c>
      <c r="W4" s="8">
        <f>SUM(Q4:T4)</f>
      </c>
      <c r="X4" s="8">
        <f>AVERAGE(R4:T4)</f>
      </c>
      <c r="Y4" s="8">
        <f>AVERAGE(O4:T4)</f>
      </c>
      <c r="Z4" s="8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4:30" x14ac:dyDescent="0.25">
      <c r="D5" s="2" t="s">
        <v>33</v>
      </c>
      <c r="E5" s="8">
        <f>SUMIFS('Data nguồn'!H:H, 'Data nguồn'!D:D, $B$1, 'Data nguồn'!F:F, $D5, 'Data nguồn'!C:C, E$3)</f>
      </c>
      <c r="F5" s="8">
        <f>SUMIFS('Data nguồn'!H:H, 'Data nguồn'!D:D, $B$1, 'Data nguồn'!F:F, $D5, 'Data nguồn'!C:C, F$3)</f>
      </c>
      <c r="G5" s="8">
        <f>SUMIFS('Data nguồn'!H:H, 'Data nguồn'!D:D, $B$1, 'Data nguồn'!F:F, $D5, 'Data nguồn'!C:C, G$3)</f>
      </c>
      <c r="H5" s="8">
        <f>SUMIFS('Data nguồn'!H:H, 'Data nguồn'!D:D, $B$1, 'Data nguồn'!F:F, $D5, 'Data nguồn'!C:C, H$3)</f>
      </c>
      <c r="I5" s="8">
        <f>SUMIFS('Data nguồn'!H:H, 'Data nguồn'!D:D, $B$1, 'Data nguồn'!F:F, $D5, 'Data nguồn'!C:C, I$3)</f>
      </c>
      <c r="J5" s="8">
        <f>SUMIFS('Data nguồn'!H:H, 'Data nguồn'!D:D, $B$1, 'Data nguồn'!F:F, $D5, 'Data nguồn'!C:C, J$3)</f>
      </c>
      <c r="K5" s="8">
        <f>SUMIFS('Data nguồn'!H:H, 'Data nguồn'!D:D, $B$1, 'Data nguồn'!F:F, $D5, 'Data nguồn'!C:C, K$3)</f>
      </c>
      <c r="L5" s="8">
        <f>SUMIFS('Data nguồn'!H:H, 'Data nguồn'!D:D, $B$1, 'Data nguồn'!F:F, $D5, 'Data nguồn'!C:C, L$3)</f>
      </c>
      <c r="M5" s="8">
        <f>SUMIFS('Data nguồn'!H:H, 'Data nguồn'!D:D, $B$1, 'Data nguồn'!F:F, $D5, 'Data nguồn'!C:C, M$3)</f>
      </c>
      <c r="N5" s="8">
        <f>SUMIFS('Data nguồn'!H:H, 'Data nguồn'!D:D, $B$1, 'Data nguồn'!F:F, $D5, 'Data nguồn'!C:C, N$3)</f>
      </c>
      <c r="O5" s="8">
        <f>SUMIFS('Data nguồn'!H:H, 'Data nguồn'!D:D, $B$1, 'Data nguồn'!F:F, $D5, 'Data nguồn'!C:C, O$3)</f>
      </c>
      <c r="P5" s="8">
        <f>SUMIFS('Data nguồn'!H:H, 'Data nguồn'!D:D, $B$1, 'Data nguồn'!F:F, $D5, 'Data nguồn'!C:C, P$3)</f>
      </c>
      <c r="Q5" s="8">
        <f>SUMIFS('Data nguồn'!H:H, 'Data nguồn'!D:D, $B$1, 'Data nguồn'!F:F, $D5, 'Data nguồn'!C:C, Q$3)</f>
      </c>
      <c r="R5" s="8">
        <f>SUMIFS('Data nguồn'!H:H, 'Data nguồn'!D:D, $B$1, 'Data nguồn'!F:F, $D5, 'Data nguồn'!C:C, R$3)</f>
      </c>
      <c r="S5" s="8">
        <f>SUMIFS('Data nguồn'!H:H, 'Data nguồn'!D:D, $B$1, 'Data nguồn'!F:F, $D5, 'Data nguồn'!C:C, S$3)</f>
      </c>
      <c r="T5" s="8">
        <f>SUMIFS('Data nguồn'!H:H, 'Data nguồn'!D:D, $B$1, 'Data nguồn'!F:F, $D5, 'Data nguồn'!C:C, T$3)</f>
      </c>
      <c r="V5" s="8">
        <f>SUM(E5:P5)</f>
      </c>
      <c r="W5" s="8">
        <f>SUM(Q5:T5)</f>
      </c>
      <c r="X5" s="8">
        <f>AVERAGE(R5:T5)</f>
      </c>
      <c r="Y5" s="8">
        <f>AVERAGE(O5:T5)</f>
      </c>
      <c r="Z5" s="8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4:30" x14ac:dyDescent="0.25">
      <c r="D6" s="2" t="s">
        <v>85</v>
      </c>
      <c r="E6" s="8">
        <f>SUMIFS('Data nguồn'!H:H, 'Data nguồn'!D:D, $B$1, 'Data nguồn'!F:F, $D6, 'Data nguồn'!C:C, E$3)</f>
      </c>
      <c r="F6" s="8">
        <f>SUMIFS('Data nguồn'!H:H, 'Data nguồn'!D:D, $B$1, 'Data nguồn'!F:F, $D6, 'Data nguồn'!C:C, F$3)</f>
      </c>
      <c r="G6" s="8">
        <f>SUMIFS('Data nguồn'!H:H, 'Data nguồn'!D:D, $B$1, 'Data nguồn'!F:F, $D6, 'Data nguồn'!C:C, G$3)</f>
      </c>
      <c r="H6" s="8">
        <f>SUMIFS('Data nguồn'!H:H, 'Data nguồn'!D:D, $B$1, 'Data nguồn'!F:F, $D6, 'Data nguồn'!C:C, H$3)</f>
      </c>
      <c r="I6" s="8">
        <f>SUMIFS('Data nguồn'!H:H, 'Data nguồn'!D:D, $B$1, 'Data nguồn'!F:F, $D6, 'Data nguồn'!C:C, I$3)</f>
      </c>
      <c r="J6" s="8">
        <f>SUMIFS('Data nguồn'!H:H, 'Data nguồn'!D:D, $B$1, 'Data nguồn'!F:F, $D6, 'Data nguồn'!C:C, J$3)</f>
      </c>
      <c r="K6" s="8">
        <f>SUMIFS('Data nguồn'!H:H, 'Data nguồn'!D:D, $B$1, 'Data nguồn'!F:F, $D6, 'Data nguồn'!C:C, K$3)</f>
      </c>
      <c r="L6" s="8">
        <f>SUMIFS('Data nguồn'!H:H, 'Data nguồn'!D:D, $B$1, 'Data nguồn'!F:F, $D6, 'Data nguồn'!C:C, L$3)</f>
      </c>
      <c r="M6" s="8">
        <f>SUMIFS('Data nguồn'!H:H, 'Data nguồn'!D:D, $B$1, 'Data nguồn'!F:F, $D6, 'Data nguồn'!C:C, M$3)</f>
      </c>
      <c r="N6" s="8">
        <f>SUMIFS('Data nguồn'!H:H, 'Data nguồn'!D:D, $B$1, 'Data nguồn'!F:F, $D6, 'Data nguồn'!C:C, N$3)</f>
      </c>
      <c r="O6" s="8">
        <f>SUMIFS('Data nguồn'!H:H, 'Data nguồn'!D:D, $B$1, 'Data nguồn'!F:F, $D6, 'Data nguồn'!C:C, O$3)</f>
      </c>
      <c r="P6" s="8">
        <f>SUMIFS('Data nguồn'!H:H, 'Data nguồn'!D:D, $B$1, 'Data nguồn'!F:F, $D6, 'Data nguồn'!C:C, P$3)</f>
      </c>
      <c r="Q6" s="8">
        <f>SUMIFS('Data nguồn'!H:H, 'Data nguồn'!D:D, $B$1, 'Data nguồn'!F:F, $D6, 'Data nguồn'!C:C, Q$3)</f>
      </c>
      <c r="R6" s="8">
        <f>SUMIFS('Data nguồn'!H:H, 'Data nguồn'!D:D, $B$1, 'Data nguồn'!F:F, $D6, 'Data nguồn'!C:C, R$3)</f>
      </c>
      <c r="S6" s="8">
        <f>SUMIFS('Data nguồn'!H:H, 'Data nguồn'!D:D, $B$1, 'Data nguồn'!F:F, $D6, 'Data nguồn'!C:C, S$3)</f>
      </c>
      <c r="T6" s="8">
        <f>SUMIFS('Data nguồn'!H:H, 'Data nguồn'!D:D, $B$1, 'Data nguồn'!F:F, $D6, 'Data nguồn'!C:C, T$3)</f>
      </c>
      <c r="V6" s="8">
        <f>SUM(E6:P6)</f>
      </c>
      <c r="W6" s="8">
        <f>SUM(Q6:T6)</f>
      </c>
      <c r="X6" s="8">
        <f>AVERAGE(R6:T6)</f>
      </c>
      <c r="Y6" s="8">
        <f>AVERAGE(O6:T6)</f>
      </c>
      <c r="Z6" s="8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4:30" x14ac:dyDescent="0.25">
      <c r="D7" s="2" t="s">
        <v>59</v>
      </c>
      <c r="E7" s="8">
        <f>SUMIFS('Data nguồn'!H:H, 'Data nguồn'!D:D, $B$1, 'Data nguồn'!F:F, $D7, 'Data nguồn'!C:C, E$3)</f>
      </c>
      <c r="F7" s="8">
        <f>SUMIFS('Data nguồn'!H:H, 'Data nguồn'!D:D, $B$1, 'Data nguồn'!F:F, $D7, 'Data nguồn'!C:C, F$3)</f>
      </c>
      <c r="G7" s="8">
        <f>SUMIFS('Data nguồn'!H:H, 'Data nguồn'!D:D, $B$1, 'Data nguồn'!F:F, $D7, 'Data nguồn'!C:C, G$3)</f>
      </c>
      <c r="H7" s="8">
        <f>SUMIFS('Data nguồn'!H:H, 'Data nguồn'!D:D, $B$1, 'Data nguồn'!F:F, $D7, 'Data nguồn'!C:C, H$3)</f>
      </c>
      <c r="I7" s="8">
        <f>SUMIFS('Data nguồn'!H:H, 'Data nguồn'!D:D, $B$1, 'Data nguồn'!F:F, $D7, 'Data nguồn'!C:C, I$3)</f>
      </c>
      <c r="J7" s="8">
        <f>SUMIFS('Data nguồn'!H:H, 'Data nguồn'!D:D, $B$1, 'Data nguồn'!F:F, $D7, 'Data nguồn'!C:C, J$3)</f>
      </c>
      <c r="K7" s="8">
        <f>SUMIFS('Data nguồn'!H:H, 'Data nguồn'!D:D, $B$1, 'Data nguồn'!F:F, $D7, 'Data nguồn'!C:C, K$3)</f>
      </c>
      <c r="L7" s="8">
        <f>SUMIFS('Data nguồn'!H:H, 'Data nguồn'!D:D, $B$1, 'Data nguồn'!F:F, $D7, 'Data nguồn'!C:C, L$3)</f>
      </c>
      <c r="M7" s="8">
        <f>SUMIFS('Data nguồn'!H:H, 'Data nguồn'!D:D, $B$1, 'Data nguồn'!F:F, $D7, 'Data nguồn'!C:C, M$3)</f>
      </c>
      <c r="N7" s="8">
        <f>SUMIFS('Data nguồn'!H:H, 'Data nguồn'!D:D, $B$1, 'Data nguồn'!F:F, $D7, 'Data nguồn'!C:C, N$3)</f>
      </c>
      <c r="O7" s="8">
        <f>SUMIFS('Data nguồn'!H:H, 'Data nguồn'!D:D, $B$1, 'Data nguồn'!F:F, $D7, 'Data nguồn'!C:C, O$3)</f>
      </c>
      <c r="P7" s="8">
        <f>SUMIFS('Data nguồn'!H:H, 'Data nguồn'!D:D, $B$1, 'Data nguồn'!F:F, $D7, 'Data nguồn'!C:C, P$3)</f>
      </c>
      <c r="Q7" s="8">
        <f>SUMIFS('Data nguồn'!H:H, 'Data nguồn'!D:D, $B$1, 'Data nguồn'!F:F, $D7, 'Data nguồn'!C:C, Q$3)</f>
      </c>
      <c r="R7" s="8">
        <f>SUMIFS('Data nguồn'!H:H, 'Data nguồn'!D:D, $B$1, 'Data nguồn'!F:F, $D7, 'Data nguồn'!C:C, R$3)</f>
      </c>
      <c r="S7" s="8">
        <f>SUMIFS('Data nguồn'!H:H, 'Data nguồn'!D:D, $B$1, 'Data nguồn'!F:F, $D7, 'Data nguồn'!C:C, S$3)</f>
      </c>
      <c r="T7" s="8">
        <f>SUMIFS('Data nguồn'!H:H, 'Data nguồn'!D:D, $B$1, 'Data nguồn'!F:F, $D7, 'Data nguồn'!C:C, T$3)</f>
      </c>
      <c r="V7" s="8">
        <f>SUM(E7:P7)</f>
      </c>
      <c r="W7" s="8">
        <f>SUM(Q7:T7)</f>
      </c>
      <c r="X7" s="8">
        <f>AVERAGE(R7:T7)</f>
      </c>
      <c r="Y7" s="8">
        <f>AVERAGE(O7:T7)</f>
      </c>
      <c r="Z7" s="8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4:30" x14ac:dyDescent="0.25">
      <c r="D8" s="2" t="s">
        <v>31</v>
      </c>
      <c r="E8" s="8">
        <f>SUMIFS('Data nguồn'!H:H, 'Data nguồn'!D:D, $B$1, 'Data nguồn'!F:F, $D8, 'Data nguồn'!C:C, E$3)</f>
      </c>
      <c r="F8" s="8">
        <f>SUMIFS('Data nguồn'!H:H, 'Data nguồn'!D:D, $B$1, 'Data nguồn'!F:F, $D8, 'Data nguồn'!C:C, F$3)</f>
      </c>
      <c r="G8" s="8">
        <f>SUMIFS('Data nguồn'!H:H, 'Data nguồn'!D:D, $B$1, 'Data nguồn'!F:F, $D8, 'Data nguồn'!C:C, G$3)</f>
      </c>
      <c r="H8" s="8">
        <f>SUMIFS('Data nguồn'!H:H, 'Data nguồn'!D:D, $B$1, 'Data nguồn'!F:F, $D8, 'Data nguồn'!C:C, H$3)</f>
      </c>
      <c r="I8" s="8">
        <f>SUMIFS('Data nguồn'!H:H, 'Data nguồn'!D:D, $B$1, 'Data nguồn'!F:F, $D8, 'Data nguồn'!C:C, I$3)</f>
      </c>
      <c r="J8" s="8">
        <f>SUMIFS('Data nguồn'!H:H, 'Data nguồn'!D:D, $B$1, 'Data nguồn'!F:F, $D8, 'Data nguồn'!C:C, J$3)</f>
      </c>
      <c r="K8" s="8">
        <f>SUMIFS('Data nguồn'!H:H, 'Data nguồn'!D:D, $B$1, 'Data nguồn'!F:F, $D8, 'Data nguồn'!C:C, K$3)</f>
      </c>
      <c r="L8" s="8">
        <f>SUMIFS('Data nguồn'!H:H, 'Data nguồn'!D:D, $B$1, 'Data nguồn'!F:F, $D8, 'Data nguồn'!C:C, L$3)</f>
      </c>
      <c r="M8" s="8">
        <f>SUMIFS('Data nguồn'!H:H, 'Data nguồn'!D:D, $B$1, 'Data nguồn'!F:F, $D8, 'Data nguồn'!C:C, M$3)</f>
      </c>
      <c r="N8" s="8">
        <f>SUMIFS('Data nguồn'!H:H, 'Data nguồn'!D:D, $B$1, 'Data nguồn'!F:F, $D8, 'Data nguồn'!C:C, N$3)</f>
      </c>
      <c r="O8" s="8">
        <f>SUMIFS('Data nguồn'!H:H, 'Data nguồn'!D:D, $B$1, 'Data nguồn'!F:F, $D8, 'Data nguồn'!C:C, O$3)</f>
      </c>
      <c r="P8" s="8">
        <f>SUMIFS('Data nguồn'!H:H, 'Data nguồn'!D:D, $B$1, 'Data nguồn'!F:F, $D8, 'Data nguồn'!C:C, P$3)</f>
      </c>
      <c r="Q8" s="8">
        <f>SUMIFS('Data nguồn'!H:H, 'Data nguồn'!D:D, $B$1, 'Data nguồn'!F:F, $D8, 'Data nguồn'!C:C, Q$3)</f>
      </c>
      <c r="R8" s="8">
        <f>SUMIFS('Data nguồn'!H:H, 'Data nguồn'!D:D, $B$1, 'Data nguồn'!F:F, $D8, 'Data nguồn'!C:C, R$3)</f>
      </c>
      <c r="S8" s="8">
        <f>SUMIFS('Data nguồn'!H:H, 'Data nguồn'!D:D, $B$1, 'Data nguồn'!F:F, $D8, 'Data nguồn'!C:C, S$3)</f>
      </c>
      <c r="T8" s="8">
        <f>SUMIFS('Data nguồn'!H:H, 'Data nguồn'!D:D, $B$1, 'Data nguồn'!F:F, $D8, 'Data nguồn'!C:C, T$3)</f>
      </c>
      <c r="V8" s="8">
        <f>SUM(E8:P8)</f>
      </c>
      <c r="W8" s="8">
        <f>SUM(Q8:T8)</f>
      </c>
      <c r="X8" s="8">
        <f>AVERAGE(R8:T8)</f>
      </c>
      <c r="Y8" s="8">
        <f>AVERAGE(O8:T8)</f>
      </c>
      <c r="Z8" s="8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4:30" x14ac:dyDescent="0.25">
      <c r="D9" s="2" t="s">
        <v>89</v>
      </c>
      <c r="E9" s="8">
        <f>SUMIFS('Data nguồn'!H:H, 'Data nguồn'!D:D, $B$1, 'Data nguồn'!F:F, $D9, 'Data nguồn'!C:C, E$3)</f>
      </c>
      <c r="F9" s="8">
        <f>SUMIFS('Data nguồn'!H:H, 'Data nguồn'!D:D, $B$1, 'Data nguồn'!F:F, $D9, 'Data nguồn'!C:C, F$3)</f>
      </c>
      <c r="G9" s="8">
        <f>SUMIFS('Data nguồn'!H:H, 'Data nguồn'!D:D, $B$1, 'Data nguồn'!F:F, $D9, 'Data nguồn'!C:C, G$3)</f>
      </c>
      <c r="H9" s="8">
        <f>SUMIFS('Data nguồn'!H:H, 'Data nguồn'!D:D, $B$1, 'Data nguồn'!F:F, $D9, 'Data nguồn'!C:C, H$3)</f>
      </c>
      <c r="I9" s="8">
        <f>SUMIFS('Data nguồn'!H:H, 'Data nguồn'!D:D, $B$1, 'Data nguồn'!F:F, $D9, 'Data nguồn'!C:C, I$3)</f>
      </c>
      <c r="J9" s="8">
        <f>SUMIFS('Data nguồn'!H:H, 'Data nguồn'!D:D, $B$1, 'Data nguồn'!F:F, $D9, 'Data nguồn'!C:C, J$3)</f>
      </c>
      <c r="K9" s="8">
        <f>SUMIFS('Data nguồn'!H:H, 'Data nguồn'!D:D, $B$1, 'Data nguồn'!F:F, $D9, 'Data nguồn'!C:C, K$3)</f>
      </c>
      <c r="L9" s="8">
        <f>SUMIFS('Data nguồn'!H:H, 'Data nguồn'!D:D, $B$1, 'Data nguồn'!F:F, $D9, 'Data nguồn'!C:C, L$3)</f>
      </c>
      <c r="M9" s="8">
        <f>SUMIFS('Data nguồn'!H:H, 'Data nguồn'!D:D, $B$1, 'Data nguồn'!F:F, $D9, 'Data nguồn'!C:C, M$3)</f>
      </c>
      <c r="N9" s="8">
        <f>SUMIFS('Data nguồn'!H:H, 'Data nguồn'!D:D, $B$1, 'Data nguồn'!F:F, $D9, 'Data nguồn'!C:C, N$3)</f>
      </c>
      <c r="O9" s="8">
        <f>SUMIFS('Data nguồn'!H:H, 'Data nguồn'!D:D, $B$1, 'Data nguồn'!F:F, $D9, 'Data nguồn'!C:C, O$3)</f>
      </c>
      <c r="P9" s="8">
        <f>SUMIFS('Data nguồn'!H:H, 'Data nguồn'!D:D, $B$1, 'Data nguồn'!F:F, $D9, 'Data nguồn'!C:C, P$3)</f>
      </c>
      <c r="Q9" s="8">
        <f>SUMIFS('Data nguồn'!H:H, 'Data nguồn'!D:D, $B$1, 'Data nguồn'!F:F, $D9, 'Data nguồn'!C:C, Q$3)</f>
      </c>
      <c r="R9" s="8">
        <f>SUMIFS('Data nguồn'!H:H, 'Data nguồn'!D:D, $B$1, 'Data nguồn'!F:F, $D9, 'Data nguồn'!C:C, R$3)</f>
      </c>
      <c r="S9" s="8">
        <f>SUMIFS('Data nguồn'!H:H, 'Data nguồn'!D:D, $B$1, 'Data nguồn'!F:F, $D9, 'Data nguồn'!C:C, S$3)</f>
      </c>
      <c r="T9" s="8">
        <f>SUMIFS('Data nguồn'!H:H, 'Data nguồn'!D:D, $B$1, 'Data nguồn'!F:F, $D9, 'Data nguồn'!C:C, T$3)</f>
      </c>
      <c r="V9" s="8">
        <f>SUM(E9:P9)</f>
      </c>
      <c r="W9" s="8">
        <f>SUM(Q9:T9)</f>
      </c>
      <c r="X9" s="8">
        <f>AVERAGE(R9:T9)</f>
      </c>
      <c r="Y9" s="8">
        <f>AVERAGE(O9:T9)</f>
      </c>
      <c r="Z9" s="8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4:30" x14ac:dyDescent="0.25">
      <c r="D10" s="2" t="s">
        <v>57</v>
      </c>
      <c r="E10" s="8">
        <f>SUMIFS('Data nguồn'!H:H, 'Data nguồn'!D:D, $B$1, 'Data nguồn'!F:F, $D10, 'Data nguồn'!C:C, E$3)</f>
      </c>
      <c r="F10" s="8">
        <f>SUMIFS('Data nguồn'!H:H, 'Data nguồn'!D:D, $B$1, 'Data nguồn'!F:F, $D10, 'Data nguồn'!C:C, F$3)</f>
      </c>
      <c r="G10" s="8">
        <f>SUMIFS('Data nguồn'!H:H, 'Data nguồn'!D:D, $B$1, 'Data nguồn'!F:F, $D10, 'Data nguồn'!C:C, G$3)</f>
      </c>
      <c r="H10" s="8">
        <f>SUMIFS('Data nguồn'!H:H, 'Data nguồn'!D:D, $B$1, 'Data nguồn'!F:F, $D10, 'Data nguồn'!C:C, H$3)</f>
      </c>
      <c r="I10" s="8">
        <f>SUMIFS('Data nguồn'!H:H, 'Data nguồn'!D:D, $B$1, 'Data nguồn'!F:F, $D10, 'Data nguồn'!C:C, I$3)</f>
      </c>
      <c r="J10" s="8">
        <f>SUMIFS('Data nguồn'!H:H, 'Data nguồn'!D:D, $B$1, 'Data nguồn'!F:F, $D10, 'Data nguồn'!C:C, J$3)</f>
      </c>
      <c r="K10" s="8">
        <f>SUMIFS('Data nguồn'!H:H, 'Data nguồn'!D:D, $B$1, 'Data nguồn'!F:F, $D10, 'Data nguồn'!C:C, K$3)</f>
      </c>
      <c r="L10" s="8">
        <f>SUMIFS('Data nguồn'!H:H, 'Data nguồn'!D:D, $B$1, 'Data nguồn'!F:F, $D10, 'Data nguồn'!C:C, L$3)</f>
      </c>
      <c r="M10" s="8">
        <f>SUMIFS('Data nguồn'!H:H, 'Data nguồn'!D:D, $B$1, 'Data nguồn'!F:F, $D10, 'Data nguồn'!C:C, M$3)</f>
      </c>
      <c r="N10" s="8">
        <f>SUMIFS('Data nguồn'!H:H, 'Data nguồn'!D:D, $B$1, 'Data nguồn'!F:F, $D10, 'Data nguồn'!C:C, N$3)</f>
      </c>
      <c r="O10" s="8">
        <f>SUMIFS('Data nguồn'!H:H, 'Data nguồn'!D:D, $B$1, 'Data nguồn'!F:F, $D10, 'Data nguồn'!C:C, O$3)</f>
      </c>
      <c r="P10" s="8">
        <f>SUMIFS('Data nguồn'!H:H, 'Data nguồn'!D:D, $B$1, 'Data nguồn'!F:F, $D10, 'Data nguồn'!C:C, P$3)</f>
      </c>
      <c r="Q10" s="8">
        <f>SUMIFS('Data nguồn'!H:H, 'Data nguồn'!D:D, $B$1, 'Data nguồn'!F:F, $D10, 'Data nguồn'!C:C, Q$3)</f>
      </c>
      <c r="R10" s="8">
        <f>SUMIFS('Data nguồn'!H:H, 'Data nguồn'!D:D, $B$1, 'Data nguồn'!F:F, $D10, 'Data nguồn'!C:C, R$3)</f>
      </c>
      <c r="S10" s="8">
        <f>SUMIFS('Data nguồn'!H:H, 'Data nguồn'!D:D, $B$1, 'Data nguồn'!F:F, $D10, 'Data nguồn'!C:C, S$3)</f>
      </c>
      <c r="T10" s="8">
        <f>SUMIFS('Data nguồn'!H:H, 'Data nguồn'!D:D, $B$1, 'Data nguồn'!F:F, $D10, 'Data nguồn'!C:C, T$3)</f>
      </c>
      <c r="V10" s="8">
        <f>SUM(E10:P10)</f>
      </c>
      <c r="W10" s="8">
        <f>SUM(Q10:T10)</f>
      </c>
      <c r="X10" s="8">
        <f>AVERAGE(R10:T10)</f>
      </c>
      <c r="Y10" s="8">
        <f>AVERAGE(O10:T10)</f>
      </c>
      <c r="Z10" s="8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4:30" x14ac:dyDescent="0.25">
      <c r="D11" s="2" t="s">
        <v>19</v>
      </c>
      <c r="E11" s="8">
        <f>SUMIFS('Data nguồn'!H:H, 'Data nguồn'!D:D, $B$1, 'Data nguồn'!F:F, $D11, 'Data nguồn'!C:C, E$3)</f>
      </c>
      <c r="F11" s="8">
        <f>SUMIFS('Data nguồn'!H:H, 'Data nguồn'!D:D, $B$1, 'Data nguồn'!F:F, $D11, 'Data nguồn'!C:C, F$3)</f>
      </c>
      <c r="G11" s="8">
        <f>SUMIFS('Data nguồn'!H:H, 'Data nguồn'!D:D, $B$1, 'Data nguồn'!F:F, $D11, 'Data nguồn'!C:C, G$3)</f>
      </c>
      <c r="H11" s="8">
        <f>SUMIFS('Data nguồn'!H:H, 'Data nguồn'!D:D, $B$1, 'Data nguồn'!F:F, $D11, 'Data nguồn'!C:C, H$3)</f>
      </c>
      <c r="I11" s="8">
        <f>SUMIFS('Data nguồn'!H:H, 'Data nguồn'!D:D, $B$1, 'Data nguồn'!F:F, $D11, 'Data nguồn'!C:C, I$3)</f>
      </c>
      <c r="J11" s="8">
        <f>SUMIFS('Data nguồn'!H:H, 'Data nguồn'!D:D, $B$1, 'Data nguồn'!F:F, $D11, 'Data nguồn'!C:C, J$3)</f>
      </c>
      <c r="K11" s="8">
        <f>SUMIFS('Data nguồn'!H:H, 'Data nguồn'!D:D, $B$1, 'Data nguồn'!F:F, $D11, 'Data nguồn'!C:C, K$3)</f>
      </c>
      <c r="L11" s="8">
        <f>SUMIFS('Data nguồn'!H:H, 'Data nguồn'!D:D, $B$1, 'Data nguồn'!F:F, $D11, 'Data nguồn'!C:C, L$3)</f>
      </c>
      <c r="M11" s="8">
        <f>SUMIFS('Data nguồn'!H:H, 'Data nguồn'!D:D, $B$1, 'Data nguồn'!F:F, $D11, 'Data nguồn'!C:C, M$3)</f>
      </c>
      <c r="N11" s="8">
        <f>SUMIFS('Data nguồn'!H:H, 'Data nguồn'!D:D, $B$1, 'Data nguồn'!F:F, $D11, 'Data nguồn'!C:C, N$3)</f>
      </c>
      <c r="O11" s="8">
        <f>SUMIFS('Data nguồn'!H:H, 'Data nguồn'!D:D, $B$1, 'Data nguồn'!F:F, $D11, 'Data nguồn'!C:C, O$3)</f>
      </c>
      <c r="P11" s="8">
        <f>SUMIFS('Data nguồn'!H:H, 'Data nguồn'!D:D, $B$1, 'Data nguồn'!F:F, $D11, 'Data nguồn'!C:C, P$3)</f>
      </c>
      <c r="Q11" s="8">
        <f>SUMIFS('Data nguồn'!H:H, 'Data nguồn'!D:D, $B$1, 'Data nguồn'!F:F, $D11, 'Data nguồn'!C:C, Q$3)</f>
      </c>
      <c r="R11" s="8">
        <f>SUMIFS('Data nguồn'!H:H, 'Data nguồn'!D:D, $B$1, 'Data nguồn'!F:F, $D11, 'Data nguồn'!C:C, R$3)</f>
      </c>
      <c r="S11" s="8">
        <f>SUMIFS('Data nguồn'!H:H, 'Data nguồn'!D:D, $B$1, 'Data nguồn'!F:F, $D11, 'Data nguồn'!C:C, S$3)</f>
      </c>
      <c r="T11" s="8">
        <f>SUMIFS('Data nguồn'!H:H, 'Data nguồn'!D:D, $B$1, 'Data nguồn'!F:F, $D11, 'Data nguồn'!C:C, T$3)</f>
      </c>
      <c r="V11" s="8">
        <f>SUM(E11:P11)</f>
      </c>
      <c r="W11" s="8">
        <f>SUM(Q11:T11)</f>
      </c>
      <c r="X11" s="8">
        <f>AVERAGE(R11:T11)</f>
      </c>
      <c r="Y11" s="8">
        <f>AVERAGE(O11:T11)</f>
      </c>
      <c r="Z11" s="8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4:30" x14ac:dyDescent="0.25">
      <c r="D12" s="2" t="s">
        <v>27</v>
      </c>
      <c r="E12" s="8">
        <f>SUMIFS('Data nguồn'!H:H, 'Data nguồn'!D:D, $B$1, 'Data nguồn'!F:F, $D12, 'Data nguồn'!C:C, E$3)</f>
      </c>
      <c r="F12" s="8">
        <f>SUMIFS('Data nguồn'!H:H, 'Data nguồn'!D:D, $B$1, 'Data nguồn'!F:F, $D12, 'Data nguồn'!C:C, F$3)</f>
      </c>
      <c r="G12" s="8">
        <f>SUMIFS('Data nguồn'!H:H, 'Data nguồn'!D:D, $B$1, 'Data nguồn'!F:F, $D12, 'Data nguồn'!C:C, G$3)</f>
      </c>
      <c r="H12" s="8">
        <f>SUMIFS('Data nguồn'!H:H, 'Data nguồn'!D:D, $B$1, 'Data nguồn'!F:F, $D12, 'Data nguồn'!C:C, H$3)</f>
      </c>
      <c r="I12" s="8">
        <f>SUMIFS('Data nguồn'!H:H, 'Data nguồn'!D:D, $B$1, 'Data nguồn'!F:F, $D12, 'Data nguồn'!C:C, I$3)</f>
      </c>
      <c r="J12" s="8">
        <f>SUMIFS('Data nguồn'!H:H, 'Data nguồn'!D:D, $B$1, 'Data nguồn'!F:F, $D12, 'Data nguồn'!C:C, J$3)</f>
      </c>
      <c r="K12" s="8">
        <f>SUMIFS('Data nguồn'!H:H, 'Data nguồn'!D:D, $B$1, 'Data nguồn'!F:F, $D12, 'Data nguồn'!C:C, K$3)</f>
      </c>
      <c r="L12" s="8">
        <f>SUMIFS('Data nguồn'!H:H, 'Data nguồn'!D:D, $B$1, 'Data nguồn'!F:F, $D12, 'Data nguồn'!C:C, L$3)</f>
      </c>
      <c r="M12" s="8">
        <f>SUMIFS('Data nguồn'!H:H, 'Data nguồn'!D:D, $B$1, 'Data nguồn'!F:F, $D12, 'Data nguồn'!C:C, M$3)</f>
      </c>
      <c r="N12" s="8">
        <f>SUMIFS('Data nguồn'!H:H, 'Data nguồn'!D:D, $B$1, 'Data nguồn'!F:F, $D12, 'Data nguồn'!C:C, N$3)</f>
      </c>
      <c r="O12" s="8">
        <f>SUMIFS('Data nguồn'!H:H, 'Data nguồn'!D:D, $B$1, 'Data nguồn'!F:F, $D12, 'Data nguồn'!C:C, O$3)</f>
      </c>
      <c r="P12" s="8">
        <f>SUMIFS('Data nguồn'!H:H, 'Data nguồn'!D:D, $B$1, 'Data nguồn'!F:F, $D12, 'Data nguồn'!C:C, P$3)</f>
      </c>
      <c r="Q12" s="8">
        <f>SUMIFS('Data nguồn'!H:H, 'Data nguồn'!D:D, $B$1, 'Data nguồn'!F:F, $D12, 'Data nguồn'!C:C, Q$3)</f>
      </c>
      <c r="R12" s="8">
        <f>SUMIFS('Data nguồn'!H:H, 'Data nguồn'!D:D, $B$1, 'Data nguồn'!F:F, $D12, 'Data nguồn'!C:C, R$3)</f>
      </c>
      <c r="S12" s="8">
        <f>SUMIFS('Data nguồn'!H:H, 'Data nguồn'!D:D, $B$1, 'Data nguồn'!F:F, $D12, 'Data nguồn'!C:C, S$3)</f>
      </c>
      <c r="T12" s="8">
        <f>SUMIFS('Data nguồn'!H:H, 'Data nguồn'!D:D, $B$1, 'Data nguồn'!F:F, $D12, 'Data nguồn'!C:C, T$3)</f>
      </c>
      <c r="V12" s="8">
        <f>SUM(E12:P12)</f>
      </c>
      <c r="W12" s="8">
        <f>SUM(Q12:T12)</f>
      </c>
      <c r="X12" s="8">
        <f>AVERAGE(R12:T12)</f>
      </c>
      <c r="Y12" s="8">
        <f>AVERAGE(O12:T12)</f>
      </c>
      <c r="Z12" s="8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4:30" x14ac:dyDescent="0.25">
      <c r="D13" s="2" t="s">
        <v>51</v>
      </c>
      <c r="E13" s="8">
        <f>SUMIFS('Data nguồn'!H:H, 'Data nguồn'!D:D, $B$1, 'Data nguồn'!F:F, $D13, 'Data nguồn'!C:C, E$3)</f>
      </c>
      <c r="F13" s="8">
        <f>SUMIFS('Data nguồn'!H:H, 'Data nguồn'!D:D, $B$1, 'Data nguồn'!F:F, $D13, 'Data nguồn'!C:C, F$3)</f>
      </c>
      <c r="G13" s="8">
        <f>SUMIFS('Data nguồn'!H:H, 'Data nguồn'!D:D, $B$1, 'Data nguồn'!F:F, $D13, 'Data nguồn'!C:C, G$3)</f>
      </c>
      <c r="H13" s="8">
        <f>SUMIFS('Data nguồn'!H:H, 'Data nguồn'!D:D, $B$1, 'Data nguồn'!F:F, $D13, 'Data nguồn'!C:C, H$3)</f>
      </c>
      <c r="I13" s="8">
        <f>SUMIFS('Data nguồn'!H:H, 'Data nguồn'!D:D, $B$1, 'Data nguồn'!F:F, $D13, 'Data nguồn'!C:C, I$3)</f>
      </c>
      <c r="J13" s="8">
        <f>SUMIFS('Data nguồn'!H:H, 'Data nguồn'!D:D, $B$1, 'Data nguồn'!F:F, $D13, 'Data nguồn'!C:C, J$3)</f>
      </c>
      <c r="K13" s="8">
        <f>SUMIFS('Data nguồn'!H:H, 'Data nguồn'!D:D, $B$1, 'Data nguồn'!F:F, $D13, 'Data nguồn'!C:C, K$3)</f>
      </c>
      <c r="L13" s="8">
        <f>SUMIFS('Data nguồn'!H:H, 'Data nguồn'!D:D, $B$1, 'Data nguồn'!F:F, $D13, 'Data nguồn'!C:C, L$3)</f>
      </c>
      <c r="M13" s="8">
        <f>SUMIFS('Data nguồn'!H:H, 'Data nguồn'!D:D, $B$1, 'Data nguồn'!F:F, $D13, 'Data nguồn'!C:C, M$3)</f>
      </c>
      <c r="N13" s="8">
        <f>SUMIFS('Data nguồn'!H:H, 'Data nguồn'!D:D, $B$1, 'Data nguồn'!F:F, $D13, 'Data nguồn'!C:C, N$3)</f>
      </c>
      <c r="O13" s="8">
        <f>SUMIFS('Data nguồn'!H:H, 'Data nguồn'!D:D, $B$1, 'Data nguồn'!F:F, $D13, 'Data nguồn'!C:C, O$3)</f>
      </c>
      <c r="P13" s="8">
        <f>SUMIFS('Data nguồn'!H:H, 'Data nguồn'!D:D, $B$1, 'Data nguồn'!F:F, $D13, 'Data nguồn'!C:C, P$3)</f>
      </c>
      <c r="Q13" s="8">
        <f>SUMIFS('Data nguồn'!H:H, 'Data nguồn'!D:D, $B$1, 'Data nguồn'!F:F, $D13, 'Data nguồn'!C:C, Q$3)</f>
      </c>
      <c r="R13" s="8">
        <f>SUMIFS('Data nguồn'!H:H, 'Data nguồn'!D:D, $B$1, 'Data nguồn'!F:F, $D13, 'Data nguồn'!C:C, R$3)</f>
      </c>
      <c r="S13" s="8">
        <f>SUMIFS('Data nguồn'!H:H, 'Data nguồn'!D:D, $B$1, 'Data nguồn'!F:F, $D13, 'Data nguồn'!C:C, S$3)</f>
      </c>
      <c r="T13" s="8">
        <f>SUMIFS('Data nguồn'!H:H, 'Data nguồn'!D:D, $B$1, 'Data nguồn'!F:F, $D13, 'Data nguồn'!C:C, T$3)</f>
      </c>
      <c r="V13" s="8">
        <f>SUM(E13:P13)</f>
      </c>
      <c r="W13" s="8">
        <f>SUM(Q13:T13)</f>
      </c>
      <c r="X13" s="8">
        <f>AVERAGE(R13:T13)</f>
      </c>
      <c r="Y13" s="8">
        <f>AVERAGE(O13:T13)</f>
      </c>
      <c r="Z13" s="8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4:30" x14ac:dyDescent="0.25">
      <c r="D14" s="2" t="s">
        <v>63</v>
      </c>
      <c r="E14" s="8">
        <f>SUMIFS('Data nguồn'!H:H, 'Data nguồn'!D:D, $B$1, 'Data nguồn'!F:F, $D14, 'Data nguồn'!C:C, E$3)</f>
      </c>
      <c r="F14" s="8">
        <f>SUMIFS('Data nguồn'!H:H, 'Data nguồn'!D:D, $B$1, 'Data nguồn'!F:F, $D14, 'Data nguồn'!C:C, F$3)</f>
      </c>
      <c r="G14" s="8">
        <f>SUMIFS('Data nguồn'!H:H, 'Data nguồn'!D:D, $B$1, 'Data nguồn'!F:F, $D14, 'Data nguồn'!C:C, G$3)</f>
      </c>
      <c r="H14" s="8">
        <f>SUMIFS('Data nguồn'!H:H, 'Data nguồn'!D:D, $B$1, 'Data nguồn'!F:F, $D14, 'Data nguồn'!C:C, H$3)</f>
      </c>
      <c r="I14" s="8">
        <f>SUMIFS('Data nguồn'!H:H, 'Data nguồn'!D:D, $B$1, 'Data nguồn'!F:F, $D14, 'Data nguồn'!C:C, I$3)</f>
      </c>
      <c r="J14" s="8">
        <f>SUMIFS('Data nguồn'!H:H, 'Data nguồn'!D:D, $B$1, 'Data nguồn'!F:F, $D14, 'Data nguồn'!C:C, J$3)</f>
      </c>
      <c r="K14" s="8">
        <f>SUMIFS('Data nguồn'!H:H, 'Data nguồn'!D:D, $B$1, 'Data nguồn'!F:F, $D14, 'Data nguồn'!C:C, K$3)</f>
      </c>
      <c r="L14" s="8">
        <f>SUMIFS('Data nguồn'!H:H, 'Data nguồn'!D:D, $B$1, 'Data nguồn'!F:F, $D14, 'Data nguồn'!C:C, L$3)</f>
      </c>
      <c r="M14" s="8">
        <f>SUMIFS('Data nguồn'!H:H, 'Data nguồn'!D:D, $B$1, 'Data nguồn'!F:F, $D14, 'Data nguồn'!C:C, M$3)</f>
      </c>
      <c r="N14" s="8">
        <f>SUMIFS('Data nguồn'!H:H, 'Data nguồn'!D:D, $B$1, 'Data nguồn'!F:F, $D14, 'Data nguồn'!C:C, N$3)</f>
      </c>
      <c r="O14" s="8">
        <f>SUMIFS('Data nguồn'!H:H, 'Data nguồn'!D:D, $B$1, 'Data nguồn'!F:F, $D14, 'Data nguồn'!C:C, O$3)</f>
      </c>
      <c r="P14" s="8">
        <f>SUMIFS('Data nguồn'!H:H, 'Data nguồn'!D:D, $B$1, 'Data nguồn'!F:F, $D14, 'Data nguồn'!C:C, P$3)</f>
      </c>
      <c r="Q14" s="8">
        <f>SUMIFS('Data nguồn'!H:H, 'Data nguồn'!D:D, $B$1, 'Data nguồn'!F:F, $D14, 'Data nguồn'!C:C, Q$3)</f>
      </c>
      <c r="R14" s="8">
        <f>SUMIFS('Data nguồn'!H:H, 'Data nguồn'!D:D, $B$1, 'Data nguồn'!F:F, $D14, 'Data nguồn'!C:C, R$3)</f>
      </c>
      <c r="S14" s="8">
        <f>SUMIFS('Data nguồn'!H:H, 'Data nguồn'!D:D, $B$1, 'Data nguồn'!F:F, $D14, 'Data nguồn'!C:C, S$3)</f>
      </c>
      <c r="T14" s="8">
        <f>SUMIFS('Data nguồn'!H:H, 'Data nguồn'!D:D, $B$1, 'Data nguồn'!F:F, $D14, 'Data nguồn'!C:C, T$3)</f>
      </c>
      <c r="V14" s="8">
        <f>SUM(E14:P14)</f>
      </c>
      <c r="W14" s="8">
        <f>SUM(Q14:T14)</f>
      </c>
      <c r="X14" s="8">
        <f>AVERAGE(R14:T14)</f>
      </c>
      <c r="Y14" s="8">
        <f>AVERAGE(O14:T14)</f>
      </c>
      <c r="Z14" s="8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4:30" x14ac:dyDescent="0.25">
      <c r="D15" s="2" t="s">
        <v>29</v>
      </c>
      <c r="E15" s="8">
        <f>SUMIFS('Data nguồn'!H:H, 'Data nguồn'!D:D, $B$1, 'Data nguồn'!F:F, $D15, 'Data nguồn'!C:C, E$3)</f>
      </c>
      <c r="F15" s="8">
        <f>SUMIFS('Data nguồn'!H:H, 'Data nguồn'!D:D, $B$1, 'Data nguồn'!F:F, $D15, 'Data nguồn'!C:C, F$3)</f>
      </c>
      <c r="G15" s="8">
        <f>SUMIFS('Data nguồn'!H:H, 'Data nguồn'!D:D, $B$1, 'Data nguồn'!F:F, $D15, 'Data nguồn'!C:C, G$3)</f>
      </c>
      <c r="H15" s="8">
        <f>SUMIFS('Data nguồn'!H:H, 'Data nguồn'!D:D, $B$1, 'Data nguồn'!F:F, $D15, 'Data nguồn'!C:C, H$3)</f>
      </c>
      <c r="I15" s="8">
        <f>SUMIFS('Data nguồn'!H:H, 'Data nguồn'!D:D, $B$1, 'Data nguồn'!F:F, $D15, 'Data nguồn'!C:C, I$3)</f>
      </c>
      <c r="J15" s="8">
        <f>SUMIFS('Data nguồn'!H:H, 'Data nguồn'!D:D, $B$1, 'Data nguồn'!F:F, $D15, 'Data nguồn'!C:C, J$3)</f>
      </c>
      <c r="K15" s="8">
        <f>SUMIFS('Data nguồn'!H:H, 'Data nguồn'!D:D, $B$1, 'Data nguồn'!F:F, $D15, 'Data nguồn'!C:C, K$3)</f>
      </c>
      <c r="L15" s="8">
        <f>SUMIFS('Data nguồn'!H:H, 'Data nguồn'!D:D, $B$1, 'Data nguồn'!F:F, $D15, 'Data nguồn'!C:C, L$3)</f>
      </c>
      <c r="M15" s="8">
        <f>SUMIFS('Data nguồn'!H:H, 'Data nguồn'!D:D, $B$1, 'Data nguồn'!F:F, $D15, 'Data nguồn'!C:C, M$3)</f>
      </c>
      <c r="N15" s="8">
        <f>SUMIFS('Data nguồn'!H:H, 'Data nguồn'!D:D, $B$1, 'Data nguồn'!F:F, $D15, 'Data nguồn'!C:C, N$3)</f>
      </c>
      <c r="O15" s="8">
        <f>SUMIFS('Data nguồn'!H:H, 'Data nguồn'!D:D, $B$1, 'Data nguồn'!F:F, $D15, 'Data nguồn'!C:C, O$3)</f>
      </c>
      <c r="P15" s="8">
        <f>SUMIFS('Data nguồn'!H:H, 'Data nguồn'!D:D, $B$1, 'Data nguồn'!F:F, $D15, 'Data nguồn'!C:C, P$3)</f>
      </c>
      <c r="Q15" s="8">
        <f>SUMIFS('Data nguồn'!H:H, 'Data nguồn'!D:D, $B$1, 'Data nguồn'!F:F, $D15, 'Data nguồn'!C:C, Q$3)</f>
      </c>
      <c r="R15" s="8">
        <f>SUMIFS('Data nguồn'!H:H, 'Data nguồn'!D:D, $B$1, 'Data nguồn'!F:F, $D15, 'Data nguồn'!C:C, R$3)</f>
      </c>
      <c r="S15" s="8">
        <f>SUMIFS('Data nguồn'!H:H, 'Data nguồn'!D:D, $B$1, 'Data nguồn'!F:F, $D15, 'Data nguồn'!C:C, S$3)</f>
      </c>
      <c r="T15" s="8">
        <f>SUMIFS('Data nguồn'!H:H, 'Data nguồn'!D:D, $B$1, 'Data nguồn'!F:F, $D15, 'Data nguồn'!C:C, T$3)</f>
      </c>
      <c r="V15" s="8">
        <f>SUM(E15:P15)</f>
      </c>
      <c r="W15" s="8">
        <f>SUM(Q15:T15)</f>
      </c>
      <c r="X15" s="8">
        <f>AVERAGE(R15:T15)</f>
      </c>
      <c r="Y15" s="8">
        <f>AVERAGE(O15:T15)</f>
      </c>
      <c r="Z15" s="8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4:30" x14ac:dyDescent="0.25">
      <c r="D16" s="2" t="s">
        <v>9</v>
      </c>
      <c r="E16" s="8">
        <f>SUMIFS('Data nguồn'!H:H, 'Data nguồn'!D:D, $B$1, 'Data nguồn'!F:F, $D16, 'Data nguồn'!C:C, E$3)</f>
      </c>
      <c r="F16" s="8">
        <f>SUMIFS('Data nguồn'!H:H, 'Data nguồn'!D:D, $B$1, 'Data nguồn'!F:F, $D16, 'Data nguồn'!C:C, F$3)</f>
      </c>
      <c r="G16" s="8">
        <f>SUMIFS('Data nguồn'!H:H, 'Data nguồn'!D:D, $B$1, 'Data nguồn'!F:F, $D16, 'Data nguồn'!C:C, G$3)</f>
      </c>
      <c r="H16" s="8">
        <f>SUMIFS('Data nguồn'!H:H, 'Data nguồn'!D:D, $B$1, 'Data nguồn'!F:F, $D16, 'Data nguồn'!C:C, H$3)</f>
      </c>
      <c r="I16" s="8">
        <f>SUMIFS('Data nguồn'!H:H, 'Data nguồn'!D:D, $B$1, 'Data nguồn'!F:F, $D16, 'Data nguồn'!C:C, I$3)</f>
      </c>
      <c r="J16" s="8">
        <f>SUMIFS('Data nguồn'!H:H, 'Data nguồn'!D:D, $B$1, 'Data nguồn'!F:F, $D16, 'Data nguồn'!C:C, J$3)</f>
      </c>
      <c r="K16" s="8">
        <f>SUMIFS('Data nguồn'!H:H, 'Data nguồn'!D:D, $B$1, 'Data nguồn'!F:F, $D16, 'Data nguồn'!C:C, K$3)</f>
      </c>
      <c r="L16" s="8">
        <f>SUMIFS('Data nguồn'!H:H, 'Data nguồn'!D:D, $B$1, 'Data nguồn'!F:F, $D16, 'Data nguồn'!C:C, L$3)</f>
      </c>
      <c r="M16" s="8">
        <f>SUMIFS('Data nguồn'!H:H, 'Data nguồn'!D:D, $B$1, 'Data nguồn'!F:F, $D16, 'Data nguồn'!C:C, M$3)</f>
      </c>
      <c r="N16" s="8">
        <f>SUMIFS('Data nguồn'!H:H, 'Data nguồn'!D:D, $B$1, 'Data nguồn'!F:F, $D16, 'Data nguồn'!C:C, N$3)</f>
      </c>
      <c r="O16" s="8">
        <f>SUMIFS('Data nguồn'!H:H, 'Data nguồn'!D:D, $B$1, 'Data nguồn'!F:F, $D16, 'Data nguồn'!C:C, O$3)</f>
      </c>
      <c r="P16" s="8">
        <f>SUMIFS('Data nguồn'!H:H, 'Data nguồn'!D:D, $B$1, 'Data nguồn'!F:F, $D16, 'Data nguồn'!C:C, P$3)</f>
      </c>
      <c r="Q16" s="8">
        <f>SUMIFS('Data nguồn'!H:H, 'Data nguồn'!D:D, $B$1, 'Data nguồn'!F:F, $D16, 'Data nguồn'!C:C, Q$3)</f>
      </c>
      <c r="R16" s="8">
        <f>SUMIFS('Data nguồn'!H:H, 'Data nguồn'!D:D, $B$1, 'Data nguồn'!F:F, $D16, 'Data nguồn'!C:C, R$3)</f>
      </c>
      <c r="S16" s="8">
        <f>SUMIFS('Data nguồn'!H:H, 'Data nguồn'!D:D, $B$1, 'Data nguồn'!F:F, $D16, 'Data nguồn'!C:C, S$3)</f>
      </c>
      <c r="T16" s="8">
        <f>SUMIFS('Data nguồn'!H:H, 'Data nguồn'!D:D, $B$1, 'Data nguồn'!F:F, $D16, 'Data nguồn'!C:C, T$3)</f>
      </c>
      <c r="V16" s="8">
        <f>SUM(E16:P16)</f>
      </c>
      <c r="W16" s="8">
        <f>SUM(Q16:T16)</f>
      </c>
      <c r="X16" s="8">
        <f>AVERAGE(R16:T16)</f>
      </c>
      <c r="Y16" s="8">
        <f>AVERAGE(O16:T16)</f>
      </c>
      <c r="Z16" s="8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4:30" x14ac:dyDescent="0.25">
      <c r="D17" s="2" t="s">
        <v>35</v>
      </c>
      <c r="E17" s="8">
        <f>SUMIFS('Data nguồn'!H:H, 'Data nguồn'!D:D, $B$1, 'Data nguồn'!F:F, $D17, 'Data nguồn'!C:C, E$3)</f>
      </c>
      <c r="F17" s="8">
        <f>SUMIFS('Data nguồn'!H:H, 'Data nguồn'!D:D, $B$1, 'Data nguồn'!F:F, $D17, 'Data nguồn'!C:C, F$3)</f>
      </c>
      <c r="G17" s="8">
        <f>SUMIFS('Data nguồn'!H:H, 'Data nguồn'!D:D, $B$1, 'Data nguồn'!F:F, $D17, 'Data nguồn'!C:C, G$3)</f>
      </c>
      <c r="H17" s="8">
        <f>SUMIFS('Data nguồn'!H:H, 'Data nguồn'!D:D, $B$1, 'Data nguồn'!F:F, $D17, 'Data nguồn'!C:C, H$3)</f>
      </c>
      <c r="I17" s="8">
        <f>SUMIFS('Data nguồn'!H:H, 'Data nguồn'!D:D, $B$1, 'Data nguồn'!F:F, $D17, 'Data nguồn'!C:C, I$3)</f>
      </c>
      <c r="J17" s="8">
        <f>SUMIFS('Data nguồn'!H:H, 'Data nguồn'!D:D, $B$1, 'Data nguồn'!F:F, $D17, 'Data nguồn'!C:C, J$3)</f>
      </c>
      <c r="K17" s="8">
        <f>SUMIFS('Data nguồn'!H:H, 'Data nguồn'!D:D, $B$1, 'Data nguồn'!F:F, $D17, 'Data nguồn'!C:C, K$3)</f>
      </c>
      <c r="L17" s="8">
        <f>SUMIFS('Data nguồn'!H:H, 'Data nguồn'!D:D, $B$1, 'Data nguồn'!F:F, $D17, 'Data nguồn'!C:C, L$3)</f>
      </c>
      <c r="M17" s="8">
        <f>SUMIFS('Data nguồn'!H:H, 'Data nguồn'!D:D, $B$1, 'Data nguồn'!F:F, $D17, 'Data nguồn'!C:C, M$3)</f>
      </c>
      <c r="N17" s="8">
        <f>SUMIFS('Data nguồn'!H:H, 'Data nguồn'!D:D, $B$1, 'Data nguồn'!F:F, $D17, 'Data nguồn'!C:C, N$3)</f>
      </c>
      <c r="O17" s="8">
        <f>SUMIFS('Data nguồn'!H:H, 'Data nguồn'!D:D, $B$1, 'Data nguồn'!F:F, $D17, 'Data nguồn'!C:C, O$3)</f>
      </c>
      <c r="P17" s="8">
        <f>SUMIFS('Data nguồn'!H:H, 'Data nguồn'!D:D, $B$1, 'Data nguồn'!F:F, $D17, 'Data nguồn'!C:C, P$3)</f>
      </c>
      <c r="Q17" s="8">
        <f>SUMIFS('Data nguồn'!H:H, 'Data nguồn'!D:D, $B$1, 'Data nguồn'!F:F, $D17, 'Data nguồn'!C:C, Q$3)</f>
      </c>
      <c r="R17" s="8">
        <f>SUMIFS('Data nguồn'!H:H, 'Data nguồn'!D:D, $B$1, 'Data nguồn'!F:F, $D17, 'Data nguồn'!C:C, R$3)</f>
      </c>
      <c r="S17" s="8">
        <f>SUMIFS('Data nguồn'!H:H, 'Data nguồn'!D:D, $B$1, 'Data nguồn'!F:F, $D17, 'Data nguồn'!C:C, S$3)</f>
      </c>
      <c r="T17" s="8">
        <f>SUMIFS('Data nguồn'!H:H, 'Data nguồn'!D:D, $B$1, 'Data nguồn'!F:F, $D17, 'Data nguồn'!C:C, T$3)</f>
      </c>
      <c r="V17" s="8">
        <f>SUM(E17:P17)</f>
      </c>
      <c r="W17" s="8">
        <f>SUM(Q17:T17)</f>
      </c>
      <c r="X17" s="8">
        <f>AVERAGE(R17:T17)</f>
      </c>
      <c r="Y17" s="8">
        <f>AVERAGE(O17:T17)</f>
      </c>
      <c r="Z17" s="8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4:30" x14ac:dyDescent="0.25">
      <c r="D18" s="2" t="s">
        <v>91</v>
      </c>
      <c r="E18" s="8">
        <f>SUMIFS('Data nguồn'!H:H, 'Data nguồn'!D:D, $B$1, 'Data nguồn'!F:F, $D18, 'Data nguồn'!C:C, E$3)</f>
      </c>
      <c r="F18" s="8">
        <f>SUMIFS('Data nguồn'!H:H, 'Data nguồn'!D:D, $B$1, 'Data nguồn'!F:F, $D18, 'Data nguồn'!C:C, F$3)</f>
      </c>
      <c r="G18" s="8">
        <f>SUMIFS('Data nguồn'!H:H, 'Data nguồn'!D:D, $B$1, 'Data nguồn'!F:F, $D18, 'Data nguồn'!C:C, G$3)</f>
      </c>
      <c r="H18" s="8">
        <f>SUMIFS('Data nguồn'!H:H, 'Data nguồn'!D:D, $B$1, 'Data nguồn'!F:F, $D18, 'Data nguồn'!C:C, H$3)</f>
      </c>
      <c r="I18" s="8">
        <f>SUMIFS('Data nguồn'!H:H, 'Data nguồn'!D:D, $B$1, 'Data nguồn'!F:F, $D18, 'Data nguồn'!C:C, I$3)</f>
      </c>
      <c r="J18" s="8">
        <f>SUMIFS('Data nguồn'!H:H, 'Data nguồn'!D:D, $B$1, 'Data nguồn'!F:F, $D18, 'Data nguồn'!C:C, J$3)</f>
      </c>
      <c r="K18" s="8">
        <f>SUMIFS('Data nguồn'!H:H, 'Data nguồn'!D:D, $B$1, 'Data nguồn'!F:F, $D18, 'Data nguồn'!C:C, K$3)</f>
      </c>
      <c r="L18" s="8">
        <f>SUMIFS('Data nguồn'!H:H, 'Data nguồn'!D:D, $B$1, 'Data nguồn'!F:F, $D18, 'Data nguồn'!C:C, L$3)</f>
      </c>
      <c r="M18" s="8">
        <f>SUMIFS('Data nguồn'!H:H, 'Data nguồn'!D:D, $B$1, 'Data nguồn'!F:F, $D18, 'Data nguồn'!C:C, M$3)</f>
      </c>
      <c r="N18" s="8">
        <f>SUMIFS('Data nguồn'!H:H, 'Data nguồn'!D:D, $B$1, 'Data nguồn'!F:F, $D18, 'Data nguồn'!C:C, N$3)</f>
      </c>
      <c r="O18" s="8">
        <f>SUMIFS('Data nguồn'!H:H, 'Data nguồn'!D:D, $B$1, 'Data nguồn'!F:F, $D18, 'Data nguồn'!C:C, O$3)</f>
      </c>
      <c r="P18" s="8">
        <f>SUMIFS('Data nguồn'!H:H, 'Data nguồn'!D:D, $B$1, 'Data nguồn'!F:F, $D18, 'Data nguồn'!C:C, P$3)</f>
      </c>
      <c r="Q18" s="8">
        <f>SUMIFS('Data nguồn'!H:H, 'Data nguồn'!D:D, $B$1, 'Data nguồn'!F:F, $D18, 'Data nguồn'!C:C, Q$3)</f>
      </c>
      <c r="R18" s="8">
        <f>SUMIFS('Data nguồn'!H:H, 'Data nguồn'!D:D, $B$1, 'Data nguồn'!F:F, $D18, 'Data nguồn'!C:C, R$3)</f>
      </c>
      <c r="S18" s="8">
        <f>SUMIFS('Data nguồn'!H:H, 'Data nguồn'!D:D, $B$1, 'Data nguồn'!F:F, $D18, 'Data nguồn'!C:C, S$3)</f>
      </c>
      <c r="T18" s="8">
        <f>SUMIFS('Data nguồn'!H:H, 'Data nguồn'!D:D, $B$1, 'Data nguồn'!F:F, $D18, 'Data nguồn'!C:C, T$3)</f>
      </c>
      <c r="V18" s="8">
        <f>SUM(E18:P18)</f>
      </c>
      <c r="W18" s="8">
        <f>SUM(Q18:T18)</f>
      </c>
      <c r="X18" s="8">
        <f>AVERAGE(R18:T18)</f>
      </c>
      <c r="Y18" s="8">
        <f>AVERAGE(O18:T18)</f>
      </c>
      <c r="Z18" s="8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4:30" x14ac:dyDescent="0.25">
      <c r="D19" s="2" t="s">
        <v>3</v>
      </c>
      <c r="E19" s="8">
        <f>SUMIFS('Data nguồn'!H:H, 'Data nguồn'!D:D, $B$1, 'Data nguồn'!F:F, $D19, 'Data nguồn'!C:C, E$3)</f>
      </c>
      <c r="F19" s="8">
        <f>SUMIFS('Data nguồn'!H:H, 'Data nguồn'!D:D, $B$1, 'Data nguồn'!F:F, $D19, 'Data nguồn'!C:C, F$3)</f>
      </c>
      <c r="G19" s="8">
        <f>SUMIFS('Data nguồn'!H:H, 'Data nguồn'!D:D, $B$1, 'Data nguồn'!F:F, $D19, 'Data nguồn'!C:C, G$3)</f>
      </c>
      <c r="H19" s="8">
        <f>SUMIFS('Data nguồn'!H:H, 'Data nguồn'!D:D, $B$1, 'Data nguồn'!F:F, $D19, 'Data nguồn'!C:C, H$3)</f>
      </c>
      <c r="I19" s="8">
        <f>SUMIFS('Data nguồn'!H:H, 'Data nguồn'!D:D, $B$1, 'Data nguồn'!F:F, $D19, 'Data nguồn'!C:C, I$3)</f>
      </c>
      <c r="J19" s="8">
        <f>SUMIFS('Data nguồn'!H:H, 'Data nguồn'!D:D, $B$1, 'Data nguồn'!F:F, $D19, 'Data nguồn'!C:C, J$3)</f>
      </c>
      <c r="K19" s="8">
        <f>SUMIFS('Data nguồn'!H:H, 'Data nguồn'!D:D, $B$1, 'Data nguồn'!F:F, $D19, 'Data nguồn'!C:C, K$3)</f>
      </c>
      <c r="L19" s="8">
        <f>SUMIFS('Data nguồn'!H:H, 'Data nguồn'!D:D, $B$1, 'Data nguồn'!F:F, $D19, 'Data nguồn'!C:C, L$3)</f>
      </c>
      <c r="M19" s="8">
        <f>SUMIFS('Data nguồn'!H:H, 'Data nguồn'!D:D, $B$1, 'Data nguồn'!F:F, $D19, 'Data nguồn'!C:C, M$3)</f>
      </c>
      <c r="N19" s="8">
        <f>SUMIFS('Data nguồn'!H:H, 'Data nguồn'!D:D, $B$1, 'Data nguồn'!F:F, $D19, 'Data nguồn'!C:C, N$3)</f>
      </c>
      <c r="O19" s="8">
        <f>SUMIFS('Data nguồn'!H:H, 'Data nguồn'!D:D, $B$1, 'Data nguồn'!F:F, $D19, 'Data nguồn'!C:C, O$3)</f>
      </c>
      <c r="P19" s="8">
        <f>SUMIFS('Data nguồn'!H:H, 'Data nguồn'!D:D, $B$1, 'Data nguồn'!F:F, $D19, 'Data nguồn'!C:C, P$3)</f>
      </c>
      <c r="Q19" s="8">
        <f>SUMIFS('Data nguồn'!H:H, 'Data nguồn'!D:D, $B$1, 'Data nguồn'!F:F, $D19, 'Data nguồn'!C:C, Q$3)</f>
      </c>
      <c r="R19" s="8">
        <f>SUMIFS('Data nguồn'!H:H, 'Data nguồn'!D:D, $B$1, 'Data nguồn'!F:F, $D19, 'Data nguồn'!C:C, R$3)</f>
      </c>
      <c r="S19" s="8">
        <f>SUMIFS('Data nguồn'!H:H, 'Data nguồn'!D:D, $B$1, 'Data nguồn'!F:F, $D19, 'Data nguồn'!C:C, S$3)</f>
      </c>
      <c r="T19" s="8">
        <f>SUMIFS('Data nguồn'!H:H, 'Data nguồn'!D:D, $B$1, 'Data nguồn'!F:F, $D19, 'Data nguồn'!C:C, T$3)</f>
      </c>
      <c r="V19" s="8">
        <f>SUM(E19:P19)</f>
      </c>
      <c r="W19" s="8">
        <f>SUM(Q19:T19)</f>
      </c>
      <c r="X19" s="8">
        <f>AVERAGE(R19:T19)</f>
      </c>
      <c r="Y19" s="8">
        <f>AVERAGE(O19:T19)</f>
      </c>
      <c r="Z19" s="8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4:30" x14ac:dyDescent="0.25">
      <c r="D20" s="2" t="s">
        <v>23</v>
      </c>
      <c r="E20" s="8">
        <f>SUMIFS('Data nguồn'!H:H, 'Data nguồn'!D:D, $B$1, 'Data nguồn'!F:F, $D20, 'Data nguồn'!C:C, E$3)</f>
      </c>
      <c r="F20" s="8">
        <f>SUMIFS('Data nguồn'!H:H, 'Data nguồn'!D:D, $B$1, 'Data nguồn'!F:F, $D20, 'Data nguồn'!C:C, F$3)</f>
      </c>
      <c r="G20" s="8">
        <f>SUMIFS('Data nguồn'!H:H, 'Data nguồn'!D:D, $B$1, 'Data nguồn'!F:F, $D20, 'Data nguồn'!C:C, G$3)</f>
      </c>
      <c r="H20" s="8">
        <f>SUMIFS('Data nguồn'!H:H, 'Data nguồn'!D:D, $B$1, 'Data nguồn'!F:F, $D20, 'Data nguồn'!C:C, H$3)</f>
      </c>
      <c r="I20" s="8">
        <f>SUMIFS('Data nguồn'!H:H, 'Data nguồn'!D:D, $B$1, 'Data nguồn'!F:F, $D20, 'Data nguồn'!C:C, I$3)</f>
      </c>
      <c r="J20" s="8">
        <f>SUMIFS('Data nguồn'!H:H, 'Data nguồn'!D:D, $B$1, 'Data nguồn'!F:F, $D20, 'Data nguồn'!C:C, J$3)</f>
      </c>
      <c r="K20" s="8">
        <f>SUMIFS('Data nguồn'!H:H, 'Data nguồn'!D:D, $B$1, 'Data nguồn'!F:F, $D20, 'Data nguồn'!C:C, K$3)</f>
      </c>
      <c r="L20" s="8">
        <f>SUMIFS('Data nguồn'!H:H, 'Data nguồn'!D:D, $B$1, 'Data nguồn'!F:F, $D20, 'Data nguồn'!C:C, L$3)</f>
      </c>
      <c r="M20" s="8">
        <f>SUMIFS('Data nguồn'!H:H, 'Data nguồn'!D:D, $B$1, 'Data nguồn'!F:F, $D20, 'Data nguồn'!C:C, M$3)</f>
      </c>
      <c r="N20" s="8">
        <f>SUMIFS('Data nguồn'!H:H, 'Data nguồn'!D:D, $B$1, 'Data nguồn'!F:F, $D20, 'Data nguồn'!C:C, N$3)</f>
      </c>
      <c r="O20" s="8">
        <f>SUMIFS('Data nguồn'!H:H, 'Data nguồn'!D:D, $B$1, 'Data nguồn'!F:F, $D20, 'Data nguồn'!C:C, O$3)</f>
      </c>
      <c r="P20" s="8">
        <f>SUMIFS('Data nguồn'!H:H, 'Data nguồn'!D:D, $B$1, 'Data nguồn'!F:F, $D20, 'Data nguồn'!C:C, P$3)</f>
      </c>
      <c r="Q20" s="8">
        <f>SUMIFS('Data nguồn'!H:H, 'Data nguồn'!D:D, $B$1, 'Data nguồn'!F:F, $D20, 'Data nguồn'!C:C, Q$3)</f>
      </c>
      <c r="R20" s="8">
        <f>SUMIFS('Data nguồn'!H:H, 'Data nguồn'!D:D, $B$1, 'Data nguồn'!F:F, $D20, 'Data nguồn'!C:C, R$3)</f>
      </c>
      <c r="S20" s="8">
        <f>SUMIFS('Data nguồn'!H:H, 'Data nguồn'!D:D, $B$1, 'Data nguồn'!F:F, $D20, 'Data nguồn'!C:C, S$3)</f>
      </c>
      <c r="T20" s="8">
        <f>SUMIFS('Data nguồn'!H:H, 'Data nguồn'!D:D, $B$1, 'Data nguồn'!F:F, $D20, 'Data nguồn'!C:C, T$3)</f>
      </c>
      <c r="V20" s="8">
        <f>SUM(E20:P20)</f>
      </c>
      <c r="W20" s="8">
        <f>SUM(Q20:T20)</f>
      </c>
      <c r="X20" s="8">
        <f>AVERAGE(R20:T20)</f>
      </c>
      <c r="Y20" s="8">
        <f>AVERAGE(O20:T20)</f>
      </c>
      <c r="Z20" s="8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4:30" x14ac:dyDescent="0.25">
      <c r="D21" s="2" t="s">
        <v>7</v>
      </c>
      <c r="E21" s="8">
        <f>SUMIFS('Data nguồn'!H:H, 'Data nguồn'!D:D, $B$1, 'Data nguồn'!F:F, $D21, 'Data nguồn'!C:C, E$3)</f>
      </c>
      <c r="F21" s="8">
        <f>SUMIFS('Data nguồn'!H:H, 'Data nguồn'!D:D, $B$1, 'Data nguồn'!F:F, $D21, 'Data nguồn'!C:C, F$3)</f>
      </c>
      <c r="G21" s="8">
        <f>SUMIFS('Data nguồn'!H:H, 'Data nguồn'!D:D, $B$1, 'Data nguồn'!F:F, $D21, 'Data nguồn'!C:C, G$3)</f>
      </c>
      <c r="H21" s="8">
        <f>SUMIFS('Data nguồn'!H:H, 'Data nguồn'!D:D, $B$1, 'Data nguồn'!F:F, $D21, 'Data nguồn'!C:C, H$3)</f>
      </c>
      <c r="I21" s="8">
        <f>SUMIFS('Data nguồn'!H:H, 'Data nguồn'!D:D, $B$1, 'Data nguồn'!F:F, $D21, 'Data nguồn'!C:C, I$3)</f>
      </c>
      <c r="J21" s="8">
        <f>SUMIFS('Data nguồn'!H:H, 'Data nguồn'!D:D, $B$1, 'Data nguồn'!F:F, $D21, 'Data nguồn'!C:C, J$3)</f>
      </c>
      <c r="K21" s="8">
        <f>SUMIFS('Data nguồn'!H:H, 'Data nguồn'!D:D, $B$1, 'Data nguồn'!F:F, $D21, 'Data nguồn'!C:C, K$3)</f>
      </c>
      <c r="L21" s="8">
        <f>SUMIFS('Data nguồn'!H:H, 'Data nguồn'!D:D, $B$1, 'Data nguồn'!F:F, $D21, 'Data nguồn'!C:C, L$3)</f>
      </c>
      <c r="M21" s="8">
        <f>SUMIFS('Data nguồn'!H:H, 'Data nguồn'!D:D, $B$1, 'Data nguồn'!F:F, $D21, 'Data nguồn'!C:C, M$3)</f>
      </c>
      <c r="N21" s="8">
        <f>SUMIFS('Data nguồn'!H:H, 'Data nguồn'!D:D, $B$1, 'Data nguồn'!F:F, $D21, 'Data nguồn'!C:C, N$3)</f>
      </c>
      <c r="O21" s="8">
        <f>SUMIFS('Data nguồn'!H:H, 'Data nguồn'!D:D, $B$1, 'Data nguồn'!F:F, $D21, 'Data nguồn'!C:C, O$3)</f>
      </c>
      <c r="P21" s="8">
        <f>SUMIFS('Data nguồn'!H:H, 'Data nguồn'!D:D, $B$1, 'Data nguồn'!F:F, $D21, 'Data nguồn'!C:C, P$3)</f>
      </c>
      <c r="Q21" s="8">
        <f>SUMIFS('Data nguồn'!H:H, 'Data nguồn'!D:D, $B$1, 'Data nguồn'!F:F, $D21, 'Data nguồn'!C:C, Q$3)</f>
      </c>
      <c r="R21" s="8">
        <f>SUMIFS('Data nguồn'!H:H, 'Data nguồn'!D:D, $B$1, 'Data nguồn'!F:F, $D21, 'Data nguồn'!C:C, R$3)</f>
      </c>
      <c r="S21" s="8">
        <f>SUMIFS('Data nguồn'!H:H, 'Data nguồn'!D:D, $B$1, 'Data nguồn'!F:F, $D21, 'Data nguồn'!C:C, S$3)</f>
      </c>
      <c r="T21" s="8">
        <f>SUMIFS('Data nguồn'!H:H, 'Data nguồn'!D:D, $B$1, 'Data nguồn'!F:F, $D21, 'Data nguồn'!C:C, T$3)</f>
      </c>
      <c r="V21" s="8">
        <f>SUM(E21:P21)</f>
      </c>
      <c r="W21" s="8">
        <f>SUM(Q21:T21)</f>
      </c>
      <c r="X21" s="8">
        <f>AVERAGE(R21:T21)</f>
      </c>
      <c r="Y21" s="8">
        <f>AVERAGE(O21:T21)</f>
      </c>
      <c r="Z21" s="8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4:30" x14ac:dyDescent="0.25">
      <c r="D22" s="2" t="s">
        <v>49</v>
      </c>
      <c r="E22" s="8">
        <f>SUMIFS('Data nguồn'!H:H, 'Data nguồn'!D:D, $B$1, 'Data nguồn'!F:F, $D22, 'Data nguồn'!C:C, E$3)</f>
      </c>
      <c r="F22" s="8">
        <f>SUMIFS('Data nguồn'!H:H, 'Data nguồn'!D:D, $B$1, 'Data nguồn'!F:F, $D22, 'Data nguồn'!C:C, F$3)</f>
      </c>
      <c r="G22" s="8">
        <f>SUMIFS('Data nguồn'!H:H, 'Data nguồn'!D:D, $B$1, 'Data nguồn'!F:F, $D22, 'Data nguồn'!C:C, G$3)</f>
      </c>
      <c r="H22" s="8">
        <f>SUMIFS('Data nguồn'!H:H, 'Data nguồn'!D:D, $B$1, 'Data nguồn'!F:F, $D22, 'Data nguồn'!C:C, H$3)</f>
      </c>
      <c r="I22" s="8">
        <f>SUMIFS('Data nguồn'!H:H, 'Data nguồn'!D:D, $B$1, 'Data nguồn'!F:F, $D22, 'Data nguồn'!C:C, I$3)</f>
      </c>
      <c r="J22" s="8">
        <f>SUMIFS('Data nguồn'!H:H, 'Data nguồn'!D:D, $B$1, 'Data nguồn'!F:F, $D22, 'Data nguồn'!C:C, J$3)</f>
      </c>
      <c r="K22" s="8">
        <f>SUMIFS('Data nguồn'!H:H, 'Data nguồn'!D:D, $B$1, 'Data nguồn'!F:F, $D22, 'Data nguồn'!C:C, K$3)</f>
      </c>
      <c r="L22" s="8">
        <f>SUMIFS('Data nguồn'!H:H, 'Data nguồn'!D:D, $B$1, 'Data nguồn'!F:F, $D22, 'Data nguồn'!C:C, L$3)</f>
      </c>
      <c r="M22" s="8">
        <f>SUMIFS('Data nguồn'!H:H, 'Data nguồn'!D:D, $B$1, 'Data nguồn'!F:F, $D22, 'Data nguồn'!C:C, M$3)</f>
      </c>
      <c r="N22" s="8">
        <f>SUMIFS('Data nguồn'!H:H, 'Data nguồn'!D:D, $B$1, 'Data nguồn'!F:F, $D22, 'Data nguồn'!C:C, N$3)</f>
      </c>
      <c r="O22" s="8">
        <f>SUMIFS('Data nguồn'!H:H, 'Data nguồn'!D:D, $B$1, 'Data nguồn'!F:F, $D22, 'Data nguồn'!C:C, O$3)</f>
      </c>
      <c r="P22" s="8">
        <f>SUMIFS('Data nguồn'!H:H, 'Data nguồn'!D:D, $B$1, 'Data nguồn'!F:F, $D22, 'Data nguồn'!C:C, P$3)</f>
      </c>
      <c r="Q22" s="8">
        <f>SUMIFS('Data nguồn'!H:H, 'Data nguồn'!D:D, $B$1, 'Data nguồn'!F:F, $D22, 'Data nguồn'!C:C, Q$3)</f>
      </c>
      <c r="R22" s="8">
        <f>SUMIFS('Data nguồn'!H:H, 'Data nguồn'!D:D, $B$1, 'Data nguồn'!F:F, $D22, 'Data nguồn'!C:C, R$3)</f>
      </c>
      <c r="S22" s="8">
        <f>SUMIFS('Data nguồn'!H:H, 'Data nguồn'!D:D, $B$1, 'Data nguồn'!F:F, $D22, 'Data nguồn'!C:C, S$3)</f>
      </c>
      <c r="T22" s="8">
        <f>SUMIFS('Data nguồn'!H:H, 'Data nguồn'!D:D, $B$1, 'Data nguồn'!F:F, $D22, 'Data nguồn'!C:C, T$3)</f>
      </c>
      <c r="V22" s="8">
        <f>SUM(E22:P22)</f>
      </c>
      <c r="W22" s="8">
        <f>SUM(Q22:T22)</f>
      </c>
      <c r="X22" s="8">
        <f>AVERAGE(R22:T22)</f>
      </c>
      <c r="Y22" s="8">
        <f>AVERAGE(O22:T22)</f>
      </c>
      <c r="Z22" s="8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4:30" x14ac:dyDescent="0.25">
      <c r="D23" s="2" t="s">
        <v>61</v>
      </c>
      <c r="E23" s="8">
        <f>SUMIFS('Data nguồn'!H:H, 'Data nguồn'!D:D, $B$1, 'Data nguồn'!F:F, $D23, 'Data nguồn'!C:C, E$3)</f>
      </c>
      <c r="F23" s="8">
        <f>SUMIFS('Data nguồn'!H:H, 'Data nguồn'!D:D, $B$1, 'Data nguồn'!F:F, $D23, 'Data nguồn'!C:C, F$3)</f>
      </c>
      <c r="G23" s="8">
        <f>SUMIFS('Data nguồn'!H:H, 'Data nguồn'!D:D, $B$1, 'Data nguồn'!F:F, $D23, 'Data nguồn'!C:C, G$3)</f>
      </c>
      <c r="H23" s="8">
        <f>SUMIFS('Data nguồn'!H:H, 'Data nguồn'!D:D, $B$1, 'Data nguồn'!F:F, $D23, 'Data nguồn'!C:C, H$3)</f>
      </c>
      <c r="I23" s="8">
        <f>SUMIFS('Data nguồn'!H:H, 'Data nguồn'!D:D, $B$1, 'Data nguồn'!F:F, $D23, 'Data nguồn'!C:C, I$3)</f>
      </c>
      <c r="J23" s="8">
        <f>SUMIFS('Data nguồn'!H:H, 'Data nguồn'!D:D, $B$1, 'Data nguồn'!F:F, $D23, 'Data nguồn'!C:C, J$3)</f>
      </c>
      <c r="K23" s="8">
        <f>SUMIFS('Data nguồn'!H:H, 'Data nguồn'!D:D, $B$1, 'Data nguồn'!F:F, $D23, 'Data nguồn'!C:C, K$3)</f>
      </c>
      <c r="L23" s="8">
        <f>SUMIFS('Data nguồn'!H:H, 'Data nguồn'!D:D, $B$1, 'Data nguồn'!F:F, $D23, 'Data nguồn'!C:C, L$3)</f>
      </c>
      <c r="M23" s="8">
        <f>SUMIFS('Data nguồn'!H:H, 'Data nguồn'!D:D, $B$1, 'Data nguồn'!F:F, $D23, 'Data nguồn'!C:C, M$3)</f>
      </c>
      <c r="N23" s="8">
        <f>SUMIFS('Data nguồn'!H:H, 'Data nguồn'!D:D, $B$1, 'Data nguồn'!F:F, $D23, 'Data nguồn'!C:C, N$3)</f>
      </c>
      <c r="O23" s="8">
        <f>SUMIFS('Data nguồn'!H:H, 'Data nguồn'!D:D, $B$1, 'Data nguồn'!F:F, $D23, 'Data nguồn'!C:C, O$3)</f>
      </c>
      <c r="P23" s="8">
        <f>SUMIFS('Data nguồn'!H:H, 'Data nguồn'!D:D, $B$1, 'Data nguồn'!F:F, $D23, 'Data nguồn'!C:C, P$3)</f>
      </c>
      <c r="Q23" s="8">
        <f>SUMIFS('Data nguồn'!H:H, 'Data nguồn'!D:D, $B$1, 'Data nguồn'!F:F, $D23, 'Data nguồn'!C:C, Q$3)</f>
      </c>
      <c r="R23" s="8">
        <f>SUMIFS('Data nguồn'!H:H, 'Data nguồn'!D:D, $B$1, 'Data nguồn'!F:F, $D23, 'Data nguồn'!C:C, R$3)</f>
      </c>
      <c r="S23" s="8">
        <f>SUMIFS('Data nguồn'!H:H, 'Data nguồn'!D:D, $B$1, 'Data nguồn'!F:F, $D23, 'Data nguồn'!C:C, S$3)</f>
      </c>
      <c r="T23" s="8">
        <f>SUMIFS('Data nguồn'!H:H, 'Data nguồn'!D:D, $B$1, 'Data nguồn'!F:F, $D23, 'Data nguồn'!C:C, T$3)</f>
      </c>
      <c r="V23" s="8">
        <f>SUM(E23:P23)</f>
      </c>
      <c r="W23" s="8">
        <f>SUM(Q23:T23)</f>
      </c>
      <c r="X23" s="8">
        <f>AVERAGE(R23:T23)</f>
      </c>
      <c r="Y23" s="8">
        <f>AVERAGE(O23:T23)</f>
      </c>
      <c r="Z23" s="8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4:30" x14ac:dyDescent="0.25">
      <c r="D24" s="2" t="s">
        <v>83</v>
      </c>
      <c r="E24" s="8">
        <f>SUMIFS('Data nguồn'!H:H, 'Data nguồn'!D:D, $B$1, 'Data nguồn'!F:F, $D24, 'Data nguồn'!C:C, E$3)</f>
      </c>
      <c r="F24" s="8">
        <f>SUMIFS('Data nguồn'!H:H, 'Data nguồn'!D:D, $B$1, 'Data nguồn'!F:F, $D24, 'Data nguồn'!C:C, F$3)</f>
      </c>
      <c r="G24" s="8">
        <f>SUMIFS('Data nguồn'!H:H, 'Data nguồn'!D:D, $B$1, 'Data nguồn'!F:F, $D24, 'Data nguồn'!C:C, G$3)</f>
      </c>
      <c r="H24" s="8">
        <f>SUMIFS('Data nguồn'!H:H, 'Data nguồn'!D:D, $B$1, 'Data nguồn'!F:F, $D24, 'Data nguồn'!C:C, H$3)</f>
      </c>
      <c r="I24" s="8">
        <f>SUMIFS('Data nguồn'!H:H, 'Data nguồn'!D:D, $B$1, 'Data nguồn'!F:F, $D24, 'Data nguồn'!C:C, I$3)</f>
      </c>
      <c r="J24" s="8">
        <f>SUMIFS('Data nguồn'!H:H, 'Data nguồn'!D:D, $B$1, 'Data nguồn'!F:F, $D24, 'Data nguồn'!C:C, J$3)</f>
      </c>
      <c r="K24" s="8">
        <f>SUMIFS('Data nguồn'!H:H, 'Data nguồn'!D:D, $B$1, 'Data nguồn'!F:F, $D24, 'Data nguồn'!C:C, K$3)</f>
      </c>
      <c r="L24" s="8">
        <f>SUMIFS('Data nguồn'!H:H, 'Data nguồn'!D:D, $B$1, 'Data nguồn'!F:F, $D24, 'Data nguồn'!C:C, L$3)</f>
      </c>
      <c r="M24" s="8">
        <f>SUMIFS('Data nguồn'!H:H, 'Data nguồn'!D:D, $B$1, 'Data nguồn'!F:F, $D24, 'Data nguồn'!C:C, M$3)</f>
      </c>
      <c r="N24" s="8">
        <f>SUMIFS('Data nguồn'!H:H, 'Data nguồn'!D:D, $B$1, 'Data nguồn'!F:F, $D24, 'Data nguồn'!C:C, N$3)</f>
      </c>
      <c r="O24" s="8">
        <f>SUMIFS('Data nguồn'!H:H, 'Data nguồn'!D:D, $B$1, 'Data nguồn'!F:F, $D24, 'Data nguồn'!C:C, O$3)</f>
      </c>
      <c r="P24" s="8">
        <f>SUMIFS('Data nguồn'!H:H, 'Data nguồn'!D:D, $B$1, 'Data nguồn'!F:F, $D24, 'Data nguồn'!C:C, P$3)</f>
      </c>
      <c r="Q24" s="8">
        <f>SUMIFS('Data nguồn'!H:H, 'Data nguồn'!D:D, $B$1, 'Data nguồn'!F:F, $D24, 'Data nguồn'!C:C, Q$3)</f>
      </c>
      <c r="R24" s="8">
        <f>SUMIFS('Data nguồn'!H:H, 'Data nguồn'!D:D, $B$1, 'Data nguồn'!F:F, $D24, 'Data nguồn'!C:C, R$3)</f>
      </c>
      <c r="S24" s="8">
        <f>SUMIFS('Data nguồn'!H:H, 'Data nguồn'!D:D, $B$1, 'Data nguồn'!F:F, $D24, 'Data nguồn'!C:C, S$3)</f>
      </c>
      <c r="T24" s="8">
        <f>SUMIFS('Data nguồn'!H:H, 'Data nguồn'!D:D, $B$1, 'Data nguồn'!F:F, $D24, 'Data nguồn'!C:C, T$3)</f>
      </c>
      <c r="V24" s="8">
        <f>SUM(E24:P24)</f>
      </c>
      <c r="W24" s="8">
        <f>SUM(Q24:T24)</f>
      </c>
      <c r="X24" s="8">
        <f>AVERAGE(R24:T24)</f>
      </c>
      <c r="Y24" s="8">
        <f>AVERAGE(O24:T24)</f>
      </c>
      <c r="Z24" s="8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4:30" x14ac:dyDescent="0.25">
      <c r="D25" s="2" t="s">
        <v>21</v>
      </c>
      <c r="E25" s="8">
        <f>SUMIFS('Data nguồn'!H:H, 'Data nguồn'!D:D, $B$1, 'Data nguồn'!F:F, $D25, 'Data nguồn'!C:C, E$3)</f>
      </c>
      <c r="F25" s="8">
        <f>SUMIFS('Data nguồn'!H:H, 'Data nguồn'!D:D, $B$1, 'Data nguồn'!F:F, $D25, 'Data nguồn'!C:C, F$3)</f>
      </c>
      <c r="G25" s="8">
        <f>SUMIFS('Data nguồn'!H:H, 'Data nguồn'!D:D, $B$1, 'Data nguồn'!F:F, $D25, 'Data nguồn'!C:C, G$3)</f>
      </c>
      <c r="H25" s="8">
        <f>SUMIFS('Data nguồn'!H:H, 'Data nguồn'!D:D, $B$1, 'Data nguồn'!F:F, $D25, 'Data nguồn'!C:C, H$3)</f>
      </c>
      <c r="I25" s="8">
        <f>SUMIFS('Data nguồn'!H:H, 'Data nguồn'!D:D, $B$1, 'Data nguồn'!F:F, $D25, 'Data nguồn'!C:C, I$3)</f>
      </c>
      <c r="J25" s="8">
        <f>SUMIFS('Data nguồn'!H:H, 'Data nguồn'!D:D, $B$1, 'Data nguồn'!F:F, $D25, 'Data nguồn'!C:C, J$3)</f>
      </c>
      <c r="K25" s="8">
        <f>SUMIFS('Data nguồn'!H:H, 'Data nguồn'!D:D, $B$1, 'Data nguồn'!F:F, $D25, 'Data nguồn'!C:C, K$3)</f>
      </c>
      <c r="L25" s="8">
        <f>SUMIFS('Data nguồn'!H:H, 'Data nguồn'!D:D, $B$1, 'Data nguồn'!F:F, $D25, 'Data nguồn'!C:C, L$3)</f>
      </c>
      <c r="M25" s="8">
        <f>SUMIFS('Data nguồn'!H:H, 'Data nguồn'!D:D, $B$1, 'Data nguồn'!F:F, $D25, 'Data nguồn'!C:C, M$3)</f>
      </c>
      <c r="N25" s="8">
        <f>SUMIFS('Data nguồn'!H:H, 'Data nguồn'!D:D, $B$1, 'Data nguồn'!F:F, $D25, 'Data nguồn'!C:C, N$3)</f>
      </c>
      <c r="O25" s="8">
        <f>SUMIFS('Data nguồn'!H:H, 'Data nguồn'!D:D, $B$1, 'Data nguồn'!F:F, $D25, 'Data nguồn'!C:C, O$3)</f>
      </c>
      <c r="P25" s="8">
        <f>SUMIFS('Data nguồn'!H:H, 'Data nguồn'!D:D, $B$1, 'Data nguồn'!F:F, $D25, 'Data nguồn'!C:C, P$3)</f>
      </c>
      <c r="Q25" s="8">
        <f>SUMIFS('Data nguồn'!H:H, 'Data nguồn'!D:D, $B$1, 'Data nguồn'!F:F, $D25, 'Data nguồn'!C:C, Q$3)</f>
      </c>
      <c r="R25" s="8">
        <f>SUMIFS('Data nguồn'!H:H, 'Data nguồn'!D:D, $B$1, 'Data nguồn'!F:F, $D25, 'Data nguồn'!C:C, R$3)</f>
      </c>
      <c r="S25" s="8">
        <f>SUMIFS('Data nguồn'!H:H, 'Data nguồn'!D:D, $B$1, 'Data nguồn'!F:F, $D25, 'Data nguồn'!C:C, S$3)</f>
      </c>
      <c r="T25" s="8">
        <f>SUMIFS('Data nguồn'!H:H, 'Data nguồn'!D:D, $B$1, 'Data nguồn'!F:F, $D25, 'Data nguồn'!C:C, T$3)</f>
      </c>
      <c r="V25" s="8">
        <f>SUM(E25:P25)</f>
      </c>
      <c r="W25" s="8">
        <f>SUM(Q25:T25)</f>
      </c>
      <c r="X25" s="8">
        <f>AVERAGE(R25:T25)</f>
      </c>
      <c r="Y25" s="8">
        <f>AVERAGE(O25:T25)</f>
      </c>
      <c r="Z25" s="8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4:30" x14ac:dyDescent="0.25">
      <c r="D26" s="2" t="s">
        <v>5</v>
      </c>
      <c r="E26" s="8">
        <f>SUMIFS('Data nguồn'!H:H, 'Data nguồn'!D:D, $B$1, 'Data nguồn'!F:F, $D26, 'Data nguồn'!C:C, E$3)</f>
      </c>
      <c r="F26" s="8">
        <f>SUMIFS('Data nguồn'!H:H, 'Data nguồn'!D:D, $B$1, 'Data nguồn'!F:F, $D26, 'Data nguồn'!C:C, F$3)</f>
      </c>
      <c r="G26" s="8">
        <f>SUMIFS('Data nguồn'!H:H, 'Data nguồn'!D:D, $B$1, 'Data nguồn'!F:F, $D26, 'Data nguồn'!C:C, G$3)</f>
      </c>
      <c r="H26" s="8">
        <f>SUMIFS('Data nguồn'!H:H, 'Data nguồn'!D:D, $B$1, 'Data nguồn'!F:F, $D26, 'Data nguồn'!C:C, H$3)</f>
      </c>
      <c r="I26" s="8">
        <f>SUMIFS('Data nguồn'!H:H, 'Data nguồn'!D:D, $B$1, 'Data nguồn'!F:F, $D26, 'Data nguồn'!C:C, I$3)</f>
      </c>
      <c r="J26" s="8">
        <f>SUMIFS('Data nguồn'!H:H, 'Data nguồn'!D:D, $B$1, 'Data nguồn'!F:F, $D26, 'Data nguồn'!C:C, J$3)</f>
      </c>
      <c r="K26" s="8">
        <f>SUMIFS('Data nguồn'!H:H, 'Data nguồn'!D:D, $B$1, 'Data nguồn'!F:F, $D26, 'Data nguồn'!C:C, K$3)</f>
      </c>
      <c r="L26" s="8">
        <f>SUMIFS('Data nguồn'!H:H, 'Data nguồn'!D:D, $B$1, 'Data nguồn'!F:F, $D26, 'Data nguồn'!C:C, L$3)</f>
      </c>
      <c r="M26" s="8">
        <f>SUMIFS('Data nguồn'!H:H, 'Data nguồn'!D:D, $B$1, 'Data nguồn'!F:F, $D26, 'Data nguồn'!C:C, M$3)</f>
      </c>
      <c r="N26" s="8">
        <f>SUMIFS('Data nguồn'!H:H, 'Data nguồn'!D:D, $B$1, 'Data nguồn'!F:F, $D26, 'Data nguồn'!C:C, N$3)</f>
      </c>
      <c r="O26" s="8">
        <f>SUMIFS('Data nguồn'!H:H, 'Data nguồn'!D:D, $B$1, 'Data nguồn'!F:F, $D26, 'Data nguồn'!C:C, O$3)</f>
      </c>
      <c r="P26" s="8">
        <f>SUMIFS('Data nguồn'!H:H, 'Data nguồn'!D:D, $B$1, 'Data nguồn'!F:F, $D26, 'Data nguồn'!C:C, P$3)</f>
      </c>
      <c r="Q26" s="8">
        <f>SUMIFS('Data nguồn'!H:H, 'Data nguồn'!D:D, $B$1, 'Data nguồn'!F:F, $D26, 'Data nguồn'!C:C, Q$3)</f>
      </c>
      <c r="R26" s="8">
        <f>SUMIFS('Data nguồn'!H:H, 'Data nguồn'!D:D, $B$1, 'Data nguồn'!F:F, $D26, 'Data nguồn'!C:C, R$3)</f>
      </c>
      <c r="S26" s="8">
        <f>SUMIFS('Data nguồn'!H:H, 'Data nguồn'!D:D, $B$1, 'Data nguồn'!F:F, $D26, 'Data nguồn'!C:C, S$3)</f>
      </c>
      <c r="T26" s="8">
        <f>SUMIFS('Data nguồn'!H:H, 'Data nguồn'!D:D, $B$1, 'Data nguồn'!F:F, $D26, 'Data nguồn'!C:C, T$3)</f>
      </c>
      <c r="V26" s="8">
        <f>SUM(E26:P26)</f>
      </c>
      <c r="W26" s="8">
        <f>SUM(Q26:T26)</f>
      </c>
      <c r="X26" s="8">
        <f>AVERAGE(R26:T26)</f>
      </c>
      <c r="Y26" s="8">
        <f>AVERAGE(O26:T26)</f>
      </c>
      <c r="Z26" s="8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4:30" x14ac:dyDescent="0.25">
      <c r="D27" s="2" t="s">
        <v>13</v>
      </c>
      <c r="E27" s="8">
        <f>SUMIFS('Data nguồn'!H:H, 'Data nguồn'!D:D, $B$1, 'Data nguồn'!F:F, $D27, 'Data nguồn'!C:C, E$3)</f>
      </c>
      <c r="F27" s="8">
        <f>SUMIFS('Data nguồn'!H:H, 'Data nguồn'!D:D, $B$1, 'Data nguồn'!F:F, $D27, 'Data nguồn'!C:C, F$3)</f>
      </c>
      <c r="G27" s="8">
        <f>SUMIFS('Data nguồn'!H:H, 'Data nguồn'!D:D, $B$1, 'Data nguồn'!F:F, $D27, 'Data nguồn'!C:C, G$3)</f>
      </c>
      <c r="H27" s="8">
        <f>SUMIFS('Data nguồn'!H:H, 'Data nguồn'!D:D, $B$1, 'Data nguồn'!F:F, $D27, 'Data nguồn'!C:C, H$3)</f>
      </c>
      <c r="I27" s="8">
        <f>SUMIFS('Data nguồn'!H:H, 'Data nguồn'!D:D, $B$1, 'Data nguồn'!F:F, $D27, 'Data nguồn'!C:C, I$3)</f>
      </c>
      <c r="J27" s="8">
        <f>SUMIFS('Data nguồn'!H:H, 'Data nguồn'!D:D, $B$1, 'Data nguồn'!F:F, $D27, 'Data nguồn'!C:C, J$3)</f>
      </c>
      <c r="K27" s="8">
        <f>SUMIFS('Data nguồn'!H:H, 'Data nguồn'!D:D, $B$1, 'Data nguồn'!F:F, $D27, 'Data nguồn'!C:C, K$3)</f>
      </c>
      <c r="L27" s="8">
        <f>SUMIFS('Data nguồn'!H:H, 'Data nguồn'!D:D, $B$1, 'Data nguồn'!F:F, $D27, 'Data nguồn'!C:C, L$3)</f>
      </c>
      <c r="M27" s="8">
        <f>SUMIFS('Data nguồn'!H:H, 'Data nguồn'!D:D, $B$1, 'Data nguồn'!F:F, $D27, 'Data nguồn'!C:C, M$3)</f>
      </c>
      <c r="N27" s="8">
        <f>SUMIFS('Data nguồn'!H:H, 'Data nguồn'!D:D, $B$1, 'Data nguồn'!F:F, $D27, 'Data nguồn'!C:C, N$3)</f>
      </c>
      <c r="O27" s="8">
        <f>SUMIFS('Data nguồn'!H:H, 'Data nguồn'!D:D, $B$1, 'Data nguồn'!F:F, $D27, 'Data nguồn'!C:C, O$3)</f>
      </c>
      <c r="P27" s="8">
        <f>SUMIFS('Data nguồn'!H:H, 'Data nguồn'!D:D, $B$1, 'Data nguồn'!F:F, $D27, 'Data nguồn'!C:C, P$3)</f>
      </c>
      <c r="Q27" s="8">
        <f>SUMIFS('Data nguồn'!H:H, 'Data nguồn'!D:D, $B$1, 'Data nguồn'!F:F, $D27, 'Data nguồn'!C:C, Q$3)</f>
      </c>
      <c r="R27" s="8">
        <f>SUMIFS('Data nguồn'!H:H, 'Data nguồn'!D:D, $B$1, 'Data nguồn'!F:F, $D27, 'Data nguồn'!C:C, R$3)</f>
      </c>
      <c r="S27" s="8">
        <f>SUMIFS('Data nguồn'!H:H, 'Data nguồn'!D:D, $B$1, 'Data nguồn'!F:F, $D27, 'Data nguồn'!C:C, S$3)</f>
      </c>
      <c r="T27" s="8">
        <f>SUMIFS('Data nguồn'!H:H, 'Data nguồn'!D:D, $B$1, 'Data nguồn'!F:F, $D27, 'Data nguồn'!C:C, T$3)</f>
      </c>
      <c r="V27" s="8">
        <f>SUM(E27:P27)</f>
      </c>
      <c r="W27" s="8">
        <f>SUM(Q27:T27)</f>
      </c>
      <c r="X27" s="8">
        <f>AVERAGE(R27:T27)</f>
      </c>
      <c r="Y27" s="8">
        <f>AVERAGE(O27:T27)</f>
      </c>
      <c r="Z27" s="8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4:30" x14ac:dyDescent="0.25">
      <c r="D28" s="2" t="s">
        <v>15</v>
      </c>
      <c r="E28" s="8">
        <f>SUMIFS('Data nguồn'!H:H, 'Data nguồn'!D:D, $B$1, 'Data nguồn'!F:F, $D28, 'Data nguồn'!C:C, E$3)</f>
      </c>
      <c r="F28" s="8">
        <f>SUMIFS('Data nguồn'!H:H, 'Data nguồn'!D:D, $B$1, 'Data nguồn'!F:F, $D28, 'Data nguồn'!C:C, F$3)</f>
      </c>
      <c r="G28" s="8">
        <f>SUMIFS('Data nguồn'!H:H, 'Data nguồn'!D:D, $B$1, 'Data nguồn'!F:F, $D28, 'Data nguồn'!C:C, G$3)</f>
      </c>
      <c r="H28" s="8">
        <f>SUMIFS('Data nguồn'!H:H, 'Data nguồn'!D:D, $B$1, 'Data nguồn'!F:F, $D28, 'Data nguồn'!C:C, H$3)</f>
      </c>
      <c r="I28" s="8">
        <f>SUMIFS('Data nguồn'!H:H, 'Data nguồn'!D:D, $B$1, 'Data nguồn'!F:F, $D28, 'Data nguồn'!C:C, I$3)</f>
      </c>
      <c r="J28" s="8">
        <f>SUMIFS('Data nguồn'!H:H, 'Data nguồn'!D:D, $B$1, 'Data nguồn'!F:F, $D28, 'Data nguồn'!C:C, J$3)</f>
      </c>
      <c r="K28" s="8">
        <f>SUMIFS('Data nguồn'!H:H, 'Data nguồn'!D:D, $B$1, 'Data nguồn'!F:F, $D28, 'Data nguồn'!C:C, K$3)</f>
      </c>
      <c r="L28" s="8">
        <f>SUMIFS('Data nguồn'!H:H, 'Data nguồn'!D:D, $B$1, 'Data nguồn'!F:F, $D28, 'Data nguồn'!C:C, L$3)</f>
      </c>
      <c r="M28" s="8">
        <f>SUMIFS('Data nguồn'!H:H, 'Data nguồn'!D:D, $B$1, 'Data nguồn'!F:F, $D28, 'Data nguồn'!C:C, M$3)</f>
      </c>
      <c r="N28" s="8">
        <f>SUMIFS('Data nguồn'!H:H, 'Data nguồn'!D:D, $B$1, 'Data nguồn'!F:F, $D28, 'Data nguồn'!C:C, N$3)</f>
      </c>
      <c r="O28" s="8">
        <f>SUMIFS('Data nguồn'!H:H, 'Data nguồn'!D:D, $B$1, 'Data nguồn'!F:F, $D28, 'Data nguồn'!C:C, O$3)</f>
      </c>
      <c r="P28" s="8">
        <f>SUMIFS('Data nguồn'!H:H, 'Data nguồn'!D:D, $B$1, 'Data nguồn'!F:F, $D28, 'Data nguồn'!C:C, P$3)</f>
      </c>
      <c r="Q28" s="8">
        <f>SUMIFS('Data nguồn'!H:H, 'Data nguồn'!D:D, $B$1, 'Data nguồn'!F:F, $D28, 'Data nguồn'!C:C, Q$3)</f>
      </c>
      <c r="R28" s="8">
        <f>SUMIFS('Data nguồn'!H:H, 'Data nguồn'!D:D, $B$1, 'Data nguồn'!F:F, $D28, 'Data nguồn'!C:C, R$3)</f>
      </c>
      <c r="S28" s="8">
        <f>SUMIFS('Data nguồn'!H:H, 'Data nguồn'!D:D, $B$1, 'Data nguồn'!F:F, $D28, 'Data nguồn'!C:C, S$3)</f>
      </c>
      <c r="T28" s="8">
        <f>SUMIFS('Data nguồn'!H:H, 'Data nguồn'!D:D, $B$1, 'Data nguồn'!F:F, $D28, 'Data nguồn'!C:C, T$3)</f>
      </c>
      <c r="V28" s="8">
        <f>SUM(E28:P28)</f>
      </c>
      <c r="W28" s="8">
        <f>SUM(Q28:T28)</f>
      </c>
      <c r="X28" s="8">
        <f>AVERAGE(R28:T28)</f>
      </c>
      <c r="Y28" s="8">
        <f>AVERAGE(O28:T28)</f>
      </c>
      <c r="Z28" s="8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4:30" x14ac:dyDescent="0.25">
      <c r="D29" s="2" t="s">
        <v>47</v>
      </c>
      <c r="E29" s="8">
        <f>SUMIFS('Data nguồn'!H:H, 'Data nguồn'!D:D, $B$1, 'Data nguồn'!F:F, $D29, 'Data nguồn'!C:C, E$3)</f>
      </c>
      <c r="F29" s="8">
        <f>SUMIFS('Data nguồn'!H:H, 'Data nguồn'!D:D, $B$1, 'Data nguồn'!F:F, $D29, 'Data nguồn'!C:C, F$3)</f>
      </c>
      <c r="G29" s="8">
        <f>SUMIFS('Data nguồn'!H:H, 'Data nguồn'!D:D, $B$1, 'Data nguồn'!F:F, $D29, 'Data nguồn'!C:C, G$3)</f>
      </c>
      <c r="H29" s="8">
        <f>SUMIFS('Data nguồn'!H:H, 'Data nguồn'!D:D, $B$1, 'Data nguồn'!F:F, $D29, 'Data nguồn'!C:C, H$3)</f>
      </c>
      <c r="I29" s="8">
        <f>SUMIFS('Data nguồn'!H:H, 'Data nguồn'!D:D, $B$1, 'Data nguồn'!F:F, $D29, 'Data nguồn'!C:C, I$3)</f>
      </c>
      <c r="J29" s="8">
        <f>SUMIFS('Data nguồn'!H:H, 'Data nguồn'!D:D, $B$1, 'Data nguồn'!F:F, $D29, 'Data nguồn'!C:C, J$3)</f>
      </c>
      <c r="K29" s="8">
        <f>SUMIFS('Data nguồn'!H:H, 'Data nguồn'!D:D, $B$1, 'Data nguồn'!F:F, $D29, 'Data nguồn'!C:C, K$3)</f>
      </c>
      <c r="L29" s="8">
        <f>SUMIFS('Data nguồn'!H:H, 'Data nguồn'!D:D, $B$1, 'Data nguồn'!F:F, $D29, 'Data nguồn'!C:C, L$3)</f>
      </c>
      <c r="M29" s="8">
        <f>SUMIFS('Data nguồn'!H:H, 'Data nguồn'!D:D, $B$1, 'Data nguồn'!F:F, $D29, 'Data nguồn'!C:C, M$3)</f>
      </c>
      <c r="N29" s="8">
        <f>SUMIFS('Data nguồn'!H:H, 'Data nguồn'!D:D, $B$1, 'Data nguồn'!F:F, $D29, 'Data nguồn'!C:C, N$3)</f>
      </c>
      <c r="O29" s="8">
        <f>SUMIFS('Data nguồn'!H:H, 'Data nguồn'!D:D, $B$1, 'Data nguồn'!F:F, $D29, 'Data nguồn'!C:C, O$3)</f>
      </c>
      <c r="P29" s="8">
        <f>SUMIFS('Data nguồn'!H:H, 'Data nguồn'!D:D, $B$1, 'Data nguồn'!F:F, $D29, 'Data nguồn'!C:C, P$3)</f>
      </c>
      <c r="Q29" s="8">
        <f>SUMIFS('Data nguồn'!H:H, 'Data nguồn'!D:D, $B$1, 'Data nguồn'!F:F, $D29, 'Data nguồn'!C:C, Q$3)</f>
      </c>
      <c r="R29" s="8">
        <f>SUMIFS('Data nguồn'!H:H, 'Data nguồn'!D:D, $B$1, 'Data nguồn'!F:F, $D29, 'Data nguồn'!C:C, R$3)</f>
      </c>
      <c r="S29" s="8">
        <f>SUMIFS('Data nguồn'!H:H, 'Data nguồn'!D:D, $B$1, 'Data nguồn'!F:F, $D29, 'Data nguồn'!C:C, S$3)</f>
      </c>
      <c r="T29" s="8">
        <f>SUMIFS('Data nguồn'!H:H, 'Data nguồn'!D:D, $B$1, 'Data nguồn'!F:F, $D29, 'Data nguồn'!C:C, T$3)</f>
      </c>
      <c r="V29" s="8">
        <f>SUM(E29:P29)</f>
      </c>
      <c r="W29" s="8">
        <f>SUM(Q29:T29)</f>
      </c>
      <c r="X29" s="8">
        <f>AVERAGE(R29:T29)</f>
      </c>
      <c r="Y29" s="8">
        <f>AVERAGE(O29:T29)</f>
      </c>
      <c r="Z29" s="8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4:30" x14ac:dyDescent="0.25">
      <c r="D30" s="2" t="s">
        <v>73</v>
      </c>
      <c r="E30" s="8">
        <f>SUMIFS('Data nguồn'!H:H, 'Data nguồn'!D:D, $B$1, 'Data nguồn'!F:F, $D30, 'Data nguồn'!C:C, E$3)</f>
      </c>
      <c r="F30" s="8">
        <f>SUMIFS('Data nguồn'!H:H, 'Data nguồn'!D:D, $B$1, 'Data nguồn'!F:F, $D30, 'Data nguồn'!C:C, F$3)</f>
      </c>
      <c r="G30" s="8">
        <f>SUMIFS('Data nguồn'!H:H, 'Data nguồn'!D:D, $B$1, 'Data nguồn'!F:F, $D30, 'Data nguồn'!C:C, G$3)</f>
      </c>
      <c r="H30" s="8">
        <f>SUMIFS('Data nguồn'!H:H, 'Data nguồn'!D:D, $B$1, 'Data nguồn'!F:F, $D30, 'Data nguồn'!C:C, H$3)</f>
      </c>
      <c r="I30" s="8">
        <f>SUMIFS('Data nguồn'!H:H, 'Data nguồn'!D:D, $B$1, 'Data nguồn'!F:F, $D30, 'Data nguồn'!C:C, I$3)</f>
      </c>
      <c r="J30" s="8">
        <f>SUMIFS('Data nguồn'!H:H, 'Data nguồn'!D:D, $B$1, 'Data nguồn'!F:F, $D30, 'Data nguồn'!C:C, J$3)</f>
      </c>
      <c r="K30" s="8">
        <f>SUMIFS('Data nguồn'!H:H, 'Data nguồn'!D:D, $B$1, 'Data nguồn'!F:F, $D30, 'Data nguồn'!C:C, K$3)</f>
      </c>
      <c r="L30" s="8">
        <f>SUMIFS('Data nguồn'!H:H, 'Data nguồn'!D:D, $B$1, 'Data nguồn'!F:F, $D30, 'Data nguồn'!C:C, L$3)</f>
      </c>
      <c r="M30" s="8">
        <f>SUMIFS('Data nguồn'!H:H, 'Data nguồn'!D:D, $B$1, 'Data nguồn'!F:F, $D30, 'Data nguồn'!C:C, M$3)</f>
      </c>
      <c r="N30" s="8">
        <f>SUMIFS('Data nguồn'!H:H, 'Data nguồn'!D:D, $B$1, 'Data nguồn'!F:F, $D30, 'Data nguồn'!C:C, N$3)</f>
      </c>
      <c r="O30" s="8">
        <f>SUMIFS('Data nguồn'!H:H, 'Data nguồn'!D:D, $B$1, 'Data nguồn'!F:F, $D30, 'Data nguồn'!C:C, O$3)</f>
      </c>
      <c r="P30" s="8">
        <f>SUMIFS('Data nguồn'!H:H, 'Data nguồn'!D:D, $B$1, 'Data nguồn'!F:F, $D30, 'Data nguồn'!C:C, P$3)</f>
      </c>
      <c r="Q30" s="8">
        <f>SUMIFS('Data nguồn'!H:H, 'Data nguồn'!D:D, $B$1, 'Data nguồn'!F:F, $D30, 'Data nguồn'!C:C, Q$3)</f>
      </c>
      <c r="R30" s="8">
        <f>SUMIFS('Data nguồn'!H:H, 'Data nguồn'!D:D, $B$1, 'Data nguồn'!F:F, $D30, 'Data nguồn'!C:C, R$3)</f>
      </c>
      <c r="S30" s="8">
        <f>SUMIFS('Data nguồn'!H:H, 'Data nguồn'!D:D, $B$1, 'Data nguồn'!F:F, $D30, 'Data nguồn'!C:C, S$3)</f>
      </c>
      <c r="T30" s="8">
        <f>SUMIFS('Data nguồn'!H:H, 'Data nguồn'!D:D, $B$1, 'Data nguồn'!F:F, $D30, 'Data nguồn'!C:C, T$3)</f>
      </c>
      <c r="V30" s="8">
        <f>SUM(E30:P30)</f>
      </c>
      <c r="W30" s="8">
        <f>SUM(Q30:T30)</f>
      </c>
      <c r="X30" s="8">
        <f>AVERAGE(R30:T30)</f>
      </c>
      <c r="Y30" s="8">
        <f>AVERAGE(O30:T30)</f>
      </c>
      <c r="Z30" s="8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4:30" x14ac:dyDescent="0.25">
      <c r="D31" s="2" t="s">
        <v>11</v>
      </c>
      <c r="E31" s="8">
        <f>SUMIFS('Data nguồn'!H:H, 'Data nguồn'!D:D, $B$1, 'Data nguồn'!F:F, $D31, 'Data nguồn'!C:C, E$3)</f>
      </c>
      <c r="F31" s="8">
        <f>SUMIFS('Data nguồn'!H:H, 'Data nguồn'!D:D, $B$1, 'Data nguồn'!F:F, $D31, 'Data nguồn'!C:C, F$3)</f>
      </c>
      <c r="G31" s="8">
        <f>SUMIFS('Data nguồn'!H:H, 'Data nguồn'!D:D, $B$1, 'Data nguồn'!F:F, $D31, 'Data nguồn'!C:C, G$3)</f>
      </c>
      <c r="H31" s="8">
        <f>SUMIFS('Data nguồn'!H:H, 'Data nguồn'!D:D, $B$1, 'Data nguồn'!F:F, $D31, 'Data nguồn'!C:C, H$3)</f>
      </c>
      <c r="I31" s="8">
        <f>SUMIFS('Data nguồn'!H:H, 'Data nguồn'!D:D, $B$1, 'Data nguồn'!F:F, $D31, 'Data nguồn'!C:C, I$3)</f>
      </c>
      <c r="J31" s="8">
        <f>SUMIFS('Data nguồn'!H:H, 'Data nguồn'!D:D, $B$1, 'Data nguồn'!F:F, $D31, 'Data nguồn'!C:C, J$3)</f>
      </c>
      <c r="K31" s="8">
        <f>SUMIFS('Data nguồn'!H:H, 'Data nguồn'!D:D, $B$1, 'Data nguồn'!F:F, $D31, 'Data nguồn'!C:C, K$3)</f>
      </c>
      <c r="L31" s="8">
        <f>SUMIFS('Data nguồn'!H:H, 'Data nguồn'!D:D, $B$1, 'Data nguồn'!F:F, $D31, 'Data nguồn'!C:C, L$3)</f>
      </c>
      <c r="M31" s="8">
        <f>SUMIFS('Data nguồn'!H:H, 'Data nguồn'!D:D, $B$1, 'Data nguồn'!F:F, $D31, 'Data nguồn'!C:C, M$3)</f>
      </c>
      <c r="N31" s="8">
        <f>SUMIFS('Data nguồn'!H:H, 'Data nguồn'!D:D, $B$1, 'Data nguồn'!F:F, $D31, 'Data nguồn'!C:C, N$3)</f>
      </c>
      <c r="O31" s="8">
        <f>SUMIFS('Data nguồn'!H:H, 'Data nguồn'!D:D, $B$1, 'Data nguồn'!F:F, $D31, 'Data nguồn'!C:C, O$3)</f>
      </c>
      <c r="P31" s="8">
        <f>SUMIFS('Data nguồn'!H:H, 'Data nguồn'!D:D, $B$1, 'Data nguồn'!F:F, $D31, 'Data nguồn'!C:C, P$3)</f>
      </c>
      <c r="Q31" s="8">
        <f>SUMIFS('Data nguồn'!H:H, 'Data nguồn'!D:D, $B$1, 'Data nguồn'!F:F, $D31, 'Data nguồn'!C:C, Q$3)</f>
      </c>
      <c r="R31" s="8">
        <f>SUMIFS('Data nguồn'!H:H, 'Data nguồn'!D:D, $B$1, 'Data nguồn'!F:F, $D31, 'Data nguồn'!C:C, R$3)</f>
      </c>
      <c r="S31" s="8">
        <f>SUMIFS('Data nguồn'!H:H, 'Data nguồn'!D:D, $B$1, 'Data nguồn'!F:F, $D31, 'Data nguồn'!C:C, S$3)</f>
      </c>
      <c r="T31" s="8">
        <f>SUMIFS('Data nguồn'!H:H, 'Data nguồn'!D:D, $B$1, 'Data nguồn'!F:F, $D31, 'Data nguồn'!C:C, T$3)</f>
      </c>
      <c r="V31" s="8">
        <f>SUM(E31:P31)</f>
      </c>
      <c r="W31" s="8">
        <f>SUM(Q31:T31)</f>
      </c>
      <c r="X31" s="8">
        <f>AVERAGE(R31:T31)</f>
      </c>
      <c r="Y31" s="8">
        <f>AVERAGE(O31:T31)</f>
      </c>
      <c r="Z31" s="8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4:30" x14ac:dyDescent="0.25">
      <c r="D32" s="2" t="s">
        <v>65</v>
      </c>
      <c r="E32" s="8">
        <f>SUMIFS('Data nguồn'!H:H, 'Data nguồn'!D:D, $B$1, 'Data nguồn'!F:F, $D32, 'Data nguồn'!C:C, E$3)</f>
      </c>
      <c r="F32" s="8">
        <f>SUMIFS('Data nguồn'!H:H, 'Data nguồn'!D:D, $B$1, 'Data nguồn'!F:F, $D32, 'Data nguồn'!C:C, F$3)</f>
      </c>
      <c r="G32" s="8">
        <f>SUMIFS('Data nguồn'!H:H, 'Data nguồn'!D:D, $B$1, 'Data nguồn'!F:F, $D32, 'Data nguồn'!C:C, G$3)</f>
      </c>
      <c r="H32" s="8">
        <f>SUMIFS('Data nguồn'!H:H, 'Data nguồn'!D:D, $B$1, 'Data nguồn'!F:F, $D32, 'Data nguồn'!C:C, H$3)</f>
      </c>
      <c r="I32" s="8">
        <f>SUMIFS('Data nguồn'!H:H, 'Data nguồn'!D:D, $B$1, 'Data nguồn'!F:F, $D32, 'Data nguồn'!C:C, I$3)</f>
      </c>
      <c r="J32" s="8">
        <f>SUMIFS('Data nguồn'!H:H, 'Data nguồn'!D:D, $B$1, 'Data nguồn'!F:F, $D32, 'Data nguồn'!C:C, J$3)</f>
      </c>
      <c r="K32" s="8">
        <f>SUMIFS('Data nguồn'!H:H, 'Data nguồn'!D:D, $B$1, 'Data nguồn'!F:F, $D32, 'Data nguồn'!C:C, K$3)</f>
      </c>
      <c r="L32" s="8">
        <f>SUMIFS('Data nguồn'!H:H, 'Data nguồn'!D:D, $B$1, 'Data nguồn'!F:F, $D32, 'Data nguồn'!C:C, L$3)</f>
      </c>
      <c r="M32" s="8">
        <f>SUMIFS('Data nguồn'!H:H, 'Data nguồn'!D:D, $B$1, 'Data nguồn'!F:F, $D32, 'Data nguồn'!C:C, M$3)</f>
      </c>
      <c r="N32" s="8">
        <f>SUMIFS('Data nguồn'!H:H, 'Data nguồn'!D:D, $B$1, 'Data nguồn'!F:F, $D32, 'Data nguồn'!C:C, N$3)</f>
      </c>
      <c r="O32" s="8">
        <f>SUMIFS('Data nguồn'!H:H, 'Data nguồn'!D:D, $B$1, 'Data nguồn'!F:F, $D32, 'Data nguồn'!C:C, O$3)</f>
      </c>
      <c r="P32" s="8">
        <f>SUMIFS('Data nguồn'!H:H, 'Data nguồn'!D:D, $B$1, 'Data nguồn'!F:F, $D32, 'Data nguồn'!C:C, P$3)</f>
      </c>
      <c r="Q32" s="8">
        <f>SUMIFS('Data nguồn'!H:H, 'Data nguồn'!D:D, $B$1, 'Data nguồn'!F:F, $D32, 'Data nguồn'!C:C, Q$3)</f>
      </c>
      <c r="R32" s="8">
        <f>SUMIFS('Data nguồn'!H:H, 'Data nguồn'!D:D, $B$1, 'Data nguồn'!F:F, $D32, 'Data nguồn'!C:C, R$3)</f>
      </c>
      <c r="S32" s="8">
        <f>SUMIFS('Data nguồn'!H:H, 'Data nguồn'!D:D, $B$1, 'Data nguồn'!F:F, $D32, 'Data nguồn'!C:C, S$3)</f>
      </c>
      <c r="T32" s="8">
        <f>SUMIFS('Data nguồn'!H:H, 'Data nguồn'!D:D, $B$1, 'Data nguồn'!F:F, $D32, 'Data nguồn'!C:C, T$3)</f>
      </c>
      <c r="V32" s="8">
        <f>SUM(E32:P32)</f>
      </c>
      <c r="W32" s="8">
        <f>SUM(Q32:T32)</f>
      </c>
      <c r="X32" s="8">
        <f>AVERAGE(R32:T32)</f>
      </c>
      <c r="Y32" s="8">
        <f>AVERAGE(O32:T32)</f>
      </c>
      <c r="Z32" s="8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4:30" x14ac:dyDescent="0.25">
      <c r="D33" s="2" t="s">
        <v>87</v>
      </c>
      <c r="E33" s="8">
        <f>SUMIFS('Data nguồn'!H:H, 'Data nguồn'!D:D, $B$1, 'Data nguồn'!F:F, $D33, 'Data nguồn'!C:C, E$3)</f>
      </c>
      <c r="F33" s="8">
        <f>SUMIFS('Data nguồn'!H:H, 'Data nguồn'!D:D, $B$1, 'Data nguồn'!F:F, $D33, 'Data nguồn'!C:C, F$3)</f>
      </c>
      <c r="G33" s="8">
        <f>SUMIFS('Data nguồn'!H:H, 'Data nguồn'!D:D, $B$1, 'Data nguồn'!F:F, $D33, 'Data nguồn'!C:C, G$3)</f>
      </c>
      <c r="H33" s="8">
        <f>SUMIFS('Data nguồn'!H:H, 'Data nguồn'!D:D, $B$1, 'Data nguồn'!F:F, $D33, 'Data nguồn'!C:C, H$3)</f>
      </c>
      <c r="I33" s="8">
        <f>SUMIFS('Data nguồn'!H:H, 'Data nguồn'!D:D, $B$1, 'Data nguồn'!F:F, $D33, 'Data nguồn'!C:C, I$3)</f>
      </c>
      <c r="J33" s="8">
        <f>SUMIFS('Data nguồn'!H:H, 'Data nguồn'!D:D, $B$1, 'Data nguồn'!F:F, $D33, 'Data nguồn'!C:C, J$3)</f>
      </c>
      <c r="K33" s="8">
        <f>SUMIFS('Data nguồn'!H:H, 'Data nguồn'!D:D, $B$1, 'Data nguồn'!F:F, $D33, 'Data nguồn'!C:C, K$3)</f>
      </c>
      <c r="L33" s="8">
        <f>SUMIFS('Data nguồn'!H:H, 'Data nguồn'!D:D, $B$1, 'Data nguồn'!F:F, $D33, 'Data nguồn'!C:C, L$3)</f>
      </c>
      <c r="M33" s="8">
        <f>SUMIFS('Data nguồn'!H:H, 'Data nguồn'!D:D, $B$1, 'Data nguồn'!F:F, $D33, 'Data nguồn'!C:C, M$3)</f>
      </c>
      <c r="N33" s="8">
        <f>SUMIFS('Data nguồn'!H:H, 'Data nguồn'!D:D, $B$1, 'Data nguồn'!F:F, $D33, 'Data nguồn'!C:C, N$3)</f>
      </c>
      <c r="O33" s="8">
        <f>SUMIFS('Data nguồn'!H:H, 'Data nguồn'!D:D, $B$1, 'Data nguồn'!F:F, $D33, 'Data nguồn'!C:C, O$3)</f>
      </c>
      <c r="P33" s="8">
        <f>SUMIFS('Data nguồn'!H:H, 'Data nguồn'!D:D, $B$1, 'Data nguồn'!F:F, $D33, 'Data nguồn'!C:C, P$3)</f>
      </c>
      <c r="Q33" s="8">
        <f>SUMIFS('Data nguồn'!H:H, 'Data nguồn'!D:D, $B$1, 'Data nguồn'!F:F, $D33, 'Data nguồn'!C:C, Q$3)</f>
      </c>
      <c r="R33" s="8">
        <f>SUMIFS('Data nguồn'!H:H, 'Data nguồn'!D:D, $B$1, 'Data nguồn'!F:F, $D33, 'Data nguồn'!C:C, R$3)</f>
      </c>
      <c r="S33" s="8">
        <f>SUMIFS('Data nguồn'!H:H, 'Data nguồn'!D:D, $B$1, 'Data nguồn'!F:F, $D33, 'Data nguồn'!C:C, S$3)</f>
      </c>
      <c r="T33" s="8">
        <f>SUMIFS('Data nguồn'!H:H, 'Data nguồn'!D:D, $B$1, 'Data nguồn'!F:F, $D33, 'Data nguồn'!C:C, T$3)</f>
      </c>
      <c r="V33" s="8">
        <f>SUM(E33:P33)</f>
      </c>
      <c r="W33" s="8">
        <f>SUM(Q33:T33)</f>
      </c>
      <c r="X33" s="8">
        <f>AVERAGE(R33:T33)</f>
      </c>
      <c r="Y33" s="8">
        <f>AVERAGE(O33:T33)</f>
      </c>
      <c r="Z33" s="8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0" customHeight="1" spans="4:30" x14ac:dyDescent="0.25">
      <c r="D34" s="2" t="s">
        <v>67</v>
      </c>
      <c r="E34" s="8">
        <f>SUMIFS('Data nguồn'!H:H, 'Data nguồn'!D:D, $B$1, 'Data nguồn'!F:F, $D34, 'Data nguồn'!C:C, E$3)</f>
      </c>
      <c r="F34" s="8">
        <f>SUMIFS('Data nguồn'!H:H, 'Data nguồn'!D:D, $B$1, 'Data nguồn'!F:F, $D34, 'Data nguồn'!C:C, F$3)</f>
      </c>
      <c r="G34" s="8">
        <f>SUMIFS('Data nguồn'!H:H, 'Data nguồn'!D:D, $B$1, 'Data nguồn'!F:F, $D34, 'Data nguồn'!C:C, G$3)</f>
      </c>
      <c r="H34" s="8">
        <f>SUMIFS('Data nguồn'!H:H, 'Data nguồn'!D:D, $B$1, 'Data nguồn'!F:F, $D34, 'Data nguồn'!C:C, H$3)</f>
      </c>
      <c r="I34" s="8">
        <f>SUMIFS('Data nguồn'!H:H, 'Data nguồn'!D:D, $B$1, 'Data nguồn'!F:F, $D34, 'Data nguồn'!C:C, I$3)</f>
      </c>
      <c r="J34" s="8">
        <f>SUMIFS('Data nguồn'!H:H, 'Data nguồn'!D:D, $B$1, 'Data nguồn'!F:F, $D34, 'Data nguồn'!C:C, J$3)</f>
      </c>
      <c r="K34" s="8">
        <f>SUMIFS('Data nguồn'!H:H, 'Data nguồn'!D:D, $B$1, 'Data nguồn'!F:F, $D34, 'Data nguồn'!C:C, K$3)</f>
      </c>
      <c r="L34" s="8">
        <f>SUMIFS('Data nguồn'!H:H, 'Data nguồn'!D:D, $B$1, 'Data nguồn'!F:F, $D34, 'Data nguồn'!C:C, L$3)</f>
      </c>
      <c r="M34" s="8">
        <f>SUMIFS('Data nguồn'!H:H, 'Data nguồn'!D:D, $B$1, 'Data nguồn'!F:F, $D34, 'Data nguồn'!C:C, M$3)</f>
      </c>
      <c r="N34" s="8">
        <f>SUMIFS('Data nguồn'!H:H, 'Data nguồn'!D:D, $B$1, 'Data nguồn'!F:F, $D34, 'Data nguồn'!C:C, N$3)</f>
      </c>
      <c r="O34" s="8">
        <f>SUMIFS('Data nguồn'!H:H, 'Data nguồn'!D:D, $B$1, 'Data nguồn'!F:F, $D34, 'Data nguồn'!C:C, O$3)</f>
      </c>
      <c r="P34" s="8">
        <f>SUMIFS('Data nguồn'!H:H, 'Data nguồn'!D:D, $B$1, 'Data nguồn'!F:F, $D34, 'Data nguồn'!C:C, P$3)</f>
      </c>
      <c r="Q34" s="8">
        <f>SUMIFS('Data nguồn'!H:H, 'Data nguồn'!D:D, $B$1, 'Data nguồn'!F:F, $D34, 'Data nguồn'!C:C, Q$3)</f>
      </c>
      <c r="R34" s="8">
        <f>SUMIFS('Data nguồn'!H:H, 'Data nguồn'!D:D, $B$1, 'Data nguồn'!F:F, $D34, 'Data nguồn'!C:C, R$3)</f>
      </c>
      <c r="S34" s="8">
        <f>SUMIFS('Data nguồn'!H:H, 'Data nguồn'!D:D, $B$1, 'Data nguồn'!F:F, $D34, 'Data nguồn'!C:C, S$3)</f>
      </c>
      <c r="T34" s="8">
        <f>SUMIFS('Data nguồn'!H:H, 'Data nguồn'!D:D, $B$1, 'Data nguồn'!F:F, $D34, 'Data nguồn'!C:C, T$3)</f>
      </c>
      <c r="V34" s="8">
        <f>SUM(E34:P34)</f>
      </c>
      <c r="W34" s="8">
        <f>SUM(Q34:T34)</f>
      </c>
      <c r="X34" s="8">
        <f>AVERAGE(R34:T34)</f>
      </c>
      <c r="Y34" s="8">
        <f>AVERAGE(O34:T34)</f>
      </c>
      <c r="Z34" s="8">
        <f>AVERAGE(L34:T34)</f>
      </c>
      <c r="AA34" s="4">
        <f>IFERROR((X34*2)/(Y34+Z34), 0)</f>
      </c>
      <c r="AB34" s="4">
        <f>IFERROR(W34/SUM(E34:H34), 0)</f>
      </c>
      <c r="AC34" s="4">
        <f>IFERROR(W34/SUM(E34:H34), 0)</f>
      </c>
      <c r="AD34" s="4">
        <f>IFERROR(T34/H34, 0)</f>
      </c>
    </row>
    <row r="35" ht="20" customHeight="1" spans="4:30" x14ac:dyDescent="0.25">
      <c r="D35" s="2" t="s">
        <v>69</v>
      </c>
      <c r="E35" s="8">
        <f>SUMIFS('Data nguồn'!H:H, 'Data nguồn'!D:D, $B$1, 'Data nguồn'!F:F, $D35, 'Data nguồn'!C:C, E$3)</f>
      </c>
      <c r="F35" s="8">
        <f>SUMIFS('Data nguồn'!H:H, 'Data nguồn'!D:D, $B$1, 'Data nguồn'!F:F, $D35, 'Data nguồn'!C:C, F$3)</f>
      </c>
      <c r="G35" s="8">
        <f>SUMIFS('Data nguồn'!H:H, 'Data nguồn'!D:D, $B$1, 'Data nguồn'!F:F, $D35, 'Data nguồn'!C:C, G$3)</f>
      </c>
      <c r="H35" s="8">
        <f>SUMIFS('Data nguồn'!H:H, 'Data nguồn'!D:D, $B$1, 'Data nguồn'!F:F, $D35, 'Data nguồn'!C:C, H$3)</f>
      </c>
      <c r="I35" s="8">
        <f>SUMIFS('Data nguồn'!H:H, 'Data nguồn'!D:D, $B$1, 'Data nguồn'!F:F, $D35, 'Data nguồn'!C:C, I$3)</f>
      </c>
      <c r="J35" s="8">
        <f>SUMIFS('Data nguồn'!H:H, 'Data nguồn'!D:D, $B$1, 'Data nguồn'!F:F, $D35, 'Data nguồn'!C:C, J$3)</f>
      </c>
      <c r="K35" s="8">
        <f>SUMIFS('Data nguồn'!H:H, 'Data nguồn'!D:D, $B$1, 'Data nguồn'!F:F, $D35, 'Data nguồn'!C:C, K$3)</f>
      </c>
      <c r="L35" s="8">
        <f>SUMIFS('Data nguồn'!H:H, 'Data nguồn'!D:D, $B$1, 'Data nguồn'!F:F, $D35, 'Data nguồn'!C:C, L$3)</f>
      </c>
      <c r="M35" s="8">
        <f>SUMIFS('Data nguồn'!H:H, 'Data nguồn'!D:D, $B$1, 'Data nguồn'!F:F, $D35, 'Data nguồn'!C:C, M$3)</f>
      </c>
      <c r="N35" s="8">
        <f>SUMIFS('Data nguồn'!H:H, 'Data nguồn'!D:D, $B$1, 'Data nguồn'!F:F, $D35, 'Data nguồn'!C:C, N$3)</f>
      </c>
      <c r="O35" s="8">
        <f>SUMIFS('Data nguồn'!H:H, 'Data nguồn'!D:D, $B$1, 'Data nguồn'!F:F, $D35, 'Data nguồn'!C:C, O$3)</f>
      </c>
      <c r="P35" s="8">
        <f>SUMIFS('Data nguồn'!H:H, 'Data nguồn'!D:D, $B$1, 'Data nguồn'!F:F, $D35, 'Data nguồn'!C:C, P$3)</f>
      </c>
      <c r="Q35" s="8">
        <f>SUMIFS('Data nguồn'!H:H, 'Data nguồn'!D:D, $B$1, 'Data nguồn'!F:F, $D35, 'Data nguồn'!C:C, Q$3)</f>
      </c>
      <c r="R35" s="8">
        <f>SUMIFS('Data nguồn'!H:H, 'Data nguồn'!D:D, $B$1, 'Data nguồn'!F:F, $D35, 'Data nguồn'!C:C, R$3)</f>
      </c>
      <c r="S35" s="8">
        <f>SUMIFS('Data nguồn'!H:H, 'Data nguồn'!D:D, $B$1, 'Data nguồn'!F:F, $D35, 'Data nguồn'!C:C, S$3)</f>
      </c>
      <c r="T35" s="8">
        <f>SUMIFS('Data nguồn'!H:H, 'Data nguồn'!D:D, $B$1, 'Data nguồn'!F:F, $D35, 'Data nguồn'!C:C, T$3)</f>
      </c>
      <c r="V35" s="8">
        <f>SUM(E35:P35)</f>
      </c>
      <c r="W35" s="8">
        <f>SUM(Q35:T35)</f>
      </c>
      <c r="X35" s="8">
        <f>AVERAGE(R35:T35)</f>
      </c>
      <c r="Y35" s="8">
        <f>AVERAGE(O35:T35)</f>
      </c>
      <c r="Z35" s="8">
        <f>AVERAGE(L35:T35)</f>
      </c>
      <c r="AA35" s="4">
        <f>IFERROR((X35*2)/(Y35+Z35), 0)</f>
      </c>
      <c r="AB35" s="4">
        <f>IFERROR(W35/SUM(E35:H35), 0)</f>
      </c>
      <c r="AC35" s="4">
        <f>IFERROR(W35/SUM(E35:H35), 0)</f>
      </c>
      <c r="AD35" s="4">
        <f>IFERROR(T35/H35, 0)</f>
      </c>
    </row>
    <row r="36" ht="20" customHeight="1" spans="4:30" x14ac:dyDescent="0.25">
      <c r="D36" s="2" t="s">
        <v>71</v>
      </c>
      <c r="E36" s="8">
        <f>SUMIFS('Data nguồn'!H:H, 'Data nguồn'!D:D, $B$1, 'Data nguồn'!F:F, $D36, 'Data nguồn'!C:C, E$3)</f>
      </c>
      <c r="F36" s="8">
        <f>SUMIFS('Data nguồn'!H:H, 'Data nguồn'!D:D, $B$1, 'Data nguồn'!F:F, $D36, 'Data nguồn'!C:C, F$3)</f>
      </c>
      <c r="G36" s="8">
        <f>SUMIFS('Data nguồn'!H:H, 'Data nguồn'!D:D, $B$1, 'Data nguồn'!F:F, $D36, 'Data nguồn'!C:C, G$3)</f>
      </c>
      <c r="H36" s="8">
        <f>SUMIFS('Data nguồn'!H:H, 'Data nguồn'!D:D, $B$1, 'Data nguồn'!F:F, $D36, 'Data nguồn'!C:C, H$3)</f>
      </c>
      <c r="I36" s="8">
        <f>SUMIFS('Data nguồn'!H:H, 'Data nguồn'!D:D, $B$1, 'Data nguồn'!F:F, $D36, 'Data nguồn'!C:C, I$3)</f>
      </c>
      <c r="J36" s="8">
        <f>SUMIFS('Data nguồn'!H:H, 'Data nguồn'!D:D, $B$1, 'Data nguồn'!F:F, $D36, 'Data nguồn'!C:C, J$3)</f>
      </c>
      <c r="K36" s="8">
        <f>SUMIFS('Data nguồn'!H:H, 'Data nguồn'!D:D, $B$1, 'Data nguồn'!F:F, $D36, 'Data nguồn'!C:C, K$3)</f>
      </c>
      <c r="L36" s="8">
        <f>SUMIFS('Data nguồn'!H:H, 'Data nguồn'!D:D, $B$1, 'Data nguồn'!F:F, $D36, 'Data nguồn'!C:C, L$3)</f>
      </c>
      <c r="M36" s="8">
        <f>SUMIFS('Data nguồn'!H:H, 'Data nguồn'!D:D, $B$1, 'Data nguồn'!F:F, $D36, 'Data nguồn'!C:C, M$3)</f>
      </c>
      <c r="N36" s="8">
        <f>SUMIFS('Data nguồn'!H:H, 'Data nguồn'!D:D, $B$1, 'Data nguồn'!F:F, $D36, 'Data nguồn'!C:C, N$3)</f>
      </c>
      <c r="O36" s="8">
        <f>SUMIFS('Data nguồn'!H:H, 'Data nguồn'!D:D, $B$1, 'Data nguồn'!F:F, $D36, 'Data nguồn'!C:C, O$3)</f>
      </c>
      <c r="P36" s="8">
        <f>SUMIFS('Data nguồn'!H:H, 'Data nguồn'!D:D, $B$1, 'Data nguồn'!F:F, $D36, 'Data nguồn'!C:C, P$3)</f>
      </c>
      <c r="Q36" s="8">
        <f>SUMIFS('Data nguồn'!H:H, 'Data nguồn'!D:D, $B$1, 'Data nguồn'!F:F, $D36, 'Data nguồn'!C:C, Q$3)</f>
      </c>
      <c r="R36" s="8">
        <f>SUMIFS('Data nguồn'!H:H, 'Data nguồn'!D:D, $B$1, 'Data nguồn'!F:F, $D36, 'Data nguồn'!C:C, R$3)</f>
      </c>
      <c r="S36" s="8">
        <f>SUMIFS('Data nguồn'!H:H, 'Data nguồn'!D:D, $B$1, 'Data nguồn'!F:F, $D36, 'Data nguồn'!C:C, S$3)</f>
      </c>
      <c r="T36" s="8">
        <f>SUMIFS('Data nguồn'!H:H, 'Data nguồn'!D:D, $B$1, 'Data nguồn'!F:F, $D36, 'Data nguồn'!C:C, T$3)</f>
      </c>
      <c r="V36" s="8">
        <f>SUM(E36:P36)</f>
      </c>
      <c r="W36" s="8">
        <f>SUM(Q36:T36)</f>
      </c>
      <c r="X36" s="8">
        <f>AVERAGE(R36:T36)</f>
      </c>
      <c r="Y36" s="8">
        <f>AVERAGE(O36:T36)</f>
      </c>
      <c r="Z36" s="8">
        <f>AVERAGE(L36:T36)</f>
      </c>
      <c r="AA36" s="4">
        <f>IFERROR((X36*2)/(Y36+Z36), 0)</f>
      </c>
      <c r="AB36" s="4">
        <f>IFERROR(W36/SUM(E36:H36), 0)</f>
      </c>
      <c r="AC36" s="4">
        <f>IFERROR(W36/SUM(E36:H36), 0)</f>
      </c>
      <c r="AD36" s="4">
        <f>IFERROR(T36/H36, 0)</f>
      </c>
    </row>
    <row r="37" ht="20" customHeight="1" spans="4:30" x14ac:dyDescent="0.25">
      <c r="D37" s="2" t="s">
        <v>79</v>
      </c>
      <c r="E37" s="8">
        <f>SUMIFS('Data nguồn'!H:H, 'Data nguồn'!D:D, $B$1, 'Data nguồn'!F:F, $D37, 'Data nguồn'!C:C, E$3)</f>
      </c>
      <c r="F37" s="8">
        <f>SUMIFS('Data nguồn'!H:H, 'Data nguồn'!D:D, $B$1, 'Data nguồn'!F:F, $D37, 'Data nguồn'!C:C, F$3)</f>
      </c>
      <c r="G37" s="8">
        <f>SUMIFS('Data nguồn'!H:H, 'Data nguồn'!D:D, $B$1, 'Data nguồn'!F:F, $D37, 'Data nguồn'!C:C, G$3)</f>
      </c>
      <c r="H37" s="8">
        <f>SUMIFS('Data nguồn'!H:H, 'Data nguồn'!D:D, $B$1, 'Data nguồn'!F:F, $D37, 'Data nguồn'!C:C, H$3)</f>
      </c>
      <c r="I37" s="8">
        <f>SUMIFS('Data nguồn'!H:H, 'Data nguồn'!D:D, $B$1, 'Data nguồn'!F:F, $D37, 'Data nguồn'!C:C, I$3)</f>
      </c>
      <c r="J37" s="8">
        <f>SUMIFS('Data nguồn'!H:H, 'Data nguồn'!D:D, $B$1, 'Data nguồn'!F:F, $D37, 'Data nguồn'!C:C, J$3)</f>
      </c>
      <c r="K37" s="8">
        <f>SUMIFS('Data nguồn'!H:H, 'Data nguồn'!D:D, $B$1, 'Data nguồn'!F:F, $D37, 'Data nguồn'!C:C, K$3)</f>
      </c>
      <c r="L37" s="8">
        <f>SUMIFS('Data nguồn'!H:H, 'Data nguồn'!D:D, $B$1, 'Data nguồn'!F:F, $D37, 'Data nguồn'!C:C, L$3)</f>
      </c>
      <c r="M37" s="8">
        <f>SUMIFS('Data nguồn'!H:H, 'Data nguồn'!D:D, $B$1, 'Data nguồn'!F:F, $D37, 'Data nguồn'!C:C, M$3)</f>
      </c>
      <c r="N37" s="8">
        <f>SUMIFS('Data nguồn'!H:H, 'Data nguồn'!D:D, $B$1, 'Data nguồn'!F:F, $D37, 'Data nguồn'!C:C, N$3)</f>
      </c>
      <c r="O37" s="8">
        <f>SUMIFS('Data nguồn'!H:H, 'Data nguồn'!D:D, $B$1, 'Data nguồn'!F:F, $D37, 'Data nguồn'!C:C, O$3)</f>
      </c>
      <c r="P37" s="8">
        <f>SUMIFS('Data nguồn'!H:H, 'Data nguồn'!D:D, $B$1, 'Data nguồn'!F:F, $D37, 'Data nguồn'!C:C, P$3)</f>
      </c>
      <c r="Q37" s="8">
        <f>SUMIFS('Data nguồn'!H:H, 'Data nguồn'!D:D, $B$1, 'Data nguồn'!F:F, $D37, 'Data nguồn'!C:C, Q$3)</f>
      </c>
      <c r="R37" s="8">
        <f>SUMIFS('Data nguồn'!H:H, 'Data nguồn'!D:D, $B$1, 'Data nguồn'!F:F, $D37, 'Data nguồn'!C:C, R$3)</f>
      </c>
      <c r="S37" s="8">
        <f>SUMIFS('Data nguồn'!H:H, 'Data nguồn'!D:D, $B$1, 'Data nguồn'!F:F, $D37, 'Data nguồn'!C:C, S$3)</f>
      </c>
      <c r="T37" s="8">
        <f>SUMIFS('Data nguồn'!H:H, 'Data nguồn'!D:D, $B$1, 'Data nguồn'!F:F, $D37, 'Data nguồn'!C:C, T$3)</f>
      </c>
      <c r="V37" s="8">
        <f>SUM(E37:P37)</f>
      </c>
      <c r="W37" s="8">
        <f>SUM(Q37:T37)</f>
      </c>
      <c r="X37" s="8">
        <f>AVERAGE(R37:T37)</f>
      </c>
      <c r="Y37" s="8">
        <f>AVERAGE(O37:T37)</f>
      </c>
      <c r="Z37" s="8">
        <f>AVERAGE(L37:T37)</f>
      </c>
      <c r="AA37" s="4">
        <f>IFERROR((X37*2)/(Y37+Z37), 0)</f>
      </c>
      <c r="AB37" s="4">
        <f>IFERROR(W37/SUM(E37:H37), 0)</f>
      </c>
      <c r="AC37" s="4">
        <f>IFERROR(W37/SUM(E37:H37), 0)</f>
      </c>
      <c r="AD37" s="4">
        <f>IFERROR(T37/H37, 0)</f>
      </c>
    </row>
    <row r="38" ht="20" customHeight="1" spans="4:30" x14ac:dyDescent="0.25">
      <c r="D38" s="2" t="s">
        <v>17</v>
      </c>
      <c r="E38" s="8">
        <f>SUMIFS('Data nguồn'!H:H, 'Data nguồn'!D:D, $B$1, 'Data nguồn'!F:F, $D38, 'Data nguồn'!C:C, E$3)</f>
      </c>
      <c r="F38" s="8">
        <f>SUMIFS('Data nguồn'!H:H, 'Data nguồn'!D:D, $B$1, 'Data nguồn'!F:F, $D38, 'Data nguồn'!C:C, F$3)</f>
      </c>
      <c r="G38" s="8">
        <f>SUMIFS('Data nguồn'!H:H, 'Data nguồn'!D:D, $B$1, 'Data nguồn'!F:F, $D38, 'Data nguồn'!C:C, G$3)</f>
      </c>
      <c r="H38" s="8">
        <f>SUMIFS('Data nguồn'!H:H, 'Data nguồn'!D:D, $B$1, 'Data nguồn'!F:F, $D38, 'Data nguồn'!C:C, H$3)</f>
      </c>
      <c r="I38" s="8">
        <f>SUMIFS('Data nguồn'!H:H, 'Data nguồn'!D:D, $B$1, 'Data nguồn'!F:F, $D38, 'Data nguồn'!C:C, I$3)</f>
      </c>
      <c r="J38" s="8">
        <f>SUMIFS('Data nguồn'!H:H, 'Data nguồn'!D:D, $B$1, 'Data nguồn'!F:F, $D38, 'Data nguồn'!C:C, J$3)</f>
      </c>
      <c r="K38" s="8">
        <f>SUMIFS('Data nguồn'!H:H, 'Data nguồn'!D:D, $B$1, 'Data nguồn'!F:F, $D38, 'Data nguồn'!C:C, K$3)</f>
      </c>
      <c r="L38" s="8">
        <f>SUMIFS('Data nguồn'!H:H, 'Data nguồn'!D:D, $B$1, 'Data nguồn'!F:F, $D38, 'Data nguồn'!C:C, L$3)</f>
      </c>
      <c r="M38" s="8">
        <f>SUMIFS('Data nguồn'!H:H, 'Data nguồn'!D:D, $B$1, 'Data nguồn'!F:F, $D38, 'Data nguồn'!C:C, M$3)</f>
      </c>
      <c r="N38" s="8">
        <f>SUMIFS('Data nguồn'!H:H, 'Data nguồn'!D:D, $B$1, 'Data nguồn'!F:F, $D38, 'Data nguồn'!C:C, N$3)</f>
      </c>
      <c r="O38" s="8">
        <f>SUMIFS('Data nguồn'!H:H, 'Data nguồn'!D:D, $B$1, 'Data nguồn'!F:F, $D38, 'Data nguồn'!C:C, O$3)</f>
      </c>
      <c r="P38" s="8">
        <f>SUMIFS('Data nguồn'!H:H, 'Data nguồn'!D:D, $B$1, 'Data nguồn'!F:F, $D38, 'Data nguồn'!C:C, P$3)</f>
      </c>
      <c r="Q38" s="8">
        <f>SUMIFS('Data nguồn'!H:H, 'Data nguồn'!D:D, $B$1, 'Data nguồn'!F:F, $D38, 'Data nguồn'!C:C, Q$3)</f>
      </c>
      <c r="R38" s="8">
        <f>SUMIFS('Data nguồn'!H:H, 'Data nguồn'!D:D, $B$1, 'Data nguồn'!F:F, $D38, 'Data nguồn'!C:C, R$3)</f>
      </c>
      <c r="S38" s="8">
        <f>SUMIFS('Data nguồn'!H:H, 'Data nguồn'!D:D, $B$1, 'Data nguồn'!F:F, $D38, 'Data nguồn'!C:C, S$3)</f>
      </c>
      <c r="T38" s="8">
        <f>SUMIFS('Data nguồn'!H:H, 'Data nguồn'!D:D, $B$1, 'Data nguồn'!F:F, $D38, 'Data nguồn'!C:C, T$3)</f>
      </c>
      <c r="V38" s="8">
        <f>SUM(E38:P38)</f>
      </c>
      <c r="W38" s="8">
        <f>SUM(Q38:T38)</f>
      </c>
      <c r="X38" s="8">
        <f>AVERAGE(R38:T38)</f>
      </c>
      <c r="Y38" s="8">
        <f>AVERAGE(O38:T38)</f>
      </c>
      <c r="Z38" s="8">
        <f>AVERAGE(L38:T38)</f>
      </c>
      <c r="AA38" s="4">
        <f>IFERROR((X38*2)/(Y38+Z38), 0)</f>
      </c>
      <c r="AB38" s="4">
        <f>IFERROR(W38/SUM(E38:H38), 0)</f>
      </c>
      <c r="AC38" s="4">
        <f>IFERROR(W38/SUM(E38:H38), 0)</f>
      </c>
      <c r="AD38" s="4">
        <f>IFERROR(T38/H38, 0)</f>
      </c>
    </row>
    <row r="39" ht="20" customHeight="1" spans="4:30" x14ac:dyDescent="0.25">
      <c r="D39" s="2" t="s">
        <v>53</v>
      </c>
      <c r="E39" s="8">
        <f>SUMIFS('Data nguồn'!H:H, 'Data nguồn'!D:D, $B$1, 'Data nguồn'!F:F, $D39, 'Data nguồn'!C:C, E$3)</f>
      </c>
      <c r="F39" s="8">
        <f>SUMIFS('Data nguồn'!H:H, 'Data nguồn'!D:D, $B$1, 'Data nguồn'!F:F, $D39, 'Data nguồn'!C:C, F$3)</f>
      </c>
      <c r="G39" s="8">
        <f>SUMIFS('Data nguồn'!H:H, 'Data nguồn'!D:D, $B$1, 'Data nguồn'!F:F, $D39, 'Data nguồn'!C:C, G$3)</f>
      </c>
      <c r="H39" s="8">
        <f>SUMIFS('Data nguồn'!H:H, 'Data nguồn'!D:D, $B$1, 'Data nguồn'!F:F, $D39, 'Data nguồn'!C:C, H$3)</f>
      </c>
      <c r="I39" s="8">
        <f>SUMIFS('Data nguồn'!H:H, 'Data nguồn'!D:D, $B$1, 'Data nguồn'!F:F, $D39, 'Data nguồn'!C:C, I$3)</f>
      </c>
      <c r="J39" s="8">
        <f>SUMIFS('Data nguồn'!H:H, 'Data nguồn'!D:D, $B$1, 'Data nguồn'!F:F, $D39, 'Data nguồn'!C:C, J$3)</f>
      </c>
      <c r="K39" s="8">
        <f>SUMIFS('Data nguồn'!H:H, 'Data nguồn'!D:D, $B$1, 'Data nguồn'!F:F, $D39, 'Data nguồn'!C:C, K$3)</f>
      </c>
      <c r="L39" s="8">
        <f>SUMIFS('Data nguồn'!H:H, 'Data nguồn'!D:D, $B$1, 'Data nguồn'!F:F, $D39, 'Data nguồn'!C:C, L$3)</f>
      </c>
      <c r="M39" s="8">
        <f>SUMIFS('Data nguồn'!H:H, 'Data nguồn'!D:D, $B$1, 'Data nguồn'!F:F, $D39, 'Data nguồn'!C:C, M$3)</f>
      </c>
      <c r="N39" s="8">
        <f>SUMIFS('Data nguồn'!H:H, 'Data nguồn'!D:D, $B$1, 'Data nguồn'!F:F, $D39, 'Data nguồn'!C:C, N$3)</f>
      </c>
      <c r="O39" s="8">
        <f>SUMIFS('Data nguồn'!H:H, 'Data nguồn'!D:D, $B$1, 'Data nguồn'!F:F, $D39, 'Data nguồn'!C:C, O$3)</f>
      </c>
      <c r="P39" s="8">
        <f>SUMIFS('Data nguồn'!H:H, 'Data nguồn'!D:D, $B$1, 'Data nguồn'!F:F, $D39, 'Data nguồn'!C:C, P$3)</f>
      </c>
      <c r="Q39" s="8">
        <f>SUMIFS('Data nguồn'!H:H, 'Data nguồn'!D:D, $B$1, 'Data nguồn'!F:F, $D39, 'Data nguồn'!C:C, Q$3)</f>
      </c>
      <c r="R39" s="8">
        <f>SUMIFS('Data nguồn'!H:H, 'Data nguồn'!D:D, $B$1, 'Data nguồn'!F:F, $D39, 'Data nguồn'!C:C, R$3)</f>
      </c>
      <c r="S39" s="8">
        <f>SUMIFS('Data nguồn'!H:H, 'Data nguồn'!D:D, $B$1, 'Data nguồn'!F:F, $D39, 'Data nguồn'!C:C, S$3)</f>
      </c>
      <c r="T39" s="8">
        <f>SUMIFS('Data nguồn'!H:H, 'Data nguồn'!D:D, $B$1, 'Data nguồn'!F:F, $D39, 'Data nguồn'!C:C, T$3)</f>
      </c>
      <c r="V39" s="8">
        <f>SUM(E39:P39)</f>
      </c>
      <c r="W39" s="8">
        <f>SUM(Q39:T39)</f>
      </c>
      <c r="X39" s="8">
        <f>AVERAGE(R39:T39)</f>
      </c>
      <c r="Y39" s="8">
        <f>AVERAGE(O39:T39)</f>
      </c>
      <c r="Z39" s="8">
        <f>AVERAGE(L39:T39)</f>
      </c>
      <c r="AA39" s="4">
        <f>IFERROR((X39*2)/(Y39+Z39), 0)</f>
      </c>
      <c r="AB39" s="4">
        <f>IFERROR(W39/SUM(E39:H39), 0)</f>
      </c>
      <c r="AC39" s="4">
        <f>IFERROR(W39/SUM(E39:H39), 0)</f>
      </c>
      <c r="AD39" s="4">
        <f>IFERROR(T39/H39, 0)</f>
      </c>
    </row>
    <row r="40" ht="20" customHeight="1" spans="4:30" x14ac:dyDescent="0.25">
      <c r="D40" s="2" t="s">
        <v>93</v>
      </c>
      <c r="E40" s="8">
        <f>SUMIFS('Data nguồn'!H:H, 'Data nguồn'!D:D, $B$1, 'Data nguồn'!F:F, $D40, 'Data nguồn'!C:C, E$3)</f>
      </c>
      <c r="F40" s="8">
        <f>SUMIFS('Data nguồn'!H:H, 'Data nguồn'!D:D, $B$1, 'Data nguồn'!F:F, $D40, 'Data nguồn'!C:C, F$3)</f>
      </c>
      <c r="G40" s="8">
        <f>SUMIFS('Data nguồn'!H:H, 'Data nguồn'!D:D, $B$1, 'Data nguồn'!F:F, $D40, 'Data nguồn'!C:C, G$3)</f>
      </c>
      <c r="H40" s="8">
        <f>SUMIFS('Data nguồn'!H:H, 'Data nguồn'!D:D, $B$1, 'Data nguồn'!F:F, $D40, 'Data nguồn'!C:C, H$3)</f>
      </c>
      <c r="I40" s="8">
        <f>SUMIFS('Data nguồn'!H:H, 'Data nguồn'!D:D, $B$1, 'Data nguồn'!F:F, $D40, 'Data nguồn'!C:C, I$3)</f>
      </c>
      <c r="J40" s="8">
        <f>SUMIFS('Data nguồn'!H:H, 'Data nguồn'!D:D, $B$1, 'Data nguồn'!F:F, $D40, 'Data nguồn'!C:C, J$3)</f>
      </c>
      <c r="K40" s="8">
        <f>SUMIFS('Data nguồn'!H:H, 'Data nguồn'!D:D, $B$1, 'Data nguồn'!F:F, $D40, 'Data nguồn'!C:C, K$3)</f>
      </c>
      <c r="L40" s="8">
        <f>SUMIFS('Data nguồn'!H:H, 'Data nguồn'!D:D, $B$1, 'Data nguồn'!F:F, $D40, 'Data nguồn'!C:C, L$3)</f>
      </c>
      <c r="M40" s="8">
        <f>SUMIFS('Data nguồn'!H:H, 'Data nguồn'!D:D, $B$1, 'Data nguồn'!F:F, $D40, 'Data nguồn'!C:C, M$3)</f>
      </c>
      <c r="N40" s="8">
        <f>SUMIFS('Data nguồn'!H:H, 'Data nguồn'!D:D, $B$1, 'Data nguồn'!F:F, $D40, 'Data nguồn'!C:C, N$3)</f>
      </c>
      <c r="O40" s="8">
        <f>SUMIFS('Data nguồn'!H:H, 'Data nguồn'!D:D, $B$1, 'Data nguồn'!F:F, $D40, 'Data nguồn'!C:C, O$3)</f>
      </c>
      <c r="P40" s="8">
        <f>SUMIFS('Data nguồn'!H:H, 'Data nguồn'!D:D, $B$1, 'Data nguồn'!F:F, $D40, 'Data nguồn'!C:C, P$3)</f>
      </c>
      <c r="Q40" s="8">
        <f>SUMIFS('Data nguồn'!H:H, 'Data nguồn'!D:D, $B$1, 'Data nguồn'!F:F, $D40, 'Data nguồn'!C:C, Q$3)</f>
      </c>
      <c r="R40" s="8">
        <f>SUMIFS('Data nguồn'!H:H, 'Data nguồn'!D:D, $B$1, 'Data nguồn'!F:F, $D40, 'Data nguồn'!C:C, R$3)</f>
      </c>
      <c r="S40" s="8">
        <f>SUMIFS('Data nguồn'!H:H, 'Data nguồn'!D:D, $B$1, 'Data nguồn'!F:F, $D40, 'Data nguồn'!C:C, S$3)</f>
      </c>
      <c r="T40" s="8">
        <f>SUMIFS('Data nguồn'!H:H, 'Data nguồn'!D:D, $B$1, 'Data nguồn'!F:F, $D40, 'Data nguồn'!C:C, T$3)</f>
      </c>
      <c r="V40" s="8">
        <f>SUM(E40:P40)</f>
      </c>
      <c r="W40" s="8">
        <f>SUM(Q40:T40)</f>
      </c>
      <c r="X40" s="8">
        <f>AVERAGE(R40:T40)</f>
      </c>
      <c r="Y40" s="8">
        <f>AVERAGE(O40:T40)</f>
      </c>
      <c r="Z40" s="8">
        <f>AVERAGE(L40:T40)</f>
      </c>
      <c r="AA40" s="4">
        <f>IFERROR((X40*2)/(Y40+Z40), 0)</f>
      </c>
      <c r="AB40" s="4">
        <f>IFERROR(W40/SUM(E40:H40), 0)</f>
      </c>
      <c r="AC40" s="4">
        <f>IFERROR(W40/SUM(E40:H40), 0)</f>
      </c>
      <c r="AD40" s="4">
        <f>IFERROR(T40/H40, 0)</f>
      </c>
    </row>
    <row r="41" ht="20" customHeight="1" spans="4:30" x14ac:dyDescent="0.25">
      <c r="D41" s="2" t="s">
        <v>95</v>
      </c>
      <c r="E41" s="8">
        <f>SUMIFS('Data nguồn'!H:H, 'Data nguồn'!D:D, $B$1, 'Data nguồn'!F:F, $D41, 'Data nguồn'!C:C, E$3)</f>
      </c>
      <c r="F41" s="8">
        <f>SUMIFS('Data nguồn'!H:H, 'Data nguồn'!D:D, $B$1, 'Data nguồn'!F:F, $D41, 'Data nguồn'!C:C, F$3)</f>
      </c>
      <c r="G41" s="8">
        <f>SUMIFS('Data nguồn'!H:H, 'Data nguồn'!D:D, $B$1, 'Data nguồn'!F:F, $D41, 'Data nguồn'!C:C, G$3)</f>
      </c>
      <c r="H41" s="8">
        <f>SUMIFS('Data nguồn'!H:H, 'Data nguồn'!D:D, $B$1, 'Data nguồn'!F:F, $D41, 'Data nguồn'!C:C, H$3)</f>
      </c>
      <c r="I41" s="8">
        <f>SUMIFS('Data nguồn'!H:H, 'Data nguồn'!D:D, $B$1, 'Data nguồn'!F:F, $D41, 'Data nguồn'!C:C, I$3)</f>
      </c>
      <c r="J41" s="8">
        <f>SUMIFS('Data nguồn'!H:H, 'Data nguồn'!D:D, $B$1, 'Data nguồn'!F:F, $D41, 'Data nguồn'!C:C, J$3)</f>
      </c>
      <c r="K41" s="8">
        <f>SUMIFS('Data nguồn'!H:H, 'Data nguồn'!D:D, $B$1, 'Data nguồn'!F:F, $D41, 'Data nguồn'!C:C, K$3)</f>
      </c>
      <c r="L41" s="8">
        <f>SUMIFS('Data nguồn'!H:H, 'Data nguồn'!D:D, $B$1, 'Data nguồn'!F:F, $D41, 'Data nguồn'!C:C, L$3)</f>
      </c>
      <c r="M41" s="8">
        <f>SUMIFS('Data nguồn'!H:H, 'Data nguồn'!D:D, $B$1, 'Data nguồn'!F:F, $D41, 'Data nguồn'!C:C, M$3)</f>
      </c>
      <c r="N41" s="8">
        <f>SUMIFS('Data nguồn'!H:H, 'Data nguồn'!D:D, $B$1, 'Data nguồn'!F:F, $D41, 'Data nguồn'!C:C, N$3)</f>
      </c>
      <c r="O41" s="8">
        <f>SUMIFS('Data nguồn'!H:H, 'Data nguồn'!D:D, $B$1, 'Data nguồn'!F:F, $D41, 'Data nguồn'!C:C, O$3)</f>
      </c>
      <c r="P41" s="8">
        <f>SUMIFS('Data nguồn'!H:H, 'Data nguồn'!D:D, $B$1, 'Data nguồn'!F:F, $D41, 'Data nguồn'!C:C, P$3)</f>
      </c>
      <c r="Q41" s="8">
        <f>SUMIFS('Data nguồn'!H:H, 'Data nguồn'!D:D, $B$1, 'Data nguồn'!F:F, $D41, 'Data nguồn'!C:C, Q$3)</f>
      </c>
      <c r="R41" s="8">
        <f>SUMIFS('Data nguồn'!H:H, 'Data nguồn'!D:D, $B$1, 'Data nguồn'!F:F, $D41, 'Data nguồn'!C:C, R$3)</f>
      </c>
      <c r="S41" s="8">
        <f>SUMIFS('Data nguồn'!H:H, 'Data nguồn'!D:D, $B$1, 'Data nguồn'!F:F, $D41, 'Data nguồn'!C:C, S$3)</f>
      </c>
      <c r="T41" s="8">
        <f>SUMIFS('Data nguồn'!H:H, 'Data nguồn'!D:D, $B$1, 'Data nguồn'!F:F, $D41, 'Data nguồn'!C:C, T$3)</f>
      </c>
      <c r="V41" s="8">
        <f>SUM(E41:P41)</f>
      </c>
      <c r="W41" s="8">
        <f>SUM(Q41:T41)</f>
      </c>
      <c r="X41" s="8">
        <f>AVERAGE(R41:T41)</f>
      </c>
      <c r="Y41" s="8">
        <f>AVERAGE(O41:T41)</f>
      </c>
      <c r="Z41" s="8">
        <f>AVERAGE(L41:T41)</f>
      </c>
      <c r="AA41" s="4">
        <f>IFERROR((X41*2)/(Y41+Z41), 0)</f>
      </c>
      <c r="AB41" s="4">
        <f>IFERROR(W41/SUM(E41:H41), 0)</f>
      </c>
      <c r="AC41" s="4">
        <f>IFERROR(W41/SUM(E41:H41), 0)</f>
      </c>
      <c r="AD41" s="4">
        <f>IFERROR(T41/H41, 0)</f>
      </c>
    </row>
    <row r="42" ht="20" customHeight="1" spans="4:30" x14ac:dyDescent="0.25">
      <c r="D42" s="2" t="s">
        <v>97</v>
      </c>
      <c r="E42" s="8">
        <f>SUMIFS('Data nguồn'!H:H, 'Data nguồn'!D:D, $B$1, 'Data nguồn'!F:F, $D42, 'Data nguồn'!C:C, E$3)</f>
      </c>
      <c r="F42" s="8">
        <f>SUMIFS('Data nguồn'!H:H, 'Data nguồn'!D:D, $B$1, 'Data nguồn'!F:F, $D42, 'Data nguồn'!C:C, F$3)</f>
      </c>
      <c r="G42" s="8">
        <f>SUMIFS('Data nguồn'!H:H, 'Data nguồn'!D:D, $B$1, 'Data nguồn'!F:F, $D42, 'Data nguồn'!C:C, G$3)</f>
      </c>
      <c r="H42" s="8">
        <f>SUMIFS('Data nguồn'!H:H, 'Data nguồn'!D:D, $B$1, 'Data nguồn'!F:F, $D42, 'Data nguồn'!C:C, H$3)</f>
      </c>
      <c r="I42" s="8">
        <f>SUMIFS('Data nguồn'!H:H, 'Data nguồn'!D:D, $B$1, 'Data nguồn'!F:F, $D42, 'Data nguồn'!C:C, I$3)</f>
      </c>
      <c r="J42" s="8">
        <f>SUMIFS('Data nguồn'!H:H, 'Data nguồn'!D:D, $B$1, 'Data nguồn'!F:F, $D42, 'Data nguồn'!C:C, J$3)</f>
      </c>
      <c r="K42" s="8">
        <f>SUMIFS('Data nguồn'!H:H, 'Data nguồn'!D:D, $B$1, 'Data nguồn'!F:F, $D42, 'Data nguồn'!C:C, K$3)</f>
      </c>
      <c r="L42" s="8">
        <f>SUMIFS('Data nguồn'!H:H, 'Data nguồn'!D:D, $B$1, 'Data nguồn'!F:F, $D42, 'Data nguồn'!C:C, L$3)</f>
      </c>
      <c r="M42" s="8">
        <f>SUMIFS('Data nguồn'!H:H, 'Data nguồn'!D:D, $B$1, 'Data nguồn'!F:F, $D42, 'Data nguồn'!C:C, M$3)</f>
      </c>
      <c r="N42" s="8">
        <f>SUMIFS('Data nguồn'!H:H, 'Data nguồn'!D:D, $B$1, 'Data nguồn'!F:F, $D42, 'Data nguồn'!C:C, N$3)</f>
      </c>
      <c r="O42" s="8">
        <f>SUMIFS('Data nguồn'!H:H, 'Data nguồn'!D:D, $B$1, 'Data nguồn'!F:F, $D42, 'Data nguồn'!C:C, O$3)</f>
      </c>
      <c r="P42" s="8">
        <f>SUMIFS('Data nguồn'!H:H, 'Data nguồn'!D:D, $B$1, 'Data nguồn'!F:F, $D42, 'Data nguồn'!C:C, P$3)</f>
      </c>
      <c r="Q42" s="8">
        <f>SUMIFS('Data nguồn'!H:H, 'Data nguồn'!D:D, $B$1, 'Data nguồn'!F:F, $D42, 'Data nguồn'!C:C, Q$3)</f>
      </c>
      <c r="R42" s="8">
        <f>SUMIFS('Data nguồn'!H:H, 'Data nguồn'!D:D, $B$1, 'Data nguồn'!F:F, $D42, 'Data nguồn'!C:C, R$3)</f>
      </c>
      <c r="S42" s="8">
        <f>SUMIFS('Data nguồn'!H:H, 'Data nguồn'!D:D, $B$1, 'Data nguồn'!F:F, $D42, 'Data nguồn'!C:C, S$3)</f>
      </c>
      <c r="T42" s="8">
        <f>SUMIFS('Data nguồn'!H:H, 'Data nguồn'!D:D, $B$1, 'Data nguồn'!F:F, $D42, 'Data nguồn'!C:C, T$3)</f>
      </c>
      <c r="V42" s="8">
        <f>SUM(E42:P42)</f>
      </c>
      <c r="W42" s="8">
        <f>SUM(Q42:T42)</f>
      </c>
      <c r="X42" s="8">
        <f>AVERAGE(R42:T42)</f>
      </c>
      <c r="Y42" s="8">
        <f>AVERAGE(O42:T42)</f>
      </c>
      <c r="Z42" s="8">
        <f>AVERAGE(L42:T42)</f>
      </c>
      <c r="AA42" s="4">
        <f>IFERROR((X42*2)/(Y42+Z42), 0)</f>
      </c>
      <c r="AB42" s="4">
        <f>IFERROR(W42/SUM(E42:H42), 0)</f>
      </c>
      <c r="AC42" s="4">
        <f>IFERROR(W42/SUM(E42:H42), 0)</f>
      </c>
      <c r="AD42" s="4">
        <f>IFERROR(T42/H42, 0)</f>
      </c>
    </row>
    <row r="43" ht="20" customHeight="1" spans="4:30" x14ac:dyDescent="0.25">
      <c r="D43" s="2" t="s">
        <v>55</v>
      </c>
      <c r="E43" s="8">
        <f>SUMIFS('Data nguồn'!H:H, 'Data nguồn'!D:D, $B$1, 'Data nguồn'!F:F, $D43, 'Data nguồn'!C:C, E$3)</f>
      </c>
      <c r="F43" s="8">
        <f>SUMIFS('Data nguồn'!H:H, 'Data nguồn'!D:D, $B$1, 'Data nguồn'!F:F, $D43, 'Data nguồn'!C:C, F$3)</f>
      </c>
      <c r="G43" s="8">
        <f>SUMIFS('Data nguồn'!H:H, 'Data nguồn'!D:D, $B$1, 'Data nguồn'!F:F, $D43, 'Data nguồn'!C:C, G$3)</f>
      </c>
      <c r="H43" s="8">
        <f>SUMIFS('Data nguồn'!H:H, 'Data nguồn'!D:D, $B$1, 'Data nguồn'!F:F, $D43, 'Data nguồn'!C:C, H$3)</f>
      </c>
      <c r="I43" s="8">
        <f>SUMIFS('Data nguồn'!H:H, 'Data nguồn'!D:D, $B$1, 'Data nguồn'!F:F, $D43, 'Data nguồn'!C:C, I$3)</f>
      </c>
      <c r="J43" s="8">
        <f>SUMIFS('Data nguồn'!H:H, 'Data nguồn'!D:D, $B$1, 'Data nguồn'!F:F, $D43, 'Data nguồn'!C:C, J$3)</f>
      </c>
      <c r="K43" s="8">
        <f>SUMIFS('Data nguồn'!H:H, 'Data nguồn'!D:D, $B$1, 'Data nguồn'!F:F, $D43, 'Data nguồn'!C:C, K$3)</f>
      </c>
      <c r="L43" s="8">
        <f>SUMIFS('Data nguồn'!H:H, 'Data nguồn'!D:D, $B$1, 'Data nguồn'!F:F, $D43, 'Data nguồn'!C:C, L$3)</f>
      </c>
      <c r="M43" s="8">
        <f>SUMIFS('Data nguồn'!H:H, 'Data nguồn'!D:D, $B$1, 'Data nguồn'!F:F, $D43, 'Data nguồn'!C:C, M$3)</f>
      </c>
      <c r="N43" s="8">
        <f>SUMIFS('Data nguồn'!H:H, 'Data nguồn'!D:D, $B$1, 'Data nguồn'!F:F, $D43, 'Data nguồn'!C:C, N$3)</f>
      </c>
      <c r="O43" s="8">
        <f>SUMIFS('Data nguồn'!H:H, 'Data nguồn'!D:D, $B$1, 'Data nguồn'!F:F, $D43, 'Data nguồn'!C:C, O$3)</f>
      </c>
      <c r="P43" s="8">
        <f>SUMIFS('Data nguồn'!H:H, 'Data nguồn'!D:D, $B$1, 'Data nguồn'!F:F, $D43, 'Data nguồn'!C:C, P$3)</f>
      </c>
      <c r="Q43" s="8">
        <f>SUMIFS('Data nguồn'!H:H, 'Data nguồn'!D:D, $B$1, 'Data nguồn'!F:F, $D43, 'Data nguồn'!C:C, Q$3)</f>
      </c>
      <c r="R43" s="8">
        <f>SUMIFS('Data nguồn'!H:H, 'Data nguồn'!D:D, $B$1, 'Data nguồn'!F:F, $D43, 'Data nguồn'!C:C, R$3)</f>
      </c>
      <c r="S43" s="8">
        <f>SUMIFS('Data nguồn'!H:H, 'Data nguồn'!D:D, $B$1, 'Data nguồn'!F:F, $D43, 'Data nguồn'!C:C, S$3)</f>
      </c>
      <c r="T43" s="8">
        <f>SUMIFS('Data nguồn'!H:H, 'Data nguồn'!D:D, $B$1, 'Data nguồn'!F:F, $D43, 'Data nguồn'!C:C, T$3)</f>
      </c>
      <c r="V43" s="8">
        <f>SUM(E43:P43)</f>
      </c>
      <c r="W43" s="8">
        <f>SUM(Q43:T43)</f>
      </c>
      <c r="X43" s="8">
        <f>AVERAGE(R43:T43)</f>
      </c>
      <c r="Y43" s="8">
        <f>AVERAGE(O43:T43)</f>
      </c>
      <c r="Z43" s="8">
        <f>AVERAGE(L43:T43)</f>
      </c>
      <c r="AA43" s="4">
        <f>IFERROR((X43*2)/(Y43+Z43), 0)</f>
      </c>
      <c r="AB43" s="4">
        <f>IFERROR(W43/SUM(E43:H43), 0)</f>
      </c>
      <c r="AC43" s="4">
        <f>IFERROR(W43/SUM(E43:H43), 0)</f>
      </c>
      <c r="AD43" s="4">
        <f>IFERROR(T43/H43, 0)</f>
      </c>
    </row>
    <row r="44" ht="20" customHeight="1" spans="4:30" x14ac:dyDescent="0.25">
      <c r="D44" s="2" t="s">
        <v>75</v>
      </c>
      <c r="E44" s="8">
        <f>SUMIFS('Data nguồn'!H:H, 'Data nguồn'!D:D, $B$1, 'Data nguồn'!F:F, $D44, 'Data nguồn'!C:C, E$3)</f>
      </c>
      <c r="F44" s="8">
        <f>SUMIFS('Data nguồn'!H:H, 'Data nguồn'!D:D, $B$1, 'Data nguồn'!F:F, $D44, 'Data nguồn'!C:C, F$3)</f>
      </c>
      <c r="G44" s="8">
        <f>SUMIFS('Data nguồn'!H:H, 'Data nguồn'!D:D, $B$1, 'Data nguồn'!F:F, $D44, 'Data nguồn'!C:C, G$3)</f>
      </c>
      <c r="H44" s="8">
        <f>SUMIFS('Data nguồn'!H:H, 'Data nguồn'!D:D, $B$1, 'Data nguồn'!F:F, $D44, 'Data nguồn'!C:C, H$3)</f>
      </c>
      <c r="I44" s="8">
        <f>SUMIFS('Data nguồn'!H:H, 'Data nguồn'!D:D, $B$1, 'Data nguồn'!F:F, $D44, 'Data nguồn'!C:C, I$3)</f>
      </c>
      <c r="J44" s="8">
        <f>SUMIFS('Data nguồn'!H:H, 'Data nguồn'!D:D, $B$1, 'Data nguồn'!F:F, $D44, 'Data nguồn'!C:C, J$3)</f>
      </c>
      <c r="K44" s="8">
        <f>SUMIFS('Data nguồn'!H:H, 'Data nguồn'!D:D, $B$1, 'Data nguồn'!F:F, $D44, 'Data nguồn'!C:C, K$3)</f>
      </c>
      <c r="L44" s="8">
        <f>SUMIFS('Data nguồn'!H:H, 'Data nguồn'!D:D, $B$1, 'Data nguồn'!F:F, $D44, 'Data nguồn'!C:C, L$3)</f>
      </c>
      <c r="M44" s="8">
        <f>SUMIFS('Data nguồn'!H:H, 'Data nguồn'!D:D, $B$1, 'Data nguồn'!F:F, $D44, 'Data nguồn'!C:C, M$3)</f>
      </c>
      <c r="N44" s="8">
        <f>SUMIFS('Data nguồn'!H:H, 'Data nguồn'!D:D, $B$1, 'Data nguồn'!F:F, $D44, 'Data nguồn'!C:C, N$3)</f>
      </c>
      <c r="O44" s="8">
        <f>SUMIFS('Data nguồn'!H:H, 'Data nguồn'!D:D, $B$1, 'Data nguồn'!F:F, $D44, 'Data nguồn'!C:C, O$3)</f>
      </c>
      <c r="P44" s="8">
        <f>SUMIFS('Data nguồn'!H:H, 'Data nguồn'!D:D, $B$1, 'Data nguồn'!F:F, $D44, 'Data nguồn'!C:C, P$3)</f>
      </c>
      <c r="Q44" s="8">
        <f>SUMIFS('Data nguồn'!H:H, 'Data nguồn'!D:D, $B$1, 'Data nguồn'!F:F, $D44, 'Data nguồn'!C:C, Q$3)</f>
      </c>
      <c r="R44" s="8">
        <f>SUMIFS('Data nguồn'!H:H, 'Data nguồn'!D:D, $B$1, 'Data nguồn'!F:F, $D44, 'Data nguồn'!C:C, R$3)</f>
      </c>
      <c r="S44" s="8">
        <f>SUMIFS('Data nguồn'!H:H, 'Data nguồn'!D:D, $B$1, 'Data nguồn'!F:F, $D44, 'Data nguồn'!C:C, S$3)</f>
      </c>
      <c r="T44" s="8">
        <f>SUMIFS('Data nguồn'!H:H, 'Data nguồn'!D:D, $B$1, 'Data nguồn'!F:F, $D44, 'Data nguồn'!C:C, T$3)</f>
      </c>
      <c r="V44" s="8">
        <f>SUM(E44:P44)</f>
      </c>
      <c r="W44" s="8">
        <f>SUM(Q44:T44)</f>
      </c>
      <c r="X44" s="8">
        <f>AVERAGE(R44:T44)</f>
      </c>
      <c r="Y44" s="8">
        <f>AVERAGE(O44:T44)</f>
      </c>
      <c r="Z44" s="8">
        <f>AVERAGE(L44:T44)</f>
      </c>
      <c r="AA44" s="4">
        <f>IFERROR((X44*2)/(Y44+Z44), 0)</f>
      </c>
      <c r="AB44" s="4">
        <f>IFERROR(W44/SUM(E44:H44), 0)</f>
      </c>
      <c r="AC44" s="4">
        <f>IFERROR(W44/SUM(E44:H44), 0)</f>
      </c>
      <c r="AD44" s="4">
        <f>IFERROR(T44/H44, 0)</f>
      </c>
    </row>
    <row r="45" ht="20" customHeight="1" spans="4:30" x14ac:dyDescent="0.25">
      <c r="D45" s="2" t="s">
        <v>81</v>
      </c>
      <c r="E45" s="8">
        <f>SUMIFS('Data nguồn'!H:H, 'Data nguồn'!D:D, $B$1, 'Data nguồn'!F:F, $D45, 'Data nguồn'!C:C, E$3)</f>
      </c>
      <c r="F45" s="8">
        <f>SUMIFS('Data nguồn'!H:H, 'Data nguồn'!D:D, $B$1, 'Data nguồn'!F:F, $D45, 'Data nguồn'!C:C, F$3)</f>
      </c>
      <c r="G45" s="8">
        <f>SUMIFS('Data nguồn'!H:H, 'Data nguồn'!D:D, $B$1, 'Data nguồn'!F:F, $D45, 'Data nguồn'!C:C, G$3)</f>
      </c>
      <c r="H45" s="8">
        <f>SUMIFS('Data nguồn'!H:H, 'Data nguồn'!D:D, $B$1, 'Data nguồn'!F:F, $D45, 'Data nguồn'!C:C, H$3)</f>
      </c>
      <c r="I45" s="8">
        <f>SUMIFS('Data nguồn'!H:H, 'Data nguồn'!D:D, $B$1, 'Data nguồn'!F:F, $D45, 'Data nguồn'!C:C, I$3)</f>
      </c>
      <c r="J45" s="8">
        <f>SUMIFS('Data nguồn'!H:H, 'Data nguồn'!D:D, $B$1, 'Data nguồn'!F:F, $D45, 'Data nguồn'!C:C, J$3)</f>
      </c>
      <c r="K45" s="8">
        <f>SUMIFS('Data nguồn'!H:H, 'Data nguồn'!D:D, $B$1, 'Data nguồn'!F:F, $D45, 'Data nguồn'!C:C, K$3)</f>
      </c>
      <c r="L45" s="8">
        <f>SUMIFS('Data nguồn'!H:H, 'Data nguồn'!D:D, $B$1, 'Data nguồn'!F:F, $D45, 'Data nguồn'!C:C, L$3)</f>
      </c>
      <c r="M45" s="8">
        <f>SUMIFS('Data nguồn'!H:H, 'Data nguồn'!D:D, $B$1, 'Data nguồn'!F:F, $D45, 'Data nguồn'!C:C, M$3)</f>
      </c>
      <c r="N45" s="8">
        <f>SUMIFS('Data nguồn'!H:H, 'Data nguồn'!D:D, $B$1, 'Data nguồn'!F:F, $D45, 'Data nguồn'!C:C, N$3)</f>
      </c>
      <c r="O45" s="8">
        <f>SUMIFS('Data nguồn'!H:H, 'Data nguồn'!D:D, $B$1, 'Data nguồn'!F:F, $D45, 'Data nguồn'!C:C, O$3)</f>
      </c>
      <c r="P45" s="8">
        <f>SUMIFS('Data nguồn'!H:H, 'Data nguồn'!D:D, $B$1, 'Data nguồn'!F:F, $D45, 'Data nguồn'!C:C, P$3)</f>
      </c>
      <c r="Q45" s="8">
        <f>SUMIFS('Data nguồn'!H:H, 'Data nguồn'!D:D, $B$1, 'Data nguồn'!F:F, $D45, 'Data nguồn'!C:C, Q$3)</f>
      </c>
      <c r="R45" s="8">
        <f>SUMIFS('Data nguồn'!H:H, 'Data nguồn'!D:D, $B$1, 'Data nguồn'!F:F, $D45, 'Data nguồn'!C:C, R$3)</f>
      </c>
      <c r="S45" s="8">
        <f>SUMIFS('Data nguồn'!H:H, 'Data nguồn'!D:D, $B$1, 'Data nguồn'!F:F, $D45, 'Data nguồn'!C:C, S$3)</f>
      </c>
      <c r="T45" s="8">
        <f>SUMIFS('Data nguồn'!H:H, 'Data nguồn'!D:D, $B$1, 'Data nguồn'!F:F, $D45, 'Data nguồn'!C:C, T$3)</f>
      </c>
      <c r="V45" s="8">
        <f>SUM(E45:P45)</f>
      </c>
      <c r="W45" s="8">
        <f>SUM(Q45:T45)</f>
      </c>
      <c r="X45" s="8">
        <f>AVERAGE(R45:T45)</f>
      </c>
      <c r="Y45" s="8">
        <f>AVERAGE(O45:T45)</f>
      </c>
      <c r="Z45" s="8">
        <f>AVERAGE(L45:T45)</f>
      </c>
      <c r="AA45" s="4">
        <f>IFERROR((X45*2)/(Y45+Z45), 0)</f>
      </c>
      <c r="AB45" s="4">
        <f>IFERROR(W45/SUM(E45:H45), 0)</f>
      </c>
      <c r="AC45" s="4">
        <f>IFERROR(W45/SUM(E45:H45), 0)</f>
      </c>
      <c r="AD45" s="4">
        <f>IFERROR(T45/H45, 0)</f>
      </c>
    </row>
    <row r="46" ht="20" customHeight="1" spans="4:30" x14ac:dyDescent="0.25">
      <c r="D46" s="2" t="s">
        <v>43</v>
      </c>
      <c r="E46" s="8">
        <f>SUMIFS('Data nguồn'!H:H, 'Data nguồn'!D:D, $B$1, 'Data nguồn'!F:F, $D46, 'Data nguồn'!C:C, E$3)</f>
      </c>
      <c r="F46" s="8">
        <f>SUMIFS('Data nguồn'!H:H, 'Data nguồn'!D:D, $B$1, 'Data nguồn'!F:F, $D46, 'Data nguồn'!C:C, F$3)</f>
      </c>
      <c r="G46" s="8">
        <f>SUMIFS('Data nguồn'!H:H, 'Data nguồn'!D:D, $B$1, 'Data nguồn'!F:F, $D46, 'Data nguồn'!C:C, G$3)</f>
      </c>
      <c r="H46" s="8">
        <f>SUMIFS('Data nguồn'!H:H, 'Data nguồn'!D:D, $B$1, 'Data nguồn'!F:F, $D46, 'Data nguồn'!C:C, H$3)</f>
      </c>
      <c r="I46" s="8">
        <f>SUMIFS('Data nguồn'!H:H, 'Data nguồn'!D:D, $B$1, 'Data nguồn'!F:F, $D46, 'Data nguồn'!C:C, I$3)</f>
      </c>
      <c r="J46" s="8">
        <f>SUMIFS('Data nguồn'!H:H, 'Data nguồn'!D:D, $B$1, 'Data nguồn'!F:F, $D46, 'Data nguồn'!C:C, J$3)</f>
      </c>
      <c r="K46" s="8">
        <f>SUMIFS('Data nguồn'!H:H, 'Data nguồn'!D:D, $B$1, 'Data nguồn'!F:F, $D46, 'Data nguồn'!C:C, K$3)</f>
      </c>
      <c r="L46" s="8">
        <f>SUMIFS('Data nguồn'!H:H, 'Data nguồn'!D:D, $B$1, 'Data nguồn'!F:F, $D46, 'Data nguồn'!C:C, L$3)</f>
      </c>
      <c r="M46" s="8">
        <f>SUMIFS('Data nguồn'!H:H, 'Data nguồn'!D:D, $B$1, 'Data nguồn'!F:F, $D46, 'Data nguồn'!C:C, M$3)</f>
      </c>
      <c r="N46" s="8">
        <f>SUMIFS('Data nguồn'!H:H, 'Data nguồn'!D:D, $B$1, 'Data nguồn'!F:F, $D46, 'Data nguồn'!C:C, N$3)</f>
      </c>
      <c r="O46" s="8">
        <f>SUMIFS('Data nguồn'!H:H, 'Data nguồn'!D:D, $B$1, 'Data nguồn'!F:F, $D46, 'Data nguồn'!C:C, O$3)</f>
      </c>
      <c r="P46" s="8">
        <f>SUMIFS('Data nguồn'!H:H, 'Data nguồn'!D:D, $B$1, 'Data nguồn'!F:F, $D46, 'Data nguồn'!C:C, P$3)</f>
      </c>
      <c r="Q46" s="8">
        <f>SUMIFS('Data nguồn'!H:H, 'Data nguồn'!D:D, $B$1, 'Data nguồn'!F:F, $D46, 'Data nguồn'!C:C, Q$3)</f>
      </c>
      <c r="R46" s="8">
        <f>SUMIFS('Data nguồn'!H:H, 'Data nguồn'!D:D, $B$1, 'Data nguồn'!F:F, $D46, 'Data nguồn'!C:C, R$3)</f>
      </c>
      <c r="S46" s="8">
        <f>SUMIFS('Data nguồn'!H:H, 'Data nguồn'!D:D, $B$1, 'Data nguồn'!F:F, $D46, 'Data nguồn'!C:C, S$3)</f>
      </c>
      <c r="T46" s="8">
        <f>SUMIFS('Data nguồn'!H:H, 'Data nguồn'!D:D, $B$1, 'Data nguồn'!F:F, $D46, 'Data nguồn'!C:C, T$3)</f>
      </c>
      <c r="V46" s="8">
        <f>SUM(E46:P46)</f>
      </c>
      <c r="W46" s="8">
        <f>SUM(Q46:T46)</f>
      </c>
      <c r="X46" s="8">
        <f>AVERAGE(R46:T46)</f>
      </c>
      <c r="Y46" s="8">
        <f>AVERAGE(O46:T46)</f>
      </c>
      <c r="Z46" s="8">
        <f>AVERAGE(L46:T46)</f>
      </c>
      <c r="AA46" s="4">
        <f>IFERROR((X46*2)/(Y46+Z46), 0)</f>
      </c>
      <c r="AB46" s="4">
        <f>IFERROR(W46/SUM(E46:H46), 0)</f>
      </c>
      <c r="AC46" s="4">
        <f>IFERROR(W46/SUM(E46:H46), 0)</f>
      </c>
      <c r="AD46" s="4">
        <f>IFERROR(T46/H46, 0)</f>
      </c>
    </row>
    <row r="47" ht="20" customHeight="1" spans="4:30" x14ac:dyDescent="0.25">
      <c r="D47" s="2" t="s">
        <v>37</v>
      </c>
      <c r="E47" s="8">
        <f>SUMIFS('Data nguồn'!H:H, 'Data nguồn'!D:D, $B$1, 'Data nguồn'!F:F, $D47, 'Data nguồn'!C:C, E$3)</f>
      </c>
      <c r="F47" s="8">
        <f>SUMIFS('Data nguồn'!H:H, 'Data nguồn'!D:D, $B$1, 'Data nguồn'!F:F, $D47, 'Data nguồn'!C:C, F$3)</f>
      </c>
      <c r="G47" s="8">
        <f>SUMIFS('Data nguồn'!H:H, 'Data nguồn'!D:D, $B$1, 'Data nguồn'!F:F, $D47, 'Data nguồn'!C:C, G$3)</f>
      </c>
      <c r="H47" s="8">
        <f>SUMIFS('Data nguồn'!H:H, 'Data nguồn'!D:D, $B$1, 'Data nguồn'!F:F, $D47, 'Data nguồn'!C:C, H$3)</f>
      </c>
      <c r="I47" s="8">
        <f>SUMIFS('Data nguồn'!H:H, 'Data nguồn'!D:D, $B$1, 'Data nguồn'!F:F, $D47, 'Data nguồn'!C:C, I$3)</f>
      </c>
      <c r="J47" s="8">
        <f>SUMIFS('Data nguồn'!H:H, 'Data nguồn'!D:D, $B$1, 'Data nguồn'!F:F, $D47, 'Data nguồn'!C:C, J$3)</f>
      </c>
      <c r="K47" s="8">
        <f>SUMIFS('Data nguồn'!H:H, 'Data nguồn'!D:D, $B$1, 'Data nguồn'!F:F, $D47, 'Data nguồn'!C:C, K$3)</f>
      </c>
      <c r="L47" s="8">
        <f>SUMIFS('Data nguồn'!H:H, 'Data nguồn'!D:D, $B$1, 'Data nguồn'!F:F, $D47, 'Data nguồn'!C:C, L$3)</f>
      </c>
      <c r="M47" s="8">
        <f>SUMIFS('Data nguồn'!H:H, 'Data nguồn'!D:D, $B$1, 'Data nguồn'!F:F, $D47, 'Data nguồn'!C:C, M$3)</f>
      </c>
      <c r="N47" s="8">
        <f>SUMIFS('Data nguồn'!H:H, 'Data nguồn'!D:D, $B$1, 'Data nguồn'!F:F, $D47, 'Data nguồn'!C:C, N$3)</f>
      </c>
      <c r="O47" s="8">
        <f>SUMIFS('Data nguồn'!H:H, 'Data nguồn'!D:D, $B$1, 'Data nguồn'!F:F, $D47, 'Data nguồn'!C:C, O$3)</f>
      </c>
      <c r="P47" s="8">
        <f>SUMIFS('Data nguồn'!H:H, 'Data nguồn'!D:D, $B$1, 'Data nguồn'!F:F, $D47, 'Data nguồn'!C:C, P$3)</f>
      </c>
      <c r="Q47" s="8">
        <f>SUMIFS('Data nguồn'!H:H, 'Data nguồn'!D:D, $B$1, 'Data nguồn'!F:F, $D47, 'Data nguồn'!C:C, Q$3)</f>
      </c>
      <c r="R47" s="8">
        <f>SUMIFS('Data nguồn'!H:H, 'Data nguồn'!D:D, $B$1, 'Data nguồn'!F:F, $D47, 'Data nguồn'!C:C, R$3)</f>
      </c>
      <c r="S47" s="8">
        <f>SUMIFS('Data nguồn'!H:H, 'Data nguồn'!D:D, $B$1, 'Data nguồn'!F:F, $D47, 'Data nguồn'!C:C, S$3)</f>
      </c>
      <c r="T47" s="8">
        <f>SUMIFS('Data nguồn'!H:H, 'Data nguồn'!D:D, $B$1, 'Data nguồn'!F:F, $D47, 'Data nguồn'!C:C, T$3)</f>
      </c>
      <c r="V47" s="8">
        <f>SUM(E47:P47)</f>
      </c>
      <c r="W47" s="8">
        <f>SUM(Q47:T47)</f>
      </c>
      <c r="X47" s="8">
        <f>AVERAGE(R47:T47)</f>
      </c>
      <c r="Y47" s="8">
        <f>AVERAGE(O47:T47)</f>
      </c>
      <c r="Z47" s="8">
        <f>AVERAGE(L47:T47)</f>
      </c>
      <c r="AA47" s="4">
        <f>IFERROR((X47*2)/(Y47+Z47), 0)</f>
      </c>
      <c r="AB47" s="4">
        <f>IFERROR(W47/SUM(E47:H47), 0)</f>
      </c>
      <c r="AC47" s="4">
        <f>IFERROR(W47/SUM(E47:H47), 0)</f>
      </c>
      <c r="AD47" s="4">
        <f>IFERROR(T47/H47, 0)</f>
      </c>
    </row>
    <row r="48" ht="20" customHeight="1" spans="4:30" x14ac:dyDescent="0.25">
      <c r="D48" s="2" t="s">
        <v>45</v>
      </c>
      <c r="E48" s="8">
        <f>SUMIFS('Data nguồn'!H:H, 'Data nguồn'!D:D, $B$1, 'Data nguồn'!F:F, $D48, 'Data nguồn'!C:C, E$3)</f>
      </c>
      <c r="F48" s="8">
        <f>SUMIFS('Data nguồn'!H:H, 'Data nguồn'!D:D, $B$1, 'Data nguồn'!F:F, $D48, 'Data nguồn'!C:C, F$3)</f>
      </c>
      <c r="G48" s="8">
        <f>SUMIFS('Data nguồn'!H:H, 'Data nguồn'!D:D, $B$1, 'Data nguồn'!F:F, $D48, 'Data nguồn'!C:C, G$3)</f>
      </c>
      <c r="H48" s="8">
        <f>SUMIFS('Data nguồn'!H:H, 'Data nguồn'!D:D, $B$1, 'Data nguồn'!F:F, $D48, 'Data nguồn'!C:C, H$3)</f>
      </c>
      <c r="I48" s="8">
        <f>SUMIFS('Data nguồn'!H:H, 'Data nguồn'!D:D, $B$1, 'Data nguồn'!F:F, $D48, 'Data nguồn'!C:C, I$3)</f>
      </c>
      <c r="J48" s="8">
        <f>SUMIFS('Data nguồn'!H:H, 'Data nguồn'!D:D, $B$1, 'Data nguồn'!F:F, $D48, 'Data nguồn'!C:C, J$3)</f>
      </c>
      <c r="K48" s="8">
        <f>SUMIFS('Data nguồn'!H:H, 'Data nguồn'!D:D, $B$1, 'Data nguồn'!F:F, $D48, 'Data nguồn'!C:C, K$3)</f>
      </c>
      <c r="L48" s="8">
        <f>SUMIFS('Data nguồn'!H:H, 'Data nguồn'!D:D, $B$1, 'Data nguồn'!F:F, $D48, 'Data nguồn'!C:C, L$3)</f>
      </c>
      <c r="M48" s="8">
        <f>SUMIFS('Data nguồn'!H:H, 'Data nguồn'!D:D, $B$1, 'Data nguồn'!F:F, $D48, 'Data nguồn'!C:C, M$3)</f>
      </c>
      <c r="N48" s="8">
        <f>SUMIFS('Data nguồn'!H:H, 'Data nguồn'!D:D, $B$1, 'Data nguồn'!F:F, $D48, 'Data nguồn'!C:C, N$3)</f>
      </c>
      <c r="O48" s="8">
        <f>SUMIFS('Data nguồn'!H:H, 'Data nguồn'!D:D, $B$1, 'Data nguồn'!F:F, $D48, 'Data nguồn'!C:C, O$3)</f>
      </c>
      <c r="P48" s="8">
        <f>SUMIFS('Data nguồn'!H:H, 'Data nguồn'!D:D, $B$1, 'Data nguồn'!F:F, $D48, 'Data nguồn'!C:C, P$3)</f>
      </c>
      <c r="Q48" s="8">
        <f>SUMIFS('Data nguồn'!H:H, 'Data nguồn'!D:D, $B$1, 'Data nguồn'!F:F, $D48, 'Data nguồn'!C:C, Q$3)</f>
      </c>
      <c r="R48" s="8">
        <f>SUMIFS('Data nguồn'!H:H, 'Data nguồn'!D:D, $B$1, 'Data nguồn'!F:F, $D48, 'Data nguồn'!C:C, R$3)</f>
      </c>
      <c r="S48" s="8">
        <f>SUMIFS('Data nguồn'!H:H, 'Data nguồn'!D:D, $B$1, 'Data nguồn'!F:F, $D48, 'Data nguồn'!C:C, S$3)</f>
      </c>
      <c r="T48" s="8">
        <f>SUMIFS('Data nguồn'!H:H, 'Data nguồn'!D:D, $B$1, 'Data nguồn'!F:F, $D48, 'Data nguồn'!C:C, T$3)</f>
      </c>
      <c r="V48" s="8">
        <f>SUM(E48:P48)</f>
      </c>
      <c r="W48" s="8">
        <f>SUM(Q48:T48)</f>
      </c>
      <c r="X48" s="8">
        <f>AVERAGE(R48:T48)</f>
      </c>
      <c r="Y48" s="8">
        <f>AVERAGE(O48:T48)</f>
      </c>
      <c r="Z48" s="8">
        <f>AVERAGE(L48:T48)</f>
      </c>
      <c r="AA48" s="4">
        <f>IFERROR((X48*2)/(Y48+Z48), 0)</f>
      </c>
      <c r="AB48" s="4">
        <f>IFERROR(W48/SUM(E48:H48), 0)</f>
      </c>
      <c r="AC48" s="4">
        <f>IFERROR(W48/SUM(E48:H48), 0)</f>
      </c>
      <c r="AD48" s="4">
        <f>IFERROR(T48/H48, 0)</f>
      </c>
    </row>
    <row r="49" ht="20" customHeight="1" spans="4:30" x14ac:dyDescent="0.25">
      <c r="D49" s="2" t="s">
        <v>41</v>
      </c>
      <c r="E49" s="8">
        <f>SUMIFS('Data nguồn'!H:H, 'Data nguồn'!D:D, $B$1, 'Data nguồn'!F:F, $D49, 'Data nguồn'!C:C, E$3)</f>
      </c>
      <c r="F49" s="8">
        <f>SUMIFS('Data nguồn'!H:H, 'Data nguồn'!D:D, $B$1, 'Data nguồn'!F:F, $D49, 'Data nguồn'!C:C, F$3)</f>
      </c>
      <c r="G49" s="8">
        <f>SUMIFS('Data nguồn'!H:H, 'Data nguồn'!D:D, $B$1, 'Data nguồn'!F:F, $D49, 'Data nguồn'!C:C, G$3)</f>
      </c>
      <c r="H49" s="8">
        <f>SUMIFS('Data nguồn'!H:H, 'Data nguồn'!D:D, $B$1, 'Data nguồn'!F:F, $D49, 'Data nguồn'!C:C, H$3)</f>
      </c>
      <c r="I49" s="8">
        <f>SUMIFS('Data nguồn'!H:H, 'Data nguồn'!D:D, $B$1, 'Data nguồn'!F:F, $D49, 'Data nguồn'!C:C, I$3)</f>
      </c>
      <c r="J49" s="8">
        <f>SUMIFS('Data nguồn'!H:H, 'Data nguồn'!D:D, $B$1, 'Data nguồn'!F:F, $D49, 'Data nguồn'!C:C, J$3)</f>
      </c>
      <c r="K49" s="8">
        <f>SUMIFS('Data nguồn'!H:H, 'Data nguồn'!D:D, $B$1, 'Data nguồn'!F:F, $D49, 'Data nguồn'!C:C, K$3)</f>
      </c>
      <c r="L49" s="8">
        <f>SUMIFS('Data nguồn'!H:H, 'Data nguồn'!D:D, $B$1, 'Data nguồn'!F:F, $D49, 'Data nguồn'!C:C, L$3)</f>
      </c>
      <c r="M49" s="8">
        <f>SUMIFS('Data nguồn'!H:H, 'Data nguồn'!D:D, $B$1, 'Data nguồn'!F:F, $D49, 'Data nguồn'!C:C, M$3)</f>
      </c>
      <c r="N49" s="8">
        <f>SUMIFS('Data nguồn'!H:H, 'Data nguồn'!D:D, $B$1, 'Data nguồn'!F:F, $D49, 'Data nguồn'!C:C, N$3)</f>
      </c>
      <c r="O49" s="8">
        <f>SUMIFS('Data nguồn'!H:H, 'Data nguồn'!D:D, $B$1, 'Data nguồn'!F:F, $D49, 'Data nguồn'!C:C, O$3)</f>
      </c>
      <c r="P49" s="8">
        <f>SUMIFS('Data nguồn'!H:H, 'Data nguồn'!D:D, $B$1, 'Data nguồn'!F:F, $D49, 'Data nguồn'!C:C, P$3)</f>
      </c>
      <c r="Q49" s="8">
        <f>SUMIFS('Data nguồn'!H:H, 'Data nguồn'!D:D, $B$1, 'Data nguồn'!F:F, $D49, 'Data nguồn'!C:C, Q$3)</f>
      </c>
      <c r="R49" s="8">
        <f>SUMIFS('Data nguồn'!H:H, 'Data nguồn'!D:D, $B$1, 'Data nguồn'!F:F, $D49, 'Data nguồn'!C:C, R$3)</f>
      </c>
      <c r="S49" s="8">
        <f>SUMIFS('Data nguồn'!H:H, 'Data nguồn'!D:D, $B$1, 'Data nguồn'!F:F, $D49, 'Data nguồn'!C:C, S$3)</f>
      </c>
      <c r="T49" s="8">
        <f>SUMIFS('Data nguồn'!H:H, 'Data nguồn'!D:D, $B$1, 'Data nguồn'!F:F, $D49, 'Data nguồn'!C:C, T$3)</f>
      </c>
      <c r="V49" s="8">
        <f>SUM(E49:P49)</f>
      </c>
      <c r="W49" s="8">
        <f>SUM(Q49:T49)</f>
      </c>
      <c r="X49" s="8">
        <f>AVERAGE(R49:T49)</f>
      </c>
      <c r="Y49" s="8">
        <f>AVERAGE(O49:T49)</f>
      </c>
      <c r="Z49" s="8">
        <f>AVERAGE(L49:T49)</f>
      </c>
      <c r="AA49" s="4">
        <f>IFERROR((X49*2)/(Y49+Z49), 0)</f>
      </c>
      <c r="AB49" s="4">
        <f>IFERROR(W49/SUM(E49:H49), 0)</f>
      </c>
      <c r="AC49" s="4">
        <f>IFERROR(W49/SUM(E49:H49), 0)</f>
      </c>
      <c r="AD49" s="4">
        <f>IFERROR(T49/H49, 0)</f>
      </c>
    </row>
    <row r="50" ht="20" customHeight="1" spans="4:30" x14ac:dyDescent="0.25">
      <c r="D50" s="2" t="s">
        <v>39</v>
      </c>
      <c r="E50" s="8">
        <f>SUMIFS('Data nguồn'!H:H, 'Data nguồn'!D:D, $B$1, 'Data nguồn'!F:F, $D50, 'Data nguồn'!C:C, E$3)</f>
      </c>
      <c r="F50" s="8">
        <f>SUMIFS('Data nguồn'!H:H, 'Data nguồn'!D:D, $B$1, 'Data nguồn'!F:F, $D50, 'Data nguồn'!C:C, F$3)</f>
      </c>
      <c r="G50" s="8">
        <f>SUMIFS('Data nguồn'!H:H, 'Data nguồn'!D:D, $B$1, 'Data nguồn'!F:F, $D50, 'Data nguồn'!C:C, G$3)</f>
      </c>
      <c r="H50" s="8">
        <f>SUMIFS('Data nguồn'!H:H, 'Data nguồn'!D:D, $B$1, 'Data nguồn'!F:F, $D50, 'Data nguồn'!C:C, H$3)</f>
      </c>
      <c r="I50" s="8">
        <f>SUMIFS('Data nguồn'!H:H, 'Data nguồn'!D:D, $B$1, 'Data nguồn'!F:F, $D50, 'Data nguồn'!C:C, I$3)</f>
      </c>
      <c r="J50" s="8">
        <f>SUMIFS('Data nguồn'!H:H, 'Data nguồn'!D:D, $B$1, 'Data nguồn'!F:F, $D50, 'Data nguồn'!C:C, J$3)</f>
      </c>
      <c r="K50" s="8">
        <f>SUMIFS('Data nguồn'!H:H, 'Data nguồn'!D:D, $B$1, 'Data nguồn'!F:F, $D50, 'Data nguồn'!C:C, K$3)</f>
      </c>
      <c r="L50" s="8">
        <f>SUMIFS('Data nguồn'!H:H, 'Data nguồn'!D:D, $B$1, 'Data nguồn'!F:F, $D50, 'Data nguồn'!C:C, L$3)</f>
      </c>
      <c r="M50" s="8">
        <f>SUMIFS('Data nguồn'!H:H, 'Data nguồn'!D:D, $B$1, 'Data nguồn'!F:F, $D50, 'Data nguồn'!C:C, M$3)</f>
      </c>
      <c r="N50" s="8">
        <f>SUMIFS('Data nguồn'!H:H, 'Data nguồn'!D:D, $B$1, 'Data nguồn'!F:F, $D50, 'Data nguồn'!C:C, N$3)</f>
      </c>
      <c r="O50" s="8">
        <f>SUMIFS('Data nguồn'!H:H, 'Data nguồn'!D:D, $B$1, 'Data nguồn'!F:F, $D50, 'Data nguồn'!C:C, O$3)</f>
      </c>
      <c r="P50" s="8">
        <f>SUMIFS('Data nguồn'!H:H, 'Data nguồn'!D:D, $B$1, 'Data nguồn'!F:F, $D50, 'Data nguồn'!C:C, P$3)</f>
      </c>
      <c r="Q50" s="8">
        <f>SUMIFS('Data nguồn'!H:H, 'Data nguồn'!D:D, $B$1, 'Data nguồn'!F:F, $D50, 'Data nguồn'!C:C, Q$3)</f>
      </c>
      <c r="R50" s="8">
        <f>SUMIFS('Data nguồn'!H:H, 'Data nguồn'!D:D, $B$1, 'Data nguồn'!F:F, $D50, 'Data nguồn'!C:C, R$3)</f>
      </c>
      <c r="S50" s="8">
        <f>SUMIFS('Data nguồn'!H:H, 'Data nguồn'!D:D, $B$1, 'Data nguồn'!F:F, $D50, 'Data nguồn'!C:C, S$3)</f>
      </c>
      <c r="T50" s="8">
        <f>SUMIFS('Data nguồn'!H:H, 'Data nguồn'!D:D, $B$1, 'Data nguồn'!F:F, $D50, 'Data nguồn'!C:C, T$3)</f>
      </c>
      <c r="V50" s="8">
        <f>SUM(E50:P50)</f>
      </c>
      <c r="W50" s="8">
        <f>SUM(Q50:T50)</f>
      </c>
      <c r="X50" s="8">
        <f>AVERAGE(R50:T50)</f>
      </c>
      <c r="Y50" s="8">
        <f>AVERAGE(O50:T50)</f>
      </c>
      <c r="Z50" s="8">
        <f>AVERAGE(L50:T50)</f>
      </c>
      <c r="AA50" s="4">
        <f>IFERROR((X50*2)/(Y50+Z50), 0)</f>
      </c>
      <c r="AB50" s="4">
        <f>IFERROR(W50/SUM(E50:H50), 0)</f>
      </c>
      <c r="AC50" s="4">
        <f>IFERROR(W50/SUM(E50:H50), 0)</f>
      </c>
      <c r="AD50" s="4">
        <f>IFERROR(T50/H50, 0)</f>
      </c>
    </row>
    <row r="51" ht="20" customHeight="1" spans="4:30" x14ac:dyDescent="0.25">
      <c r="D51" s="2" t="s">
        <v>77</v>
      </c>
      <c r="E51" s="8">
        <f>SUMIFS('Data nguồn'!H:H, 'Data nguồn'!D:D, $B$1, 'Data nguồn'!F:F, $D51, 'Data nguồn'!C:C, E$3)</f>
      </c>
      <c r="F51" s="8">
        <f>SUMIFS('Data nguồn'!H:H, 'Data nguồn'!D:D, $B$1, 'Data nguồn'!F:F, $D51, 'Data nguồn'!C:C, F$3)</f>
      </c>
      <c r="G51" s="8">
        <f>SUMIFS('Data nguồn'!H:H, 'Data nguồn'!D:D, $B$1, 'Data nguồn'!F:F, $D51, 'Data nguồn'!C:C, G$3)</f>
      </c>
      <c r="H51" s="8">
        <f>SUMIFS('Data nguồn'!H:H, 'Data nguồn'!D:D, $B$1, 'Data nguồn'!F:F, $D51, 'Data nguồn'!C:C, H$3)</f>
      </c>
      <c r="I51" s="8">
        <f>SUMIFS('Data nguồn'!H:H, 'Data nguồn'!D:D, $B$1, 'Data nguồn'!F:F, $D51, 'Data nguồn'!C:C, I$3)</f>
      </c>
      <c r="J51" s="8">
        <f>SUMIFS('Data nguồn'!H:H, 'Data nguồn'!D:D, $B$1, 'Data nguồn'!F:F, $D51, 'Data nguồn'!C:C, J$3)</f>
      </c>
      <c r="K51" s="8">
        <f>SUMIFS('Data nguồn'!H:H, 'Data nguồn'!D:D, $B$1, 'Data nguồn'!F:F, $D51, 'Data nguồn'!C:C, K$3)</f>
      </c>
      <c r="L51" s="8">
        <f>SUMIFS('Data nguồn'!H:H, 'Data nguồn'!D:D, $B$1, 'Data nguồn'!F:F, $D51, 'Data nguồn'!C:C, L$3)</f>
      </c>
      <c r="M51" s="8">
        <f>SUMIFS('Data nguồn'!H:H, 'Data nguồn'!D:D, $B$1, 'Data nguồn'!F:F, $D51, 'Data nguồn'!C:C, M$3)</f>
      </c>
      <c r="N51" s="8">
        <f>SUMIFS('Data nguồn'!H:H, 'Data nguồn'!D:D, $B$1, 'Data nguồn'!F:F, $D51, 'Data nguồn'!C:C, N$3)</f>
      </c>
      <c r="O51" s="8">
        <f>SUMIFS('Data nguồn'!H:H, 'Data nguồn'!D:D, $B$1, 'Data nguồn'!F:F, $D51, 'Data nguồn'!C:C, O$3)</f>
      </c>
      <c r="P51" s="8">
        <f>SUMIFS('Data nguồn'!H:H, 'Data nguồn'!D:D, $B$1, 'Data nguồn'!F:F, $D51, 'Data nguồn'!C:C, P$3)</f>
      </c>
      <c r="Q51" s="8">
        <f>SUMIFS('Data nguồn'!H:H, 'Data nguồn'!D:D, $B$1, 'Data nguồn'!F:F, $D51, 'Data nguồn'!C:C, Q$3)</f>
      </c>
      <c r="R51" s="8">
        <f>SUMIFS('Data nguồn'!H:H, 'Data nguồn'!D:D, $B$1, 'Data nguồn'!F:F, $D51, 'Data nguồn'!C:C, R$3)</f>
      </c>
      <c r="S51" s="8">
        <f>SUMIFS('Data nguồn'!H:H, 'Data nguồn'!D:D, $B$1, 'Data nguồn'!F:F, $D51, 'Data nguồn'!C:C, S$3)</f>
      </c>
      <c r="T51" s="8">
        <f>SUMIFS('Data nguồn'!H:H, 'Data nguồn'!D:D, $B$1, 'Data nguồn'!F:F, $D51, 'Data nguồn'!C:C, T$3)</f>
      </c>
      <c r="V51" s="8">
        <f>SUM(E51:P51)</f>
      </c>
      <c r="W51" s="8">
        <f>SUM(Q51:T51)</f>
      </c>
      <c r="X51" s="8">
        <f>AVERAGE(R51:T51)</f>
      </c>
      <c r="Y51" s="8">
        <f>AVERAGE(O51:T51)</f>
      </c>
      <c r="Z51" s="8">
        <f>AVERAGE(L51:T51)</f>
      </c>
      <c r="AA51" s="4">
        <f>IFERROR((X51*2)/(Y51+Z51), 0)</f>
      </c>
      <c r="AB51" s="4">
        <f>IFERROR(W51/SUM(E51:H51), 0)</f>
      </c>
      <c r="AC51" s="4">
        <f>IFERROR(W51/SUM(E51:H51), 0)</f>
      </c>
      <c r="AD51" s="4">
        <f>IFERROR(T51/H51, 0)</f>
      </c>
    </row>
    <row r="52" ht="22" customHeight="1" spans="4:30" x14ac:dyDescent="0.25">
      <c r="D52" s="5" t="s">
        <v>397</v>
      </c>
      <c r="E52" s="9">
        <f>SUM(E4:E51)</f>
      </c>
      <c r="F52" s="9">
        <f>SUM(F4:F51)</f>
      </c>
      <c r="G52" s="9">
        <f>SUM(G4:G51)</f>
      </c>
      <c r="H52" s="9">
        <f>SUM(H4:H51)</f>
      </c>
      <c r="I52" s="9">
        <f>SUM(I4:I51)</f>
      </c>
      <c r="J52" s="9">
        <f>SUM(J4:J51)</f>
      </c>
      <c r="K52" s="9">
        <f>SUM(K4:K51)</f>
      </c>
      <c r="L52" s="9">
        <f>SUM(L4:L51)</f>
      </c>
      <c r="M52" s="9">
        <f>SUM(M4:M51)</f>
      </c>
      <c r="N52" s="9">
        <f>SUM(N4:N51)</f>
      </c>
      <c r="O52" s="9">
        <f>SUM(O4:O51)</f>
      </c>
      <c r="P52" s="9">
        <f>SUM(P4:P51)</f>
      </c>
      <c r="Q52" s="9">
        <f>SUM(Q4:Q51)</f>
      </c>
      <c r="R52" s="9">
        <f>SUM(R4:R51)</f>
      </c>
      <c r="S52" s="9">
        <f>SUM(S4:S51)</f>
      </c>
      <c r="T52" s="9">
        <f>SUM(T4:T51)</f>
      </c>
      <c r="V52" s="9">
        <f>SUM(V4:V51)</f>
      </c>
      <c r="W52" s="9">
        <f>SUM(W4:W51)</f>
      </c>
      <c r="X52" s="9">
        <f>SUM(X4:X51)</f>
      </c>
      <c r="Y52" s="9">
        <f>SUM(Y4:Y51)</f>
      </c>
      <c r="Z52" s="9">
        <f>SUM(Z4:Z51)</f>
      </c>
      <c r="AA52" s="7">
        <f>IFERROR((X52*2)/(Y52+Z52), 0)</f>
      </c>
      <c r="AB52" s="7">
        <f>IFERROR(W52/SUM(E52:H52), 0)</f>
      </c>
      <c r="AC52" s="7">
        <f>IFERROR(W52/SUM(E52:H52), 0)</f>
      </c>
      <c r="AD52" s="7">
        <f>IFERROR(T52/H52, 0)</f>
      </c>
    </row>
  </sheetData>
  <dataValidations count="1">
    <dataValidation type="list" allowBlank="1" sqref="B1">
      <formula1>Config!$A$2:$A$290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69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407</v>
      </c>
      <c r="B1" s="11" t="s">
        <v>17</v>
      </c>
    </row>
    <row r="2" ht="15" customHeight="1" x14ac:dyDescent="0.25"/>
    <row r="3" ht="24" customHeight="1" spans="4:30" x14ac:dyDescent="0.25">
      <c r="D3" s="1" t="s">
        <v>408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1:30" x14ac:dyDescent="0.25">
      <c r="A4">
        <v>1</v>
      </c>
      <c r="B4" t="s">
        <v>2</v>
      </c>
      <c r="C4" t="s">
        <v>370</v>
      </c>
      <c r="D4" s="2" t="s">
        <v>2</v>
      </c>
      <c r="E4" s="3">
        <f>SUMIFS('Data nguồn'!J:J, 'Data nguồn'!D:D, $D4, 'Data nguồn'!F:F, $B$1, 'Data nguồn'!C:C, E$3)</f>
      </c>
      <c r="F4" s="3">
        <f>SUMIFS('Data nguồn'!J:J, 'Data nguồn'!D:D, $D4, 'Data nguồn'!F:F, $B$1, 'Data nguồn'!C:C, F$3)</f>
      </c>
      <c r="G4" s="3">
        <f>SUMIFS('Data nguồn'!J:J, 'Data nguồn'!D:D, $D4, 'Data nguồn'!F:F, $B$1, 'Data nguồn'!C:C, G$3)</f>
      </c>
      <c r="H4" s="3">
        <f>SUMIFS('Data nguồn'!J:J, 'Data nguồn'!D:D, $D4, 'Data nguồn'!F:F, $B$1, 'Data nguồn'!C:C, H$3)</f>
      </c>
      <c r="I4" s="3">
        <f>SUMIFS('Data nguồn'!J:J, 'Data nguồn'!D:D, $D4, 'Data nguồn'!F:F, $B$1, 'Data nguồn'!C:C, I$3)</f>
      </c>
      <c r="J4" s="3">
        <f>SUMIFS('Data nguồn'!J:J, 'Data nguồn'!D:D, $D4, 'Data nguồn'!F:F, $B$1, 'Data nguồn'!C:C, J$3)</f>
      </c>
      <c r="K4" s="3">
        <f>SUMIFS('Data nguồn'!J:J, 'Data nguồn'!D:D, $D4, 'Data nguồn'!F:F, $B$1, 'Data nguồn'!C:C, K$3)</f>
      </c>
      <c r="L4" s="3">
        <f>SUMIFS('Data nguồn'!J:J, 'Data nguồn'!D:D, $D4, 'Data nguồn'!F:F, $B$1, 'Data nguồn'!C:C, L$3)</f>
      </c>
      <c r="M4" s="3">
        <f>SUMIFS('Data nguồn'!J:J, 'Data nguồn'!D:D, $D4, 'Data nguồn'!F:F, $B$1, 'Data nguồn'!C:C, M$3)</f>
      </c>
      <c r="N4" s="3">
        <f>SUMIFS('Data nguồn'!J:J, 'Data nguồn'!D:D, $D4, 'Data nguồn'!F:F, $B$1, 'Data nguồn'!C:C, N$3)</f>
      </c>
      <c r="O4" s="3">
        <f>SUMIFS('Data nguồn'!J:J, 'Data nguồn'!D:D, $D4, 'Data nguồn'!F:F, $B$1, 'Data nguồn'!C:C, O$3)</f>
      </c>
      <c r="P4" s="3">
        <f>SUMIFS('Data nguồn'!J:J, 'Data nguồn'!D:D, $D4, 'Data nguồn'!F:F, $B$1, 'Data nguồn'!C:C, P$3)</f>
      </c>
      <c r="Q4" s="3">
        <f>SUMIFS('Data nguồn'!J:J, 'Data nguồn'!D:D, $D4, 'Data nguồn'!F:F, $B$1, 'Data nguồn'!C:C, Q$3)</f>
      </c>
      <c r="R4" s="3">
        <f>SUMIFS('Data nguồn'!J:J, 'Data nguồn'!D:D, $D4, 'Data nguồn'!F:F, $B$1, 'Data nguồn'!C:C, R$3)</f>
      </c>
      <c r="S4" s="3">
        <f>SUMIFS('Data nguồn'!J:J, 'Data nguồn'!D:D, $D4, 'Data nguồn'!F:F, $B$1, 'Data nguồn'!C:C, S$3)</f>
      </c>
      <c r="T4" s="3">
        <f>SUMIFS('Data nguồn'!J:J, 'Data nguồn'!D:D, $D4, 'Data nguồn'!F:F, $B$1, 'Data nguồn'!C:C, T$3)</f>
      </c>
      <c r="V4" s="3">
        <f>SUM(E4:P4)</f>
      </c>
      <c r="W4" s="3">
        <f>SUM(Q4:T4)</f>
      </c>
      <c r="X4" s="3">
        <f>AVERAGE(R4:T4)</f>
      </c>
      <c r="Y4" s="3">
        <f>AVERAGE(O4:T4)</f>
      </c>
      <c r="Z4" s="3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1:30" x14ac:dyDescent="0.25">
      <c r="A5">
        <v>2</v>
      </c>
      <c r="B5" t="s">
        <v>4</v>
      </c>
      <c r="C5" t="s">
        <v>363</v>
      </c>
      <c r="D5" s="2" t="s">
        <v>4</v>
      </c>
      <c r="E5" s="3">
        <f>SUMIFS('Data nguồn'!J:J, 'Data nguồn'!D:D, $D5, 'Data nguồn'!F:F, $B$1, 'Data nguồn'!C:C, E$3)</f>
      </c>
      <c r="F5" s="3">
        <f>SUMIFS('Data nguồn'!J:J, 'Data nguồn'!D:D, $D5, 'Data nguồn'!F:F, $B$1, 'Data nguồn'!C:C, F$3)</f>
      </c>
      <c r="G5" s="3">
        <f>SUMIFS('Data nguồn'!J:J, 'Data nguồn'!D:D, $D5, 'Data nguồn'!F:F, $B$1, 'Data nguồn'!C:C, G$3)</f>
      </c>
      <c r="H5" s="3">
        <f>SUMIFS('Data nguồn'!J:J, 'Data nguồn'!D:D, $D5, 'Data nguồn'!F:F, $B$1, 'Data nguồn'!C:C, H$3)</f>
      </c>
      <c r="I5" s="3">
        <f>SUMIFS('Data nguồn'!J:J, 'Data nguồn'!D:D, $D5, 'Data nguồn'!F:F, $B$1, 'Data nguồn'!C:C, I$3)</f>
      </c>
      <c r="J5" s="3">
        <f>SUMIFS('Data nguồn'!J:J, 'Data nguồn'!D:D, $D5, 'Data nguồn'!F:F, $B$1, 'Data nguồn'!C:C, J$3)</f>
      </c>
      <c r="K5" s="3">
        <f>SUMIFS('Data nguồn'!J:J, 'Data nguồn'!D:D, $D5, 'Data nguồn'!F:F, $B$1, 'Data nguồn'!C:C, K$3)</f>
      </c>
      <c r="L5" s="3">
        <f>SUMIFS('Data nguồn'!J:J, 'Data nguồn'!D:D, $D5, 'Data nguồn'!F:F, $B$1, 'Data nguồn'!C:C, L$3)</f>
      </c>
      <c r="M5" s="3">
        <f>SUMIFS('Data nguồn'!J:J, 'Data nguồn'!D:D, $D5, 'Data nguồn'!F:F, $B$1, 'Data nguồn'!C:C, M$3)</f>
      </c>
      <c r="N5" s="3">
        <f>SUMIFS('Data nguồn'!J:J, 'Data nguồn'!D:D, $D5, 'Data nguồn'!F:F, $B$1, 'Data nguồn'!C:C, N$3)</f>
      </c>
      <c r="O5" s="3">
        <f>SUMIFS('Data nguồn'!J:J, 'Data nguồn'!D:D, $D5, 'Data nguồn'!F:F, $B$1, 'Data nguồn'!C:C, O$3)</f>
      </c>
      <c r="P5" s="3">
        <f>SUMIFS('Data nguồn'!J:J, 'Data nguồn'!D:D, $D5, 'Data nguồn'!F:F, $B$1, 'Data nguồn'!C:C, P$3)</f>
      </c>
      <c r="Q5" s="3">
        <f>SUMIFS('Data nguồn'!J:J, 'Data nguồn'!D:D, $D5, 'Data nguồn'!F:F, $B$1, 'Data nguồn'!C:C, Q$3)</f>
      </c>
      <c r="R5" s="3">
        <f>SUMIFS('Data nguồn'!J:J, 'Data nguồn'!D:D, $D5, 'Data nguồn'!F:F, $B$1, 'Data nguồn'!C:C, R$3)</f>
      </c>
      <c r="S5" s="3">
        <f>SUMIFS('Data nguồn'!J:J, 'Data nguồn'!D:D, $D5, 'Data nguồn'!F:F, $B$1, 'Data nguồn'!C:C, S$3)</f>
      </c>
      <c r="T5" s="3">
        <f>SUMIFS('Data nguồn'!J:J, 'Data nguồn'!D:D, $D5, 'Data nguồn'!F:F, $B$1, 'Data nguồn'!C:C, T$3)</f>
      </c>
      <c r="V5" s="3">
        <f>SUM(E5:P5)</f>
      </c>
      <c r="W5" s="3">
        <f>SUM(Q5:T5)</f>
      </c>
      <c r="X5" s="3">
        <f>AVERAGE(R5:T5)</f>
      </c>
      <c r="Y5" s="3">
        <f>AVERAGE(O5:T5)</f>
      </c>
      <c r="Z5" s="3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1:30" x14ac:dyDescent="0.25">
      <c r="A6">
        <v>3</v>
      </c>
      <c r="B6" t="s">
        <v>6</v>
      </c>
      <c r="C6" t="s">
        <v>367</v>
      </c>
      <c r="D6" s="2" t="s">
        <v>6</v>
      </c>
      <c r="E6" s="3">
        <f>SUMIFS('Data nguồn'!J:J, 'Data nguồn'!D:D, $D6, 'Data nguồn'!F:F, $B$1, 'Data nguồn'!C:C, E$3)</f>
      </c>
      <c r="F6" s="3">
        <f>SUMIFS('Data nguồn'!J:J, 'Data nguồn'!D:D, $D6, 'Data nguồn'!F:F, $B$1, 'Data nguồn'!C:C, F$3)</f>
      </c>
      <c r="G6" s="3">
        <f>SUMIFS('Data nguồn'!J:J, 'Data nguồn'!D:D, $D6, 'Data nguồn'!F:F, $B$1, 'Data nguồn'!C:C, G$3)</f>
      </c>
      <c r="H6" s="3">
        <f>SUMIFS('Data nguồn'!J:J, 'Data nguồn'!D:D, $D6, 'Data nguồn'!F:F, $B$1, 'Data nguồn'!C:C, H$3)</f>
      </c>
      <c r="I6" s="3">
        <f>SUMIFS('Data nguồn'!J:J, 'Data nguồn'!D:D, $D6, 'Data nguồn'!F:F, $B$1, 'Data nguồn'!C:C, I$3)</f>
      </c>
      <c r="J6" s="3">
        <f>SUMIFS('Data nguồn'!J:J, 'Data nguồn'!D:D, $D6, 'Data nguồn'!F:F, $B$1, 'Data nguồn'!C:C, J$3)</f>
      </c>
      <c r="K6" s="3">
        <f>SUMIFS('Data nguồn'!J:J, 'Data nguồn'!D:D, $D6, 'Data nguồn'!F:F, $B$1, 'Data nguồn'!C:C, K$3)</f>
      </c>
      <c r="L6" s="3">
        <f>SUMIFS('Data nguồn'!J:J, 'Data nguồn'!D:D, $D6, 'Data nguồn'!F:F, $B$1, 'Data nguồn'!C:C, L$3)</f>
      </c>
      <c r="M6" s="3">
        <f>SUMIFS('Data nguồn'!J:J, 'Data nguồn'!D:D, $D6, 'Data nguồn'!F:F, $B$1, 'Data nguồn'!C:C, M$3)</f>
      </c>
      <c r="N6" s="3">
        <f>SUMIFS('Data nguồn'!J:J, 'Data nguồn'!D:D, $D6, 'Data nguồn'!F:F, $B$1, 'Data nguồn'!C:C, N$3)</f>
      </c>
      <c r="O6" s="3">
        <f>SUMIFS('Data nguồn'!J:J, 'Data nguồn'!D:D, $D6, 'Data nguồn'!F:F, $B$1, 'Data nguồn'!C:C, O$3)</f>
      </c>
      <c r="P6" s="3">
        <f>SUMIFS('Data nguồn'!J:J, 'Data nguồn'!D:D, $D6, 'Data nguồn'!F:F, $B$1, 'Data nguồn'!C:C, P$3)</f>
      </c>
      <c r="Q6" s="3">
        <f>SUMIFS('Data nguồn'!J:J, 'Data nguồn'!D:D, $D6, 'Data nguồn'!F:F, $B$1, 'Data nguồn'!C:C, Q$3)</f>
      </c>
      <c r="R6" s="3">
        <f>SUMIFS('Data nguồn'!J:J, 'Data nguồn'!D:D, $D6, 'Data nguồn'!F:F, $B$1, 'Data nguồn'!C:C, R$3)</f>
      </c>
      <c r="S6" s="3">
        <f>SUMIFS('Data nguồn'!J:J, 'Data nguồn'!D:D, $D6, 'Data nguồn'!F:F, $B$1, 'Data nguồn'!C:C, S$3)</f>
      </c>
      <c r="T6" s="3">
        <f>SUMIFS('Data nguồn'!J:J, 'Data nguồn'!D:D, $D6, 'Data nguồn'!F:F, $B$1, 'Data nguồn'!C:C, T$3)</f>
      </c>
      <c r="V6" s="3">
        <f>SUM(E6:P6)</f>
      </c>
      <c r="W6" s="3">
        <f>SUM(Q6:T6)</f>
      </c>
      <c r="X6" s="3">
        <f>AVERAGE(R6:T6)</f>
      </c>
      <c r="Y6" s="3">
        <f>AVERAGE(O6:T6)</f>
      </c>
      <c r="Z6" s="3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1:30" x14ac:dyDescent="0.25">
      <c r="A7">
        <v>4</v>
      </c>
      <c r="B7" t="s">
        <v>10</v>
      </c>
      <c r="C7" t="s">
        <v>363</v>
      </c>
      <c r="D7" s="2" t="s">
        <v>10</v>
      </c>
      <c r="E7" s="3">
        <f>SUMIFS('Data nguồn'!J:J, 'Data nguồn'!D:D, $D7, 'Data nguồn'!F:F, $B$1, 'Data nguồn'!C:C, E$3)</f>
      </c>
      <c r="F7" s="3">
        <f>SUMIFS('Data nguồn'!J:J, 'Data nguồn'!D:D, $D7, 'Data nguồn'!F:F, $B$1, 'Data nguồn'!C:C, F$3)</f>
      </c>
      <c r="G7" s="3">
        <f>SUMIFS('Data nguồn'!J:J, 'Data nguồn'!D:D, $D7, 'Data nguồn'!F:F, $B$1, 'Data nguồn'!C:C, G$3)</f>
      </c>
      <c r="H7" s="3">
        <f>SUMIFS('Data nguồn'!J:J, 'Data nguồn'!D:D, $D7, 'Data nguồn'!F:F, $B$1, 'Data nguồn'!C:C, H$3)</f>
      </c>
      <c r="I7" s="3">
        <f>SUMIFS('Data nguồn'!J:J, 'Data nguồn'!D:D, $D7, 'Data nguồn'!F:F, $B$1, 'Data nguồn'!C:C, I$3)</f>
      </c>
      <c r="J7" s="3">
        <f>SUMIFS('Data nguồn'!J:J, 'Data nguồn'!D:D, $D7, 'Data nguồn'!F:F, $B$1, 'Data nguồn'!C:C, J$3)</f>
      </c>
      <c r="K7" s="3">
        <f>SUMIFS('Data nguồn'!J:J, 'Data nguồn'!D:D, $D7, 'Data nguồn'!F:F, $B$1, 'Data nguồn'!C:C, K$3)</f>
      </c>
      <c r="L7" s="3">
        <f>SUMIFS('Data nguồn'!J:J, 'Data nguồn'!D:D, $D7, 'Data nguồn'!F:F, $B$1, 'Data nguồn'!C:C, L$3)</f>
      </c>
      <c r="M7" s="3">
        <f>SUMIFS('Data nguồn'!J:J, 'Data nguồn'!D:D, $D7, 'Data nguồn'!F:F, $B$1, 'Data nguồn'!C:C, M$3)</f>
      </c>
      <c r="N7" s="3">
        <f>SUMIFS('Data nguồn'!J:J, 'Data nguồn'!D:D, $D7, 'Data nguồn'!F:F, $B$1, 'Data nguồn'!C:C, N$3)</f>
      </c>
      <c r="O7" s="3">
        <f>SUMIFS('Data nguồn'!J:J, 'Data nguồn'!D:D, $D7, 'Data nguồn'!F:F, $B$1, 'Data nguồn'!C:C, O$3)</f>
      </c>
      <c r="P7" s="3">
        <f>SUMIFS('Data nguồn'!J:J, 'Data nguồn'!D:D, $D7, 'Data nguồn'!F:F, $B$1, 'Data nguồn'!C:C, P$3)</f>
      </c>
      <c r="Q7" s="3">
        <f>SUMIFS('Data nguồn'!J:J, 'Data nguồn'!D:D, $D7, 'Data nguồn'!F:F, $B$1, 'Data nguồn'!C:C, Q$3)</f>
      </c>
      <c r="R7" s="3">
        <f>SUMIFS('Data nguồn'!J:J, 'Data nguồn'!D:D, $D7, 'Data nguồn'!F:F, $B$1, 'Data nguồn'!C:C, R$3)</f>
      </c>
      <c r="S7" s="3">
        <f>SUMIFS('Data nguồn'!J:J, 'Data nguồn'!D:D, $D7, 'Data nguồn'!F:F, $B$1, 'Data nguồn'!C:C, S$3)</f>
      </c>
      <c r="T7" s="3">
        <f>SUMIFS('Data nguồn'!J:J, 'Data nguồn'!D:D, $D7, 'Data nguồn'!F:F, $B$1, 'Data nguồn'!C:C, T$3)</f>
      </c>
      <c r="V7" s="3">
        <f>SUM(E7:P7)</f>
      </c>
      <c r="W7" s="3">
        <f>SUM(Q7:T7)</f>
      </c>
      <c r="X7" s="3">
        <f>AVERAGE(R7:T7)</f>
      </c>
      <c r="Y7" s="3">
        <f>AVERAGE(O7:T7)</f>
      </c>
      <c r="Z7" s="3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1:30" x14ac:dyDescent="0.25">
      <c r="A8">
        <v>5</v>
      </c>
      <c r="B8" t="s">
        <v>12</v>
      </c>
      <c r="C8" t="s">
        <v>367</v>
      </c>
      <c r="D8" s="2" t="s">
        <v>12</v>
      </c>
      <c r="E8" s="3">
        <f>SUMIFS('Data nguồn'!J:J, 'Data nguồn'!D:D, $D8, 'Data nguồn'!F:F, $B$1, 'Data nguồn'!C:C, E$3)</f>
      </c>
      <c r="F8" s="3">
        <f>SUMIFS('Data nguồn'!J:J, 'Data nguồn'!D:D, $D8, 'Data nguồn'!F:F, $B$1, 'Data nguồn'!C:C, F$3)</f>
      </c>
      <c r="G8" s="3">
        <f>SUMIFS('Data nguồn'!J:J, 'Data nguồn'!D:D, $D8, 'Data nguồn'!F:F, $B$1, 'Data nguồn'!C:C, G$3)</f>
      </c>
      <c r="H8" s="3">
        <f>SUMIFS('Data nguồn'!J:J, 'Data nguồn'!D:D, $D8, 'Data nguồn'!F:F, $B$1, 'Data nguồn'!C:C, H$3)</f>
      </c>
      <c r="I8" s="3">
        <f>SUMIFS('Data nguồn'!J:J, 'Data nguồn'!D:D, $D8, 'Data nguồn'!F:F, $B$1, 'Data nguồn'!C:C, I$3)</f>
      </c>
      <c r="J8" s="3">
        <f>SUMIFS('Data nguồn'!J:J, 'Data nguồn'!D:D, $D8, 'Data nguồn'!F:F, $B$1, 'Data nguồn'!C:C, J$3)</f>
      </c>
      <c r="K8" s="3">
        <f>SUMIFS('Data nguồn'!J:J, 'Data nguồn'!D:D, $D8, 'Data nguồn'!F:F, $B$1, 'Data nguồn'!C:C, K$3)</f>
      </c>
      <c r="L8" s="3">
        <f>SUMIFS('Data nguồn'!J:J, 'Data nguồn'!D:D, $D8, 'Data nguồn'!F:F, $B$1, 'Data nguồn'!C:C, L$3)</f>
      </c>
      <c r="M8" s="3">
        <f>SUMIFS('Data nguồn'!J:J, 'Data nguồn'!D:D, $D8, 'Data nguồn'!F:F, $B$1, 'Data nguồn'!C:C, M$3)</f>
      </c>
      <c r="N8" s="3">
        <f>SUMIFS('Data nguồn'!J:J, 'Data nguồn'!D:D, $D8, 'Data nguồn'!F:F, $B$1, 'Data nguồn'!C:C, N$3)</f>
      </c>
      <c r="O8" s="3">
        <f>SUMIFS('Data nguồn'!J:J, 'Data nguồn'!D:D, $D8, 'Data nguồn'!F:F, $B$1, 'Data nguồn'!C:C, O$3)</f>
      </c>
      <c r="P8" s="3">
        <f>SUMIFS('Data nguồn'!J:J, 'Data nguồn'!D:D, $D8, 'Data nguồn'!F:F, $B$1, 'Data nguồn'!C:C, P$3)</f>
      </c>
      <c r="Q8" s="3">
        <f>SUMIFS('Data nguồn'!J:J, 'Data nguồn'!D:D, $D8, 'Data nguồn'!F:F, $B$1, 'Data nguồn'!C:C, Q$3)</f>
      </c>
      <c r="R8" s="3">
        <f>SUMIFS('Data nguồn'!J:J, 'Data nguồn'!D:D, $D8, 'Data nguồn'!F:F, $B$1, 'Data nguồn'!C:C, R$3)</f>
      </c>
      <c r="S8" s="3">
        <f>SUMIFS('Data nguồn'!J:J, 'Data nguồn'!D:D, $D8, 'Data nguồn'!F:F, $B$1, 'Data nguồn'!C:C, S$3)</f>
      </c>
      <c r="T8" s="3">
        <f>SUMIFS('Data nguồn'!J:J, 'Data nguồn'!D:D, $D8, 'Data nguồn'!F:F, $B$1, 'Data nguồn'!C:C, T$3)</f>
      </c>
      <c r="V8" s="3">
        <f>SUM(E8:P8)</f>
      </c>
      <c r="W8" s="3">
        <f>SUM(Q8:T8)</f>
      </c>
      <c r="X8" s="3">
        <f>AVERAGE(R8:T8)</f>
      </c>
      <c r="Y8" s="3">
        <f>AVERAGE(O8:T8)</f>
      </c>
      <c r="Z8" s="3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1:30" x14ac:dyDescent="0.25">
      <c r="A9">
        <v>6</v>
      </c>
      <c r="B9" t="s">
        <v>14</v>
      </c>
      <c r="C9" t="s">
        <v>367</v>
      </c>
      <c r="D9" s="2" t="s">
        <v>14</v>
      </c>
      <c r="E9" s="3">
        <f>SUMIFS('Data nguồn'!J:J, 'Data nguồn'!D:D, $D9, 'Data nguồn'!F:F, $B$1, 'Data nguồn'!C:C, E$3)</f>
      </c>
      <c r="F9" s="3">
        <f>SUMIFS('Data nguồn'!J:J, 'Data nguồn'!D:D, $D9, 'Data nguồn'!F:F, $B$1, 'Data nguồn'!C:C, F$3)</f>
      </c>
      <c r="G9" s="3">
        <f>SUMIFS('Data nguồn'!J:J, 'Data nguồn'!D:D, $D9, 'Data nguồn'!F:F, $B$1, 'Data nguồn'!C:C, G$3)</f>
      </c>
      <c r="H9" s="3">
        <f>SUMIFS('Data nguồn'!J:J, 'Data nguồn'!D:D, $D9, 'Data nguồn'!F:F, $B$1, 'Data nguồn'!C:C, H$3)</f>
      </c>
      <c r="I9" s="3">
        <f>SUMIFS('Data nguồn'!J:J, 'Data nguồn'!D:D, $D9, 'Data nguồn'!F:F, $B$1, 'Data nguồn'!C:C, I$3)</f>
      </c>
      <c r="J9" s="3">
        <f>SUMIFS('Data nguồn'!J:J, 'Data nguồn'!D:D, $D9, 'Data nguồn'!F:F, $B$1, 'Data nguồn'!C:C, J$3)</f>
      </c>
      <c r="K9" s="3">
        <f>SUMIFS('Data nguồn'!J:J, 'Data nguồn'!D:D, $D9, 'Data nguồn'!F:F, $B$1, 'Data nguồn'!C:C, K$3)</f>
      </c>
      <c r="L9" s="3">
        <f>SUMIFS('Data nguồn'!J:J, 'Data nguồn'!D:D, $D9, 'Data nguồn'!F:F, $B$1, 'Data nguồn'!C:C, L$3)</f>
      </c>
      <c r="M9" s="3">
        <f>SUMIFS('Data nguồn'!J:J, 'Data nguồn'!D:D, $D9, 'Data nguồn'!F:F, $B$1, 'Data nguồn'!C:C, M$3)</f>
      </c>
      <c r="N9" s="3">
        <f>SUMIFS('Data nguồn'!J:J, 'Data nguồn'!D:D, $D9, 'Data nguồn'!F:F, $B$1, 'Data nguồn'!C:C, N$3)</f>
      </c>
      <c r="O9" s="3">
        <f>SUMIFS('Data nguồn'!J:J, 'Data nguồn'!D:D, $D9, 'Data nguồn'!F:F, $B$1, 'Data nguồn'!C:C, O$3)</f>
      </c>
      <c r="P9" s="3">
        <f>SUMIFS('Data nguồn'!J:J, 'Data nguồn'!D:D, $D9, 'Data nguồn'!F:F, $B$1, 'Data nguồn'!C:C, P$3)</f>
      </c>
      <c r="Q9" s="3">
        <f>SUMIFS('Data nguồn'!J:J, 'Data nguồn'!D:D, $D9, 'Data nguồn'!F:F, $B$1, 'Data nguồn'!C:C, Q$3)</f>
      </c>
      <c r="R9" s="3">
        <f>SUMIFS('Data nguồn'!J:J, 'Data nguồn'!D:D, $D9, 'Data nguồn'!F:F, $B$1, 'Data nguồn'!C:C, R$3)</f>
      </c>
      <c r="S9" s="3">
        <f>SUMIFS('Data nguồn'!J:J, 'Data nguồn'!D:D, $D9, 'Data nguồn'!F:F, $B$1, 'Data nguồn'!C:C, S$3)</f>
      </c>
      <c r="T9" s="3">
        <f>SUMIFS('Data nguồn'!J:J, 'Data nguồn'!D:D, $D9, 'Data nguồn'!F:F, $B$1, 'Data nguồn'!C:C, T$3)</f>
      </c>
      <c r="V9" s="3">
        <f>SUM(E9:P9)</f>
      </c>
      <c r="W9" s="3">
        <f>SUM(Q9:T9)</f>
      </c>
      <c r="X9" s="3">
        <f>AVERAGE(R9:T9)</f>
      </c>
      <c r="Y9" s="3">
        <f>AVERAGE(O9:T9)</f>
      </c>
      <c r="Z9" s="3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1:30" x14ac:dyDescent="0.25">
      <c r="A10">
        <v>7</v>
      </c>
      <c r="B10" t="s">
        <v>18</v>
      </c>
      <c r="C10" t="s">
        <v>367</v>
      </c>
      <c r="D10" s="2" t="s">
        <v>18</v>
      </c>
      <c r="E10" s="3">
        <f>SUMIFS('Data nguồn'!J:J, 'Data nguồn'!D:D, $D10, 'Data nguồn'!F:F, $B$1, 'Data nguồn'!C:C, E$3)</f>
      </c>
      <c r="F10" s="3">
        <f>SUMIFS('Data nguồn'!J:J, 'Data nguồn'!D:D, $D10, 'Data nguồn'!F:F, $B$1, 'Data nguồn'!C:C, F$3)</f>
      </c>
      <c r="G10" s="3">
        <f>SUMIFS('Data nguồn'!J:J, 'Data nguồn'!D:D, $D10, 'Data nguồn'!F:F, $B$1, 'Data nguồn'!C:C, G$3)</f>
      </c>
      <c r="H10" s="3">
        <f>SUMIFS('Data nguồn'!J:J, 'Data nguồn'!D:D, $D10, 'Data nguồn'!F:F, $B$1, 'Data nguồn'!C:C, H$3)</f>
      </c>
      <c r="I10" s="3">
        <f>SUMIFS('Data nguồn'!J:J, 'Data nguồn'!D:D, $D10, 'Data nguồn'!F:F, $B$1, 'Data nguồn'!C:C, I$3)</f>
      </c>
      <c r="J10" s="3">
        <f>SUMIFS('Data nguồn'!J:J, 'Data nguồn'!D:D, $D10, 'Data nguồn'!F:F, $B$1, 'Data nguồn'!C:C, J$3)</f>
      </c>
      <c r="K10" s="3">
        <f>SUMIFS('Data nguồn'!J:J, 'Data nguồn'!D:D, $D10, 'Data nguồn'!F:F, $B$1, 'Data nguồn'!C:C, K$3)</f>
      </c>
      <c r="L10" s="3">
        <f>SUMIFS('Data nguồn'!J:J, 'Data nguồn'!D:D, $D10, 'Data nguồn'!F:F, $B$1, 'Data nguồn'!C:C, L$3)</f>
      </c>
      <c r="M10" s="3">
        <f>SUMIFS('Data nguồn'!J:J, 'Data nguồn'!D:D, $D10, 'Data nguồn'!F:F, $B$1, 'Data nguồn'!C:C, M$3)</f>
      </c>
      <c r="N10" s="3">
        <f>SUMIFS('Data nguồn'!J:J, 'Data nguồn'!D:D, $D10, 'Data nguồn'!F:F, $B$1, 'Data nguồn'!C:C, N$3)</f>
      </c>
      <c r="O10" s="3">
        <f>SUMIFS('Data nguồn'!J:J, 'Data nguồn'!D:D, $D10, 'Data nguồn'!F:F, $B$1, 'Data nguồn'!C:C, O$3)</f>
      </c>
      <c r="P10" s="3">
        <f>SUMIFS('Data nguồn'!J:J, 'Data nguồn'!D:D, $D10, 'Data nguồn'!F:F, $B$1, 'Data nguồn'!C:C, P$3)</f>
      </c>
      <c r="Q10" s="3">
        <f>SUMIFS('Data nguồn'!J:J, 'Data nguồn'!D:D, $D10, 'Data nguồn'!F:F, $B$1, 'Data nguồn'!C:C, Q$3)</f>
      </c>
      <c r="R10" s="3">
        <f>SUMIFS('Data nguồn'!J:J, 'Data nguồn'!D:D, $D10, 'Data nguồn'!F:F, $B$1, 'Data nguồn'!C:C, R$3)</f>
      </c>
      <c r="S10" s="3">
        <f>SUMIFS('Data nguồn'!J:J, 'Data nguồn'!D:D, $D10, 'Data nguồn'!F:F, $B$1, 'Data nguồn'!C:C, S$3)</f>
      </c>
      <c r="T10" s="3">
        <f>SUMIFS('Data nguồn'!J:J, 'Data nguồn'!D:D, $D10, 'Data nguồn'!F:F, $B$1, 'Data nguồn'!C:C, T$3)</f>
      </c>
      <c r="V10" s="3">
        <f>SUM(E10:P10)</f>
      </c>
      <c r="W10" s="3">
        <f>SUM(Q10:T10)</f>
      </c>
      <c r="X10" s="3">
        <f>AVERAGE(R10:T10)</f>
      </c>
      <c r="Y10" s="3">
        <f>AVERAGE(O10:T10)</f>
      </c>
      <c r="Z10" s="3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1:30" x14ac:dyDescent="0.25">
      <c r="A11">
        <v>8</v>
      </c>
      <c r="B11" t="s">
        <v>20</v>
      </c>
      <c r="C11" t="s">
        <v>370</v>
      </c>
      <c r="D11" s="2" t="s">
        <v>20</v>
      </c>
      <c r="E11" s="3">
        <f>SUMIFS('Data nguồn'!J:J, 'Data nguồn'!D:D, $D11, 'Data nguồn'!F:F, $B$1, 'Data nguồn'!C:C, E$3)</f>
      </c>
      <c r="F11" s="3">
        <f>SUMIFS('Data nguồn'!J:J, 'Data nguồn'!D:D, $D11, 'Data nguồn'!F:F, $B$1, 'Data nguồn'!C:C, F$3)</f>
      </c>
      <c r="G11" s="3">
        <f>SUMIFS('Data nguồn'!J:J, 'Data nguồn'!D:D, $D11, 'Data nguồn'!F:F, $B$1, 'Data nguồn'!C:C, G$3)</f>
      </c>
      <c r="H11" s="3">
        <f>SUMIFS('Data nguồn'!J:J, 'Data nguồn'!D:D, $D11, 'Data nguồn'!F:F, $B$1, 'Data nguồn'!C:C, H$3)</f>
      </c>
      <c r="I11" s="3">
        <f>SUMIFS('Data nguồn'!J:J, 'Data nguồn'!D:D, $D11, 'Data nguồn'!F:F, $B$1, 'Data nguồn'!C:C, I$3)</f>
      </c>
      <c r="J11" s="3">
        <f>SUMIFS('Data nguồn'!J:J, 'Data nguồn'!D:D, $D11, 'Data nguồn'!F:F, $B$1, 'Data nguồn'!C:C, J$3)</f>
      </c>
      <c r="K11" s="3">
        <f>SUMIFS('Data nguồn'!J:J, 'Data nguồn'!D:D, $D11, 'Data nguồn'!F:F, $B$1, 'Data nguồn'!C:C, K$3)</f>
      </c>
      <c r="L11" s="3">
        <f>SUMIFS('Data nguồn'!J:J, 'Data nguồn'!D:D, $D11, 'Data nguồn'!F:F, $B$1, 'Data nguồn'!C:C, L$3)</f>
      </c>
      <c r="M11" s="3">
        <f>SUMIFS('Data nguồn'!J:J, 'Data nguồn'!D:D, $D11, 'Data nguồn'!F:F, $B$1, 'Data nguồn'!C:C, M$3)</f>
      </c>
      <c r="N11" s="3">
        <f>SUMIFS('Data nguồn'!J:J, 'Data nguồn'!D:D, $D11, 'Data nguồn'!F:F, $B$1, 'Data nguồn'!C:C, N$3)</f>
      </c>
      <c r="O11" s="3">
        <f>SUMIFS('Data nguồn'!J:J, 'Data nguồn'!D:D, $D11, 'Data nguồn'!F:F, $B$1, 'Data nguồn'!C:C, O$3)</f>
      </c>
      <c r="P11" s="3">
        <f>SUMIFS('Data nguồn'!J:J, 'Data nguồn'!D:D, $D11, 'Data nguồn'!F:F, $B$1, 'Data nguồn'!C:C, P$3)</f>
      </c>
      <c r="Q11" s="3">
        <f>SUMIFS('Data nguồn'!J:J, 'Data nguồn'!D:D, $D11, 'Data nguồn'!F:F, $B$1, 'Data nguồn'!C:C, Q$3)</f>
      </c>
      <c r="R11" s="3">
        <f>SUMIFS('Data nguồn'!J:J, 'Data nguồn'!D:D, $D11, 'Data nguồn'!F:F, $B$1, 'Data nguồn'!C:C, R$3)</f>
      </c>
      <c r="S11" s="3">
        <f>SUMIFS('Data nguồn'!J:J, 'Data nguồn'!D:D, $D11, 'Data nguồn'!F:F, $B$1, 'Data nguồn'!C:C, S$3)</f>
      </c>
      <c r="T11" s="3">
        <f>SUMIFS('Data nguồn'!J:J, 'Data nguồn'!D:D, $D11, 'Data nguồn'!F:F, $B$1, 'Data nguồn'!C:C, T$3)</f>
      </c>
      <c r="V11" s="3">
        <f>SUM(E11:P11)</f>
      </c>
      <c r="W11" s="3">
        <f>SUM(Q11:T11)</f>
      </c>
      <c r="X11" s="3">
        <f>AVERAGE(R11:T11)</f>
      </c>
      <c r="Y11" s="3">
        <f>AVERAGE(O11:T11)</f>
      </c>
      <c r="Z11" s="3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1:30" x14ac:dyDescent="0.25">
      <c r="A12">
        <v>9</v>
      </c>
      <c r="B12" t="s">
        <v>22</v>
      </c>
      <c r="C12" t="s">
        <v>363</v>
      </c>
      <c r="D12" s="2" t="s">
        <v>22</v>
      </c>
      <c r="E12" s="3">
        <f>SUMIFS('Data nguồn'!J:J, 'Data nguồn'!D:D, $D12, 'Data nguồn'!F:F, $B$1, 'Data nguồn'!C:C, E$3)</f>
      </c>
      <c r="F12" s="3">
        <f>SUMIFS('Data nguồn'!J:J, 'Data nguồn'!D:D, $D12, 'Data nguồn'!F:F, $B$1, 'Data nguồn'!C:C, F$3)</f>
      </c>
      <c r="G12" s="3">
        <f>SUMIFS('Data nguồn'!J:J, 'Data nguồn'!D:D, $D12, 'Data nguồn'!F:F, $B$1, 'Data nguồn'!C:C, G$3)</f>
      </c>
      <c r="H12" s="3">
        <f>SUMIFS('Data nguồn'!J:J, 'Data nguồn'!D:D, $D12, 'Data nguồn'!F:F, $B$1, 'Data nguồn'!C:C, H$3)</f>
      </c>
      <c r="I12" s="3">
        <f>SUMIFS('Data nguồn'!J:J, 'Data nguồn'!D:D, $D12, 'Data nguồn'!F:F, $B$1, 'Data nguồn'!C:C, I$3)</f>
      </c>
      <c r="J12" s="3">
        <f>SUMIFS('Data nguồn'!J:J, 'Data nguồn'!D:D, $D12, 'Data nguồn'!F:F, $B$1, 'Data nguồn'!C:C, J$3)</f>
      </c>
      <c r="K12" s="3">
        <f>SUMIFS('Data nguồn'!J:J, 'Data nguồn'!D:D, $D12, 'Data nguồn'!F:F, $B$1, 'Data nguồn'!C:C, K$3)</f>
      </c>
      <c r="L12" s="3">
        <f>SUMIFS('Data nguồn'!J:J, 'Data nguồn'!D:D, $D12, 'Data nguồn'!F:F, $B$1, 'Data nguồn'!C:C, L$3)</f>
      </c>
      <c r="M12" s="3">
        <f>SUMIFS('Data nguồn'!J:J, 'Data nguồn'!D:D, $D12, 'Data nguồn'!F:F, $B$1, 'Data nguồn'!C:C, M$3)</f>
      </c>
      <c r="N12" s="3">
        <f>SUMIFS('Data nguồn'!J:J, 'Data nguồn'!D:D, $D12, 'Data nguồn'!F:F, $B$1, 'Data nguồn'!C:C, N$3)</f>
      </c>
      <c r="O12" s="3">
        <f>SUMIFS('Data nguồn'!J:J, 'Data nguồn'!D:D, $D12, 'Data nguồn'!F:F, $B$1, 'Data nguồn'!C:C, O$3)</f>
      </c>
      <c r="P12" s="3">
        <f>SUMIFS('Data nguồn'!J:J, 'Data nguồn'!D:D, $D12, 'Data nguồn'!F:F, $B$1, 'Data nguồn'!C:C, P$3)</f>
      </c>
      <c r="Q12" s="3">
        <f>SUMIFS('Data nguồn'!J:J, 'Data nguồn'!D:D, $D12, 'Data nguồn'!F:F, $B$1, 'Data nguồn'!C:C, Q$3)</f>
      </c>
      <c r="R12" s="3">
        <f>SUMIFS('Data nguồn'!J:J, 'Data nguồn'!D:D, $D12, 'Data nguồn'!F:F, $B$1, 'Data nguồn'!C:C, R$3)</f>
      </c>
      <c r="S12" s="3">
        <f>SUMIFS('Data nguồn'!J:J, 'Data nguồn'!D:D, $D12, 'Data nguồn'!F:F, $B$1, 'Data nguồn'!C:C, S$3)</f>
      </c>
      <c r="T12" s="3">
        <f>SUMIFS('Data nguồn'!J:J, 'Data nguồn'!D:D, $D12, 'Data nguồn'!F:F, $B$1, 'Data nguồn'!C:C, T$3)</f>
      </c>
      <c r="V12" s="3">
        <f>SUM(E12:P12)</f>
      </c>
      <c r="W12" s="3">
        <f>SUM(Q12:T12)</f>
      </c>
      <c r="X12" s="3">
        <f>AVERAGE(R12:T12)</f>
      </c>
      <c r="Y12" s="3">
        <f>AVERAGE(O12:T12)</f>
      </c>
      <c r="Z12" s="3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1:30" x14ac:dyDescent="0.25">
      <c r="A13">
        <v>10</v>
      </c>
      <c r="B13" t="s">
        <v>24</v>
      </c>
      <c r="C13" t="s">
        <v>367</v>
      </c>
      <c r="D13" s="2" t="s">
        <v>24</v>
      </c>
      <c r="E13" s="3">
        <f>SUMIFS('Data nguồn'!J:J, 'Data nguồn'!D:D, $D13, 'Data nguồn'!F:F, $B$1, 'Data nguồn'!C:C, E$3)</f>
      </c>
      <c r="F13" s="3">
        <f>SUMIFS('Data nguồn'!J:J, 'Data nguồn'!D:D, $D13, 'Data nguồn'!F:F, $B$1, 'Data nguồn'!C:C, F$3)</f>
      </c>
      <c r="G13" s="3">
        <f>SUMIFS('Data nguồn'!J:J, 'Data nguồn'!D:D, $D13, 'Data nguồn'!F:F, $B$1, 'Data nguồn'!C:C, G$3)</f>
      </c>
      <c r="H13" s="3">
        <f>SUMIFS('Data nguồn'!J:J, 'Data nguồn'!D:D, $D13, 'Data nguồn'!F:F, $B$1, 'Data nguồn'!C:C, H$3)</f>
      </c>
      <c r="I13" s="3">
        <f>SUMIFS('Data nguồn'!J:J, 'Data nguồn'!D:D, $D13, 'Data nguồn'!F:F, $B$1, 'Data nguồn'!C:C, I$3)</f>
      </c>
      <c r="J13" s="3">
        <f>SUMIFS('Data nguồn'!J:J, 'Data nguồn'!D:D, $D13, 'Data nguồn'!F:F, $B$1, 'Data nguồn'!C:C, J$3)</f>
      </c>
      <c r="K13" s="3">
        <f>SUMIFS('Data nguồn'!J:J, 'Data nguồn'!D:D, $D13, 'Data nguồn'!F:F, $B$1, 'Data nguồn'!C:C, K$3)</f>
      </c>
      <c r="L13" s="3">
        <f>SUMIFS('Data nguồn'!J:J, 'Data nguồn'!D:D, $D13, 'Data nguồn'!F:F, $B$1, 'Data nguồn'!C:C, L$3)</f>
      </c>
      <c r="M13" s="3">
        <f>SUMIFS('Data nguồn'!J:J, 'Data nguồn'!D:D, $D13, 'Data nguồn'!F:F, $B$1, 'Data nguồn'!C:C, M$3)</f>
      </c>
      <c r="N13" s="3">
        <f>SUMIFS('Data nguồn'!J:J, 'Data nguồn'!D:D, $D13, 'Data nguồn'!F:F, $B$1, 'Data nguồn'!C:C, N$3)</f>
      </c>
      <c r="O13" s="3">
        <f>SUMIFS('Data nguồn'!J:J, 'Data nguồn'!D:D, $D13, 'Data nguồn'!F:F, $B$1, 'Data nguồn'!C:C, O$3)</f>
      </c>
      <c r="P13" s="3">
        <f>SUMIFS('Data nguồn'!J:J, 'Data nguồn'!D:D, $D13, 'Data nguồn'!F:F, $B$1, 'Data nguồn'!C:C, P$3)</f>
      </c>
      <c r="Q13" s="3">
        <f>SUMIFS('Data nguồn'!J:J, 'Data nguồn'!D:D, $D13, 'Data nguồn'!F:F, $B$1, 'Data nguồn'!C:C, Q$3)</f>
      </c>
      <c r="R13" s="3">
        <f>SUMIFS('Data nguồn'!J:J, 'Data nguồn'!D:D, $D13, 'Data nguồn'!F:F, $B$1, 'Data nguồn'!C:C, R$3)</f>
      </c>
      <c r="S13" s="3">
        <f>SUMIFS('Data nguồn'!J:J, 'Data nguồn'!D:D, $D13, 'Data nguồn'!F:F, $B$1, 'Data nguồn'!C:C, S$3)</f>
      </c>
      <c r="T13" s="3">
        <f>SUMIFS('Data nguồn'!J:J, 'Data nguồn'!D:D, $D13, 'Data nguồn'!F:F, $B$1, 'Data nguồn'!C:C, T$3)</f>
      </c>
      <c r="V13" s="3">
        <f>SUM(E13:P13)</f>
      </c>
      <c r="W13" s="3">
        <f>SUM(Q13:T13)</f>
      </c>
      <c r="X13" s="3">
        <f>AVERAGE(R13:T13)</f>
      </c>
      <c r="Y13" s="3">
        <f>AVERAGE(O13:T13)</f>
      </c>
      <c r="Z13" s="3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1:30" x14ac:dyDescent="0.25">
      <c r="A14">
        <v>11</v>
      </c>
      <c r="B14" t="s">
        <v>26</v>
      </c>
      <c r="C14" t="s">
        <v>366</v>
      </c>
      <c r="D14" s="2" t="s">
        <v>26</v>
      </c>
      <c r="E14" s="3">
        <f>SUMIFS('Data nguồn'!J:J, 'Data nguồn'!D:D, $D14, 'Data nguồn'!F:F, $B$1, 'Data nguồn'!C:C, E$3)</f>
      </c>
      <c r="F14" s="3">
        <f>SUMIFS('Data nguồn'!J:J, 'Data nguồn'!D:D, $D14, 'Data nguồn'!F:F, $B$1, 'Data nguồn'!C:C, F$3)</f>
      </c>
      <c r="G14" s="3">
        <f>SUMIFS('Data nguồn'!J:J, 'Data nguồn'!D:D, $D14, 'Data nguồn'!F:F, $B$1, 'Data nguồn'!C:C, G$3)</f>
      </c>
      <c r="H14" s="3">
        <f>SUMIFS('Data nguồn'!J:J, 'Data nguồn'!D:D, $D14, 'Data nguồn'!F:F, $B$1, 'Data nguồn'!C:C, H$3)</f>
      </c>
      <c r="I14" s="3">
        <f>SUMIFS('Data nguồn'!J:J, 'Data nguồn'!D:D, $D14, 'Data nguồn'!F:F, $B$1, 'Data nguồn'!C:C, I$3)</f>
      </c>
      <c r="J14" s="3">
        <f>SUMIFS('Data nguồn'!J:J, 'Data nguồn'!D:D, $D14, 'Data nguồn'!F:F, $B$1, 'Data nguồn'!C:C, J$3)</f>
      </c>
      <c r="K14" s="3">
        <f>SUMIFS('Data nguồn'!J:J, 'Data nguồn'!D:D, $D14, 'Data nguồn'!F:F, $B$1, 'Data nguồn'!C:C, K$3)</f>
      </c>
      <c r="L14" s="3">
        <f>SUMIFS('Data nguồn'!J:J, 'Data nguồn'!D:D, $D14, 'Data nguồn'!F:F, $B$1, 'Data nguồn'!C:C, L$3)</f>
      </c>
      <c r="M14" s="3">
        <f>SUMIFS('Data nguồn'!J:J, 'Data nguồn'!D:D, $D14, 'Data nguồn'!F:F, $B$1, 'Data nguồn'!C:C, M$3)</f>
      </c>
      <c r="N14" s="3">
        <f>SUMIFS('Data nguồn'!J:J, 'Data nguồn'!D:D, $D14, 'Data nguồn'!F:F, $B$1, 'Data nguồn'!C:C, N$3)</f>
      </c>
      <c r="O14" s="3">
        <f>SUMIFS('Data nguồn'!J:J, 'Data nguồn'!D:D, $D14, 'Data nguồn'!F:F, $B$1, 'Data nguồn'!C:C, O$3)</f>
      </c>
      <c r="P14" s="3">
        <f>SUMIFS('Data nguồn'!J:J, 'Data nguồn'!D:D, $D14, 'Data nguồn'!F:F, $B$1, 'Data nguồn'!C:C, P$3)</f>
      </c>
      <c r="Q14" s="3">
        <f>SUMIFS('Data nguồn'!J:J, 'Data nguồn'!D:D, $D14, 'Data nguồn'!F:F, $B$1, 'Data nguồn'!C:C, Q$3)</f>
      </c>
      <c r="R14" s="3">
        <f>SUMIFS('Data nguồn'!J:J, 'Data nguồn'!D:D, $D14, 'Data nguồn'!F:F, $B$1, 'Data nguồn'!C:C, R$3)</f>
      </c>
      <c r="S14" s="3">
        <f>SUMIFS('Data nguồn'!J:J, 'Data nguồn'!D:D, $D14, 'Data nguồn'!F:F, $B$1, 'Data nguồn'!C:C, S$3)</f>
      </c>
      <c r="T14" s="3">
        <f>SUMIFS('Data nguồn'!J:J, 'Data nguồn'!D:D, $D14, 'Data nguồn'!F:F, $B$1, 'Data nguồn'!C:C, T$3)</f>
      </c>
      <c r="V14" s="3">
        <f>SUM(E14:P14)</f>
      </c>
      <c r="W14" s="3">
        <f>SUM(Q14:T14)</f>
      </c>
      <c r="X14" s="3">
        <f>AVERAGE(R14:T14)</f>
      </c>
      <c r="Y14" s="3">
        <f>AVERAGE(O14:T14)</f>
      </c>
      <c r="Z14" s="3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1:30" x14ac:dyDescent="0.25">
      <c r="A15">
        <v>12</v>
      </c>
      <c r="B15" t="s">
        <v>28</v>
      </c>
      <c r="C15" t="s">
        <v>363</v>
      </c>
      <c r="D15" s="2" t="s">
        <v>28</v>
      </c>
      <c r="E15" s="3">
        <f>SUMIFS('Data nguồn'!J:J, 'Data nguồn'!D:D, $D15, 'Data nguồn'!F:F, $B$1, 'Data nguồn'!C:C, E$3)</f>
      </c>
      <c r="F15" s="3">
        <f>SUMIFS('Data nguồn'!J:J, 'Data nguồn'!D:D, $D15, 'Data nguồn'!F:F, $B$1, 'Data nguồn'!C:C, F$3)</f>
      </c>
      <c r="G15" s="3">
        <f>SUMIFS('Data nguồn'!J:J, 'Data nguồn'!D:D, $D15, 'Data nguồn'!F:F, $B$1, 'Data nguồn'!C:C, G$3)</f>
      </c>
      <c r="H15" s="3">
        <f>SUMIFS('Data nguồn'!J:J, 'Data nguồn'!D:D, $D15, 'Data nguồn'!F:F, $B$1, 'Data nguồn'!C:C, H$3)</f>
      </c>
      <c r="I15" s="3">
        <f>SUMIFS('Data nguồn'!J:J, 'Data nguồn'!D:D, $D15, 'Data nguồn'!F:F, $B$1, 'Data nguồn'!C:C, I$3)</f>
      </c>
      <c r="J15" s="3">
        <f>SUMIFS('Data nguồn'!J:J, 'Data nguồn'!D:D, $D15, 'Data nguồn'!F:F, $B$1, 'Data nguồn'!C:C, J$3)</f>
      </c>
      <c r="K15" s="3">
        <f>SUMIFS('Data nguồn'!J:J, 'Data nguồn'!D:D, $D15, 'Data nguồn'!F:F, $B$1, 'Data nguồn'!C:C, K$3)</f>
      </c>
      <c r="L15" s="3">
        <f>SUMIFS('Data nguồn'!J:J, 'Data nguồn'!D:D, $D15, 'Data nguồn'!F:F, $B$1, 'Data nguồn'!C:C, L$3)</f>
      </c>
      <c r="M15" s="3">
        <f>SUMIFS('Data nguồn'!J:J, 'Data nguồn'!D:D, $D15, 'Data nguồn'!F:F, $B$1, 'Data nguồn'!C:C, M$3)</f>
      </c>
      <c r="N15" s="3">
        <f>SUMIFS('Data nguồn'!J:J, 'Data nguồn'!D:D, $D15, 'Data nguồn'!F:F, $B$1, 'Data nguồn'!C:C, N$3)</f>
      </c>
      <c r="O15" s="3">
        <f>SUMIFS('Data nguồn'!J:J, 'Data nguồn'!D:D, $D15, 'Data nguồn'!F:F, $B$1, 'Data nguồn'!C:C, O$3)</f>
      </c>
      <c r="P15" s="3">
        <f>SUMIFS('Data nguồn'!J:J, 'Data nguồn'!D:D, $D15, 'Data nguồn'!F:F, $B$1, 'Data nguồn'!C:C, P$3)</f>
      </c>
      <c r="Q15" s="3">
        <f>SUMIFS('Data nguồn'!J:J, 'Data nguồn'!D:D, $D15, 'Data nguồn'!F:F, $B$1, 'Data nguồn'!C:C, Q$3)</f>
      </c>
      <c r="R15" s="3">
        <f>SUMIFS('Data nguồn'!J:J, 'Data nguồn'!D:D, $D15, 'Data nguồn'!F:F, $B$1, 'Data nguồn'!C:C, R$3)</f>
      </c>
      <c r="S15" s="3">
        <f>SUMIFS('Data nguồn'!J:J, 'Data nguồn'!D:D, $D15, 'Data nguồn'!F:F, $B$1, 'Data nguồn'!C:C, S$3)</f>
      </c>
      <c r="T15" s="3">
        <f>SUMIFS('Data nguồn'!J:J, 'Data nguồn'!D:D, $D15, 'Data nguồn'!F:F, $B$1, 'Data nguồn'!C:C, T$3)</f>
      </c>
      <c r="V15" s="3">
        <f>SUM(E15:P15)</f>
      </c>
      <c r="W15" s="3">
        <f>SUM(Q15:T15)</f>
      </c>
      <c r="X15" s="3">
        <f>AVERAGE(R15:T15)</f>
      </c>
      <c r="Y15" s="3">
        <f>AVERAGE(O15:T15)</f>
      </c>
      <c r="Z15" s="3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1:30" x14ac:dyDescent="0.25">
      <c r="A16">
        <v>13</v>
      </c>
      <c r="B16" t="s">
        <v>34</v>
      </c>
      <c r="C16" t="s">
        <v>370</v>
      </c>
      <c r="D16" s="2" t="s">
        <v>34</v>
      </c>
      <c r="E16" s="3">
        <f>SUMIFS('Data nguồn'!J:J, 'Data nguồn'!D:D, $D16, 'Data nguồn'!F:F, $B$1, 'Data nguồn'!C:C, E$3)</f>
      </c>
      <c r="F16" s="3">
        <f>SUMIFS('Data nguồn'!J:J, 'Data nguồn'!D:D, $D16, 'Data nguồn'!F:F, $B$1, 'Data nguồn'!C:C, F$3)</f>
      </c>
      <c r="G16" s="3">
        <f>SUMIFS('Data nguồn'!J:J, 'Data nguồn'!D:D, $D16, 'Data nguồn'!F:F, $B$1, 'Data nguồn'!C:C, G$3)</f>
      </c>
      <c r="H16" s="3">
        <f>SUMIFS('Data nguồn'!J:J, 'Data nguồn'!D:D, $D16, 'Data nguồn'!F:F, $B$1, 'Data nguồn'!C:C, H$3)</f>
      </c>
      <c r="I16" s="3">
        <f>SUMIFS('Data nguồn'!J:J, 'Data nguồn'!D:D, $D16, 'Data nguồn'!F:F, $B$1, 'Data nguồn'!C:C, I$3)</f>
      </c>
      <c r="J16" s="3">
        <f>SUMIFS('Data nguồn'!J:J, 'Data nguồn'!D:D, $D16, 'Data nguồn'!F:F, $B$1, 'Data nguồn'!C:C, J$3)</f>
      </c>
      <c r="K16" s="3">
        <f>SUMIFS('Data nguồn'!J:J, 'Data nguồn'!D:D, $D16, 'Data nguồn'!F:F, $B$1, 'Data nguồn'!C:C, K$3)</f>
      </c>
      <c r="L16" s="3">
        <f>SUMIFS('Data nguồn'!J:J, 'Data nguồn'!D:D, $D16, 'Data nguồn'!F:F, $B$1, 'Data nguồn'!C:C, L$3)</f>
      </c>
      <c r="M16" s="3">
        <f>SUMIFS('Data nguồn'!J:J, 'Data nguồn'!D:D, $D16, 'Data nguồn'!F:F, $B$1, 'Data nguồn'!C:C, M$3)</f>
      </c>
      <c r="N16" s="3">
        <f>SUMIFS('Data nguồn'!J:J, 'Data nguồn'!D:D, $D16, 'Data nguồn'!F:F, $B$1, 'Data nguồn'!C:C, N$3)</f>
      </c>
      <c r="O16" s="3">
        <f>SUMIFS('Data nguồn'!J:J, 'Data nguồn'!D:D, $D16, 'Data nguồn'!F:F, $B$1, 'Data nguồn'!C:C, O$3)</f>
      </c>
      <c r="P16" s="3">
        <f>SUMIFS('Data nguồn'!J:J, 'Data nguồn'!D:D, $D16, 'Data nguồn'!F:F, $B$1, 'Data nguồn'!C:C, P$3)</f>
      </c>
      <c r="Q16" s="3">
        <f>SUMIFS('Data nguồn'!J:J, 'Data nguồn'!D:D, $D16, 'Data nguồn'!F:F, $B$1, 'Data nguồn'!C:C, Q$3)</f>
      </c>
      <c r="R16" s="3">
        <f>SUMIFS('Data nguồn'!J:J, 'Data nguồn'!D:D, $D16, 'Data nguồn'!F:F, $B$1, 'Data nguồn'!C:C, R$3)</f>
      </c>
      <c r="S16" s="3">
        <f>SUMIFS('Data nguồn'!J:J, 'Data nguồn'!D:D, $D16, 'Data nguồn'!F:F, $B$1, 'Data nguồn'!C:C, S$3)</f>
      </c>
      <c r="T16" s="3">
        <f>SUMIFS('Data nguồn'!J:J, 'Data nguồn'!D:D, $D16, 'Data nguồn'!F:F, $B$1, 'Data nguồn'!C:C, T$3)</f>
      </c>
      <c r="V16" s="3">
        <f>SUM(E16:P16)</f>
      </c>
      <c r="W16" s="3">
        <f>SUM(Q16:T16)</f>
      </c>
      <c r="X16" s="3">
        <f>AVERAGE(R16:T16)</f>
      </c>
      <c r="Y16" s="3">
        <f>AVERAGE(O16:T16)</f>
      </c>
      <c r="Z16" s="3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1:30" x14ac:dyDescent="0.25">
      <c r="A17">
        <v>14</v>
      </c>
      <c r="B17" t="s">
        <v>36</v>
      </c>
      <c r="C17" t="s">
        <v>363</v>
      </c>
      <c r="D17" s="2" t="s">
        <v>36</v>
      </c>
      <c r="E17" s="3">
        <f>SUMIFS('Data nguồn'!J:J, 'Data nguồn'!D:D, $D17, 'Data nguồn'!F:F, $B$1, 'Data nguồn'!C:C, E$3)</f>
      </c>
      <c r="F17" s="3">
        <f>SUMIFS('Data nguồn'!J:J, 'Data nguồn'!D:D, $D17, 'Data nguồn'!F:F, $B$1, 'Data nguồn'!C:C, F$3)</f>
      </c>
      <c r="G17" s="3">
        <f>SUMIFS('Data nguồn'!J:J, 'Data nguồn'!D:D, $D17, 'Data nguồn'!F:F, $B$1, 'Data nguồn'!C:C, G$3)</f>
      </c>
      <c r="H17" s="3">
        <f>SUMIFS('Data nguồn'!J:J, 'Data nguồn'!D:D, $D17, 'Data nguồn'!F:F, $B$1, 'Data nguồn'!C:C, H$3)</f>
      </c>
      <c r="I17" s="3">
        <f>SUMIFS('Data nguồn'!J:J, 'Data nguồn'!D:D, $D17, 'Data nguồn'!F:F, $B$1, 'Data nguồn'!C:C, I$3)</f>
      </c>
      <c r="J17" s="3">
        <f>SUMIFS('Data nguồn'!J:J, 'Data nguồn'!D:D, $D17, 'Data nguồn'!F:F, $B$1, 'Data nguồn'!C:C, J$3)</f>
      </c>
      <c r="K17" s="3">
        <f>SUMIFS('Data nguồn'!J:J, 'Data nguồn'!D:D, $D17, 'Data nguồn'!F:F, $B$1, 'Data nguồn'!C:C, K$3)</f>
      </c>
      <c r="L17" s="3">
        <f>SUMIFS('Data nguồn'!J:J, 'Data nguồn'!D:D, $D17, 'Data nguồn'!F:F, $B$1, 'Data nguồn'!C:C, L$3)</f>
      </c>
      <c r="M17" s="3">
        <f>SUMIFS('Data nguồn'!J:J, 'Data nguồn'!D:D, $D17, 'Data nguồn'!F:F, $B$1, 'Data nguồn'!C:C, M$3)</f>
      </c>
      <c r="N17" s="3">
        <f>SUMIFS('Data nguồn'!J:J, 'Data nguồn'!D:D, $D17, 'Data nguồn'!F:F, $B$1, 'Data nguồn'!C:C, N$3)</f>
      </c>
      <c r="O17" s="3">
        <f>SUMIFS('Data nguồn'!J:J, 'Data nguồn'!D:D, $D17, 'Data nguồn'!F:F, $B$1, 'Data nguồn'!C:C, O$3)</f>
      </c>
      <c r="P17" s="3">
        <f>SUMIFS('Data nguồn'!J:J, 'Data nguồn'!D:D, $D17, 'Data nguồn'!F:F, $B$1, 'Data nguồn'!C:C, P$3)</f>
      </c>
      <c r="Q17" s="3">
        <f>SUMIFS('Data nguồn'!J:J, 'Data nguồn'!D:D, $D17, 'Data nguồn'!F:F, $B$1, 'Data nguồn'!C:C, Q$3)</f>
      </c>
      <c r="R17" s="3">
        <f>SUMIFS('Data nguồn'!J:J, 'Data nguồn'!D:D, $D17, 'Data nguồn'!F:F, $B$1, 'Data nguồn'!C:C, R$3)</f>
      </c>
      <c r="S17" s="3">
        <f>SUMIFS('Data nguồn'!J:J, 'Data nguồn'!D:D, $D17, 'Data nguồn'!F:F, $B$1, 'Data nguồn'!C:C, S$3)</f>
      </c>
      <c r="T17" s="3">
        <f>SUMIFS('Data nguồn'!J:J, 'Data nguồn'!D:D, $D17, 'Data nguồn'!F:F, $B$1, 'Data nguồn'!C:C, T$3)</f>
      </c>
      <c r="V17" s="3">
        <f>SUM(E17:P17)</f>
      </c>
      <c r="W17" s="3">
        <f>SUM(Q17:T17)</f>
      </c>
      <c r="X17" s="3">
        <f>AVERAGE(R17:T17)</f>
      </c>
      <c r="Y17" s="3">
        <f>AVERAGE(O17:T17)</f>
      </c>
      <c r="Z17" s="3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1:30" x14ac:dyDescent="0.25">
      <c r="A18">
        <v>15</v>
      </c>
      <c r="B18" t="s">
        <v>38</v>
      </c>
      <c r="C18" t="s">
        <v>367</v>
      </c>
      <c r="D18" s="2" t="s">
        <v>38</v>
      </c>
      <c r="E18" s="3">
        <f>SUMIFS('Data nguồn'!J:J, 'Data nguồn'!D:D, $D18, 'Data nguồn'!F:F, $B$1, 'Data nguồn'!C:C, E$3)</f>
      </c>
      <c r="F18" s="3">
        <f>SUMIFS('Data nguồn'!J:J, 'Data nguồn'!D:D, $D18, 'Data nguồn'!F:F, $B$1, 'Data nguồn'!C:C, F$3)</f>
      </c>
      <c r="G18" s="3">
        <f>SUMIFS('Data nguồn'!J:J, 'Data nguồn'!D:D, $D18, 'Data nguồn'!F:F, $B$1, 'Data nguồn'!C:C, G$3)</f>
      </c>
      <c r="H18" s="3">
        <f>SUMIFS('Data nguồn'!J:J, 'Data nguồn'!D:D, $D18, 'Data nguồn'!F:F, $B$1, 'Data nguồn'!C:C, H$3)</f>
      </c>
      <c r="I18" s="3">
        <f>SUMIFS('Data nguồn'!J:J, 'Data nguồn'!D:D, $D18, 'Data nguồn'!F:F, $B$1, 'Data nguồn'!C:C, I$3)</f>
      </c>
      <c r="J18" s="3">
        <f>SUMIFS('Data nguồn'!J:J, 'Data nguồn'!D:D, $D18, 'Data nguồn'!F:F, $B$1, 'Data nguồn'!C:C, J$3)</f>
      </c>
      <c r="K18" s="3">
        <f>SUMIFS('Data nguồn'!J:J, 'Data nguồn'!D:D, $D18, 'Data nguồn'!F:F, $B$1, 'Data nguồn'!C:C, K$3)</f>
      </c>
      <c r="L18" s="3">
        <f>SUMIFS('Data nguồn'!J:J, 'Data nguồn'!D:D, $D18, 'Data nguồn'!F:F, $B$1, 'Data nguồn'!C:C, L$3)</f>
      </c>
      <c r="M18" s="3">
        <f>SUMIFS('Data nguồn'!J:J, 'Data nguồn'!D:D, $D18, 'Data nguồn'!F:F, $B$1, 'Data nguồn'!C:C, M$3)</f>
      </c>
      <c r="N18" s="3">
        <f>SUMIFS('Data nguồn'!J:J, 'Data nguồn'!D:D, $D18, 'Data nguồn'!F:F, $B$1, 'Data nguồn'!C:C, N$3)</f>
      </c>
      <c r="O18" s="3">
        <f>SUMIFS('Data nguồn'!J:J, 'Data nguồn'!D:D, $D18, 'Data nguồn'!F:F, $B$1, 'Data nguồn'!C:C, O$3)</f>
      </c>
      <c r="P18" s="3">
        <f>SUMIFS('Data nguồn'!J:J, 'Data nguồn'!D:D, $D18, 'Data nguồn'!F:F, $B$1, 'Data nguồn'!C:C, P$3)</f>
      </c>
      <c r="Q18" s="3">
        <f>SUMIFS('Data nguồn'!J:J, 'Data nguồn'!D:D, $D18, 'Data nguồn'!F:F, $B$1, 'Data nguồn'!C:C, Q$3)</f>
      </c>
      <c r="R18" s="3">
        <f>SUMIFS('Data nguồn'!J:J, 'Data nguồn'!D:D, $D18, 'Data nguồn'!F:F, $B$1, 'Data nguồn'!C:C, R$3)</f>
      </c>
      <c r="S18" s="3">
        <f>SUMIFS('Data nguồn'!J:J, 'Data nguồn'!D:D, $D18, 'Data nguồn'!F:F, $B$1, 'Data nguồn'!C:C, S$3)</f>
      </c>
      <c r="T18" s="3">
        <f>SUMIFS('Data nguồn'!J:J, 'Data nguồn'!D:D, $D18, 'Data nguồn'!F:F, $B$1, 'Data nguồn'!C:C, T$3)</f>
      </c>
      <c r="V18" s="3">
        <f>SUM(E18:P18)</f>
      </c>
      <c r="W18" s="3">
        <f>SUM(Q18:T18)</f>
      </c>
      <c r="X18" s="3">
        <f>AVERAGE(R18:T18)</f>
      </c>
      <c r="Y18" s="3">
        <f>AVERAGE(O18:T18)</f>
      </c>
      <c r="Z18" s="3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1:30" x14ac:dyDescent="0.25">
      <c r="A19">
        <v>16</v>
      </c>
      <c r="B19" t="s">
        <v>40</v>
      </c>
      <c r="C19" t="s">
        <v>369</v>
      </c>
      <c r="D19" s="2" t="s">
        <v>40</v>
      </c>
      <c r="E19" s="3">
        <f>SUMIFS('Data nguồn'!J:J, 'Data nguồn'!D:D, $D19, 'Data nguồn'!F:F, $B$1, 'Data nguồn'!C:C, E$3)</f>
      </c>
      <c r="F19" s="3">
        <f>SUMIFS('Data nguồn'!J:J, 'Data nguồn'!D:D, $D19, 'Data nguồn'!F:F, $B$1, 'Data nguồn'!C:C, F$3)</f>
      </c>
      <c r="G19" s="3">
        <f>SUMIFS('Data nguồn'!J:J, 'Data nguồn'!D:D, $D19, 'Data nguồn'!F:F, $B$1, 'Data nguồn'!C:C, G$3)</f>
      </c>
      <c r="H19" s="3">
        <f>SUMIFS('Data nguồn'!J:J, 'Data nguồn'!D:D, $D19, 'Data nguồn'!F:F, $B$1, 'Data nguồn'!C:C, H$3)</f>
      </c>
      <c r="I19" s="3">
        <f>SUMIFS('Data nguồn'!J:J, 'Data nguồn'!D:D, $D19, 'Data nguồn'!F:F, $B$1, 'Data nguồn'!C:C, I$3)</f>
      </c>
      <c r="J19" s="3">
        <f>SUMIFS('Data nguồn'!J:J, 'Data nguồn'!D:D, $D19, 'Data nguồn'!F:F, $B$1, 'Data nguồn'!C:C, J$3)</f>
      </c>
      <c r="K19" s="3">
        <f>SUMIFS('Data nguồn'!J:J, 'Data nguồn'!D:D, $D19, 'Data nguồn'!F:F, $B$1, 'Data nguồn'!C:C, K$3)</f>
      </c>
      <c r="L19" s="3">
        <f>SUMIFS('Data nguồn'!J:J, 'Data nguồn'!D:D, $D19, 'Data nguồn'!F:F, $B$1, 'Data nguồn'!C:C, L$3)</f>
      </c>
      <c r="M19" s="3">
        <f>SUMIFS('Data nguồn'!J:J, 'Data nguồn'!D:D, $D19, 'Data nguồn'!F:F, $B$1, 'Data nguồn'!C:C, M$3)</f>
      </c>
      <c r="N19" s="3">
        <f>SUMIFS('Data nguồn'!J:J, 'Data nguồn'!D:D, $D19, 'Data nguồn'!F:F, $B$1, 'Data nguồn'!C:C, N$3)</f>
      </c>
      <c r="O19" s="3">
        <f>SUMIFS('Data nguồn'!J:J, 'Data nguồn'!D:D, $D19, 'Data nguồn'!F:F, $B$1, 'Data nguồn'!C:C, O$3)</f>
      </c>
      <c r="P19" s="3">
        <f>SUMIFS('Data nguồn'!J:J, 'Data nguồn'!D:D, $D19, 'Data nguồn'!F:F, $B$1, 'Data nguồn'!C:C, P$3)</f>
      </c>
      <c r="Q19" s="3">
        <f>SUMIFS('Data nguồn'!J:J, 'Data nguồn'!D:D, $D19, 'Data nguồn'!F:F, $B$1, 'Data nguồn'!C:C, Q$3)</f>
      </c>
      <c r="R19" s="3">
        <f>SUMIFS('Data nguồn'!J:J, 'Data nguồn'!D:D, $D19, 'Data nguồn'!F:F, $B$1, 'Data nguồn'!C:C, R$3)</f>
      </c>
      <c r="S19" s="3">
        <f>SUMIFS('Data nguồn'!J:J, 'Data nguồn'!D:D, $D19, 'Data nguồn'!F:F, $B$1, 'Data nguồn'!C:C, S$3)</f>
      </c>
      <c r="T19" s="3">
        <f>SUMIFS('Data nguồn'!J:J, 'Data nguồn'!D:D, $D19, 'Data nguồn'!F:F, $B$1, 'Data nguồn'!C:C, T$3)</f>
      </c>
      <c r="V19" s="3">
        <f>SUM(E19:P19)</f>
      </c>
      <c r="W19" s="3">
        <f>SUM(Q19:T19)</f>
      </c>
      <c r="X19" s="3">
        <f>AVERAGE(R19:T19)</f>
      </c>
      <c r="Y19" s="3">
        <f>AVERAGE(O19:T19)</f>
      </c>
      <c r="Z19" s="3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1:30" x14ac:dyDescent="0.25">
      <c r="A20">
        <v>17</v>
      </c>
      <c r="B20" t="s">
        <v>42</v>
      </c>
      <c r="C20" t="s">
        <v>367</v>
      </c>
      <c r="D20" s="2" t="s">
        <v>42</v>
      </c>
      <c r="E20" s="3">
        <f>SUMIFS('Data nguồn'!J:J, 'Data nguồn'!D:D, $D20, 'Data nguồn'!F:F, $B$1, 'Data nguồn'!C:C, E$3)</f>
      </c>
      <c r="F20" s="3">
        <f>SUMIFS('Data nguồn'!J:J, 'Data nguồn'!D:D, $D20, 'Data nguồn'!F:F, $B$1, 'Data nguồn'!C:C, F$3)</f>
      </c>
      <c r="G20" s="3">
        <f>SUMIFS('Data nguồn'!J:J, 'Data nguồn'!D:D, $D20, 'Data nguồn'!F:F, $B$1, 'Data nguồn'!C:C, G$3)</f>
      </c>
      <c r="H20" s="3">
        <f>SUMIFS('Data nguồn'!J:J, 'Data nguồn'!D:D, $D20, 'Data nguồn'!F:F, $B$1, 'Data nguồn'!C:C, H$3)</f>
      </c>
      <c r="I20" s="3">
        <f>SUMIFS('Data nguồn'!J:J, 'Data nguồn'!D:D, $D20, 'Data nguồn'!F:F, $B$1, 'Data nguồn'!C:C, I$3)</f>
      </c>
      <c r="J20" s="3">
        <f>SUMIFS('Data nguồn'!J:J, 'Data nguồn'!D:D, $D20, 'Data nguồn'!F:F, $B$1, 'Data nguồn'!C:C, J$3)</f>
      </c>
      <c r="K20" s="3">
        <f>SUMIFS('Data nguồn'!J:J, 'Data nguồn'!D:D, $D20, 'Data nguồn'!F:F, $B$1, 'Data nguồn'!C:C, K$3)</f>
      </c>
      <c r="L20" s="3">
        <f>SUMIFS('Data nguồn'!J:J, 'Data nguồn'!D:D, $D20, 'Data nguồn'!F:F, $B$1, 'Data nguồn'!C:C, L$3)</f>
      </c>
      <c r="M20" s="3">
        <f>SUMIFS('Data nguồn'!J:J, 'Data nguồn'!D:D, $D20, 'Data nguồn'!F:F, $B$1, 'Data nguồn'!C:C, M$3)</f>
      </c>
      <c r="N20" s="3">
        <f>SUMIFS('Data nguồn'!J:J, 'Data nguồn'!D:D, $D20, 'Data nguồn'!F:F, $B$1, 'Data nguồn'!C:C, N$3)</f>
      </c>
      <c r="O20" s="3">
        <f>SUMIFS('Data nguồn'!J:J, 'Data nguồn'!D:D, $D20, 'Data nguồn'!F:F, $B$1, 'Data nguồn'!C:C, O$3)</f>
      </c>
      <c r="P20" s="3">
        <f>SUMIFS('Data nguồn'!J:J, 'Data nguồn'!D:D, $D20, 'Data nguồn'!F:F, $B$1, 'Data nguồn'!C:C, P$3)</f>
      </c>
      <c r="Q20" s="3">
        <f>SUMIFS('Data nguồn'!J:J, 'Data nguồn'!D:D, $D20, 'Data nguồn'!F:F, $B$1, 'Data nguồn'!C:C, Q$3)</f>
      </c>
      <c r="R20" s="3">
        <f>SUMIFS('Data nguồn'!J:J, 'Data nguồn'!D:D, $D20, 'Data nguồn'!F:F, $B$1, 'Data nguồn'!C:C, R$3)</f>
      </c>
      <c r="S20" s="3">
        <f>SUMIFS('Data nguồn'!J:J, 'Data nguồn'!D:D, $D20, 'Data nguồn'!F:F, $B$1, 'Data nguồn'!C:C, S$3)</f>
      </c>
      <c r="T20" s="3">
        <f>SUMIFS('Data nguồn'!J:J, 'Data nguồn'!D:D, $D20, 'Data nguồn'!F:F, $B$1, 'Data nguồn'!C:C, T$3)</f>
      </c>
      <c r="V20" s="3">
        <f>SUM(E20:P20)</f>
      </c>
      <c r="W20" s="3">
        <f>SUM(Q20:T20)</f>
      </c>
      <c r="X20" s="3">
        <f>AVERAGE(R20:T20)</f>
      </c>
      <c r="Y20" s="3">
        <f>AVERAGE(O20:T20)</f>
      </c>
      <c r="Z20" s="3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1:30" x14ac:dyDescent="0.25">
      <c r="A21">
        <v>18</v>
      </c>
      <c r="B21" t="s">
        <v>44</v>
      </c>
      <c r="C21" t="s">
        <v>367</v>
      </c>
      <c r="D21" s="2" t="s">
        <v>44</v>
      </c>
      <c r="E21" s="3">
        <f>SUMIFS('Data nguồn'!J:J, 'Data nguồn'!D:D, $D21, 'Data nguồn'!F:F, $B$1, 'Data nguồn'!C:C, E$3)</f>
      </c>
      <c r="F21" s="3">
        <f>SUMIFS('Data nguồn'!J:J, 'Data nguồn'!D:D, $D21, 'Data nguồn'!F:F, $B$1, 'Data nguồn'!C:C, F$3)</f>
      </c>
      <c r="G21" s="3">
        <f>SUMIFS('Data nguồn'!J:J, 'Data nguồn'!D:D, $D21, 'Data nguồn'!F:F, $B$1, 'Data nguồn'!C:C, G$3)</f>
      </c>
      <c r="H21" s="3">
        <f>SUMIFS('Data nguồn'!J:J, 'Data nguồn'!D:D, $D21, 'Data nguồn'!F:F, $B$1, 'Data nguồn'!C:C, H$3)</f>
      </c>
      <c r="I21" s="3">
        <f>SUMIFS('Data nguồn'!J:J, 'Data nguồn'!D:D, $D21, 'Data nguồn'!F:F, $B$1, 'Data nguồn'!C:C, I$3)</f>
      </c>
      <c r="J21" s="3">
        <f>SUMIFS('Data nguồn'!J:J, 'Data nguồn'!D:D, $D21, 'Data nguồn'!F:F, $B$1, 'Data nguồn'!C:C, J$3)</f>
      </c>
      <c r="K21" s="3">
        <f>SUMIFS('Data nguồn'!J:J, 'Data nguồn'!D:D, $D21, 'Data nguồn'!F:F, $B$1, 'Data nguồn'!C:C, K$3)</f>
      </c>
      <c r="L21" s="3">
        <f>SUMIFS('Data nguồn'!J:J, 'Data nguồn'!D:D, $D21, 'Data nguồn'!F:F, $B$1, 'Data nguồn'!C:C, L$3)</f>
      </c>
      <c r="M21" s="3">
        <f>SUMIFS('Data nguồn'!J:J, 'Data nguồn'!D:D, $D21, 'Data nguồn'!F:F, $B$1, 'Data nguồn'!C:C, M$3)</f>
      </c>
      <c r="N21" s="3">
        <f>SUMIFS('Data nguồn'!J:J, 'Data nguồn'!D:D, $D21, 'Data nguồn'!F:F, $B$1, 'Data nguồn'!C:C, N$3)</f>
      </c>
      <c r="O21" s="3">
        <f>SUMIFS('Data nguồn'!J:J, 'Data nguồn'!D:D, $D21, 'Data nguồn'!F:F, $B$1, 'Data nguồn'!C:C, O$3)</f>
      </c>
      <c r="P21" s="3">
        <f>SUMIFS('Data nguồn'!J:J, 'Data nguồn'!D:D, $D21, 'Data nguồn'!F:F, $B$1, 'Data nguồn'!C:C, P$3)</f>
      </c>
      <c r="Q21" s="3">
        <f>SUMIFS('Data nguồn'!J:J, 'Data nguồn'!D:D, $D21, 'Data nguồn'!F:F, $B$1, 'Data nguồn'!C:C, Q$3)</f>
      </c>
      <c r="R21" s="3">
        <f>SUMIFS('Data nguồn'!J:J, 'Data nguồn'!D:D, $D21, 'Data nguồn'!F:F, $B$1, 'Data nguồn'!C:C, R$3)</f>
      </c>
      <c r="S21" s="3">
        <f>SUMIFS('Data nguồn'!J:J, 'Data nguồn'!D:D, $D21, 'Data nguồn'!F:F, $B$1, 'Data nguồn'!C:C, S$3)</f>
      </c>
      <c r="T21" s="3">
        <f>SUMIFS('Data nguồn'!J:J, 'Data nguồn'!D:D, $D21, 'Data nguồn'!F:F, $B$1, 'Data nguồn'!C:C, T$3)</f>
      </c>
      <c r="V21" s="3">
        <f>SUM(E21:P21)</f>
      </c>
      <c r="W21" s="3">
        <f>SUM(Q21:T21)</f>
      </c>
      <c r="X21" s="3">
        <f>AVERAGE(R21:T21)</f>
      </c>
      <c r="Y21" s="3">
        <f>AVERAGE(O21:T21)</f>
      </c>
      <c r="Z21" s="3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1:30" x14ac:dyDescent="0.25">
      <c r="A22">
        <v>19</v>
      </c>
      <c r="B22" t="s">
        <v>46</v>
      </c>
      <c r="C22" t="s">
        <v>367</v>
      </c>
      <c r="D22" s="2" t="s">
        <v>46</v>
      </c>
      <c r="E22" s="3">
        <f>SUMIFS('Data nguồn'!J:J, 'Data nguồn'!D:D, $D22, 'Data nguồn'!F:F, $B$1, 'Data nguồn'!C:C, E$3)</f>
      </c>
      <c r="F22" s="3">
        <f>SUMIFS('Data nguồn'!J:J, 'Data nguồn'!D:D, $D22, 'Data nguồn'!F:F, $B$1, 'Data nguồn'!C:C, F$3)</f>
      </c>
      <c r="G22" s="3">
        <f>SUMIFS('Data nguồn'!J:J, 'Data nguồn'!D:D, $D22, 'Data nguồn'!F:F, $B$1, 'Data nguồn'!C:C, G$3)</f>
      </c>
      <c r="H22" s="3">
        <f>SUMIFS('Data nguồn'!J:J, 'Data nguồn'!D:D, $D22, 'Data nguồn'!F:F, $B$1, 'Data nguồn'!C:C, H$3)</f>
      </c>
      <c r="I22" s="3">
        <f>SUMIFS('Data nguồn'!J:J, 'Data nguồn'!D:D, $D22, 'Data nguồn'!F:F, $B$1, 'Data nguồn'!C:C, I$3)</f>
      </c>
      <c r="J22" s="3">
        <f>SUMIFS('Data nguồn'!J:J, 'Data nguồn'!D:D, $D22, 'Data nguồn'!F:F, $B$1, 'Data nguồn'!C:C, J$3)</f>
      </c>
      <c r="K22" s="3">
        <f>SUMIFS('Data nguồn'!J:J, 'Data nguồn'!D:D, $D22, 'Data nguồn'!F:F, $B$1, 'Data nguồn'!C:C, K$3)</f>
      </c>
      <c r="L22" s="3">
        <f>SUMIFS('Data nguồn'!J:J, 'Data nguồn'!D:D, $D22, 'Data nguồn'!F:F, $B$1, 'Data nguồn'!C:C, L$3)</f>
      </c>
      <c r="M22" s="3">
        <f>SUMIFS('Data nguồn'!J:J, 'Data nguồn'!D:D, $D22, 'Data nguồn'!F:F, $B$1, 'Data nguồn'!C:C, M$3)</f>
      </c>
      <c r="N22" s="3">
        <f>SUMIFS('Data nguồn'!J:J, 'Data nguồn'!D:D, $D22, 'Data nguồn'!F:F, $B$1, 'Data nguồn'!C:C, N$3)</f>
      </c>
      <c r="O22" s="3">
        <f>SUMIFS('Data nguồn'!J:J, 'Data nguồn'!D:D, $D22, 'Data nguồn'!F:F, $B$1, 'Data nguồn'!C:C, O$3)</f>
      </c>
      <c r="P22" s="3">
        <f>SUMIFS('Data nguồn'!J:J, 'Data nguồn'!D:D, $D22, 'Data nguồn'!F:F, $B$1, 'Data nguồn'!C:C, P$3)</f>
      </c>
      <c r="Q22" s="3">
        <f>SUMIFS('Data nguồn'!J:J, 'Data nguồn'!D:D, $D22, 'Data nguồn'!F:F, $B$1, 'Data nguồn'!C:C, Q$3)</f>
      </c>
      <c r="R22" s="3">
        <f>SUMIFS('Data nguồn'!J:J, 'Data nguồn'!D:D, $D22, 'Data nguồn'!F:F, $B$1, 'Data nguồn'!C:C, R$3)</f>
      </c>
      <c r="S22" s="3">
        <f>SUMIFS('Data nguồn'!J:J, 'Data nguồn'!D:D, $D22, 'Data nguồn'!F:F, $B$1, 'Data nguồn'!C:C, S$3)</f>
      </c>
      <c r="T22" s="3">
        <f>SUMIFS('Data nguồn'!J:J, 'Data nguồn'!D:D, $D22, 'Data nguồn'!F:F, $B$1, 'Data nguồn'!C:C, T$3)</f>
      </c>
      <c r="V22" s="3">
        <f>SUM(E22:P22)</f>
      </c>
      <c r="W22" s="3">
        <f>SUM(Q22:T22)</f>
      </c>
      <c r="X22" s="3">
        <f>AVERAGE(R22:T22)</f>
      </c>
      <c r="Y22" s="3">
        <f>AVERAGE(O22:T22)</f>
      </c>
      <c r="Z22" s="3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1:30" x14ac:dyDescent="0.25">
      <c r="A23">
        <v>20</v>
      </c>
      <c r="B23" t="s">
        <v>48</v>
      </c>
      <c r="C23" t="s">
        <v>367</v>
      </c>
      <c r="D23" s="2" t="s">
        <v>48</v>
      </c>
      <c r="E23" s="3">
        <f>SUMIFS('Data nguồn'!J:J, 'Data nguồn'!D:D, $D23, 'Data nguồn'!F:F, $B$1, 'Data nguồn'!C:C, E$3)</f>
      </c>
      <c r="F23" s="3">
        <f>SUMIFS('Data nguồn'!J:J, 'Data nguồn'!D:D, $D23, 'Data nguồn'!F:F, $B$1, 'Data nguồn'!C:C, F$3)</f>
      </c>
      <c r="G23" s="3">
        <f>SUMIFS('Data nguồn'!J:J, 'Data nguồn'!D:D, $D23, 'Data nguồn'!F:F, $B$1, 'Data nguồn'!C:C, G$3)</f>
      </c>
      <c r="H23" s="3">
        <f>SUMIFS('Data nguồn'!J:J, 'Data nguồn'!D:D, $D23, 'Data nguồn'!F:F, $B$1, 'Data nguồn'!C:C, H$3)</f>
      </c>
      <c r="I23" s="3">
        <f>SUMIFS('Data nguồn'!J:J, 'Data nguồn'!D:D, $D23, 'Data nguồn'!F:F, $B$1, 'Data nguồn'!C:C, I$3)</f>
      </c>
      <c r="J23" s="3">
        <f>SUMIFS('Data nguồn'!J:J, 'Data nguồn'!D:D, $D23, 'Data nguồn'!F:F, $B$1, 'Data nguồn'!C:C, J$3)</f>
      </c>
      <c r="K23" s="3">
        <f>SUMIFS('Data nguồn'!J:J, 'Data nguồn'!D:D, $D23, 'Data nguồn'!F:F, $B$1, 'Data nguồn'!C:C, K$3)</f>
      </c>
      <c r="L23" s="3">
        <f>SUMIFS('Data nguồn'!J:J, 'Data nguồn'!D:D, $D23, 'Data nguồn'!F:F, $B$1, 'Data nguồn'!C:C, L$3)</f>
      </c>
      <c r="M23" s="3">
        <f>SUMIFS('Data nguồn'!J:J, 'Data nguồn'!D:D, $D23, 'Data nguồn'!F:F, $B$1, 'Data nguồn'!C:C, M$3)</f>
      </c>
      <c r="N23" s="3">
        <f>SUMIFS('Data nguồn'!J:J, 'Data nguồn'!D:D, $D23, 'Data nguồn'!F:F, $B$1, 'Data nguồn'!C:C, N$3)</f>
      </c>
      <c r="O23" s="3">
        <f>SUMIFS('Data nguồn'!J:J, 'Data nguồn'!D:D, $D23, 'Data nguồn'!F:F, $B$1, 'Data nguồn'!C:C, O$3)</f>
      </c>
      <c r="P23" s="3">
        <f>SUMIFS('Data nguồn'!J:J, 'Data nguồn'!D:D, $D23, 'Data nguồn'!F:F, $B$1, 'Data nguồn'!C:C, P$3)</f>
      </c>
      <c r="Q23" s="3">
        <f>SUMIFS('Data nguồn'!J:J, 'Data nguồn'!D:D, $D23, 'Data nguồn'!F:F, $B$1, 'Data nguồn'!C:C, Q$3)</f>
      </c>
      <c r="R23" s="3">
        <f>SUMIFS('Data nguồn'!J:J, 'Data nguồn'!D:D, $D23, 'Data nguồn'!F:F, $B$1, 'Data nguồn'!C:C, R$3)</f>
      </c>
      <c r="S23" s="3">
        <f>SUMIFS('Data nguồn'!J:J, 'Data nguồn'!D:D, $D23, 'Data nguồn'!F:F, $B$1, 'Data nguồn'!C:C, S$3)</f>
      </c>
      <c r="T23" s="3">
        <f>SUMIFS('Data nguồn'!J:J, 'Data nguồn'!D:D, $D23, 'Data nguồn'!F:F, $B$1, 'Data nguồn'!C:C, T$3)</f>
      </c>
      <c r="V23" s="3">
        <f>SUM(E23:P23)</f>
      </c>
      <c r="W23" s="3">
        <f>SUM(Q23:T23)</f>
      </c>
      <c r="X23" s="3">
        <f>AVERAGE(R23:T23)</f>
      </c>
      <c r="Y23" s="3">
        <f>AVERAGE(O23:T23)</f>
      </c>
      <c r="Z23" s="3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1:30" x14ac:dyDescent="0.25">
      <c r="A24">
        <v>21</v>
      </c>
      <c r="B24" t="s">
        <v>52</v>
      </c>
      <c r="C24" t="s">
        <v>396</v>
      </c>
      <c r="D24" s="2" t="s">
        <v>52</v>
      </c>
      <c r="E24" s="3">
        <f>SUMIFS('Data nguồn'!J:J, 'Data nguồn'!D:D, $D24, 'Data nguồn'!F:F, $B$1, 'Data nguồn'!C:C, E$3)</f>
      </c>
      <c r="F24" s="3">
        <f>SUMIFS('Data nguồn'!J:J, 'Data nguồn'!D:D, $D24, 'Data nguồn'!F:F, $B$1, 'Data nguồn'!C:C, F$3)</f>
      </c>
      <c r="G24" s="3">
        <f>SUMIFS('Data nguồn'!J:J, 'Data nguồn'!D:D, $D24, 'Data nguồn'!F:F, $B$1, 'Data nguồn'!C:C, G$3)</f>
      </c>
      <c r="H24" s="3">
        <f>SUMIFS('Data nguồn'!J:J, 'Data nguồn'!D:D, $D24, 'Data nguồn'!F:F, $B$1, 'Data nguồn'!C:C, H$3)</f>
      </c>
      <c r="I24" s="3">
        <f>SUMIFS('Data nguồn'!J:J, 'Data nguồn'!D:D, $D24, 'Data nguồn'!F:F, $B$1, 'Data nguồn'!C:C, I$3)</f>
      </c>
      <c r="J24" s="3">
        <f>SUMIFS('Data nguồn'!J:J, 'Data nguồn'!D:D, $D24, 'Data nguồn'!F:F, $B$1, 'Data nguồn'!C:C, J$3)</f>
      </c>
      <c r="K24" s="3">
        <f>SUMIFS('Data nguồn'!J:J, 'Data nguồn'!D:D, $D24, 'Data nguồn'!F:F, $B$1, 'Data nguồn'!C:C, K$3)</f>
      </c>
      <c r="L24" s="3">
        <f>SUMIFS('Data nguồn'!J:J, 'Data nguồn'!D:D, $D24, 'Data nguồn'!F:F, $B$1, 'Data nguồn'!C:C, L$3)</f>
      </c>
      <c r="M24" s="3">
        <f>SUMIFS('Data nguồn'!J:J, 'Data nguồn'!D:D, $D24, 'Data nguồn'!F:F, $B$1, 'Data nguồn'!C:C, M$3)</f>
      </c>
      <c r="N24" s="3">
        <f>SUMIFS('Data nguồn'!J:J, 'Data nguồn'!D:D, $D24, 'Data nguồn'!F:F, $B$1, 'Data nguồn'!C:C, N$3)</f>
      </c>
      <c r="O24" s="3">
        <f>SUMIFS('Data nguồn'!J:J, 'Data nguồn'!D:D, $D24, 'Data nguồn'!F:F, $B$1, 'Data nguồn'!C:C, O$3)</f>
      </c>
      <c r="P24" s="3">
        <f>SUMIFS('Data nguồn'!J:J, 'Data nguồn'!D:D, $D24, 'Data nguồn'!F:F, $B$1, 'Data nguồn'!C:C, P$3)</f>
      </c>
      <c r="Q24" s="3">
        <f>SUMIFS('Data nguồn'!J:J, 'Data nguồn'!D:D, $D24, 'Data nguồn'!F:F, $B$1, 'Data nguồn'!C:C, Q$3)</f>
      </c>
      <c r="R24" s="3">
        <f>SUMIFS('Data nguồn'!J:J, 'Data nguồn'!D:D, $D24, 'Data nguồn'!F:F, $B$1, 'Data nguồn'!C:C, R$3)</f>
      </c>
      <c r="S24" s="3">
        <f>SUMIFS('Data nguồn'!J:J, 'Data nguồn'!D:D, $D24, 'Data nguồn'!F:F, $B$1, 'Data nguồn'!C:C, S$3)</f>
      </c>
      <c r="T24" s="3">
        <f>SUMIFS('Data nguồn'!J:J, 'Data nguồn'!D:D, $D24, 'Data nguồn'!F:F, $B$1, 'Data nguồn'!C:C, T$3)</f>
      </c>
      <c r="V24" s="3">
        <f>SUM(E24:P24)</f>
      </c>
      <c r="W24" s="3">
        <f>SUM(Q24:T24)</f>
      </c>
      <c r="X24" s="3">
        <f>AVERAGE(R24:T24)</f>
      </c>
      <c r="Y24" s="3">
        <f>AVERAGE(O24:T24)</f>
      </c>
      <c r="Z24" s="3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1:30" x14ac:dyDescent="0.25">
      <c r="A25">
        <v>22</v>
      </c>
      <c r="B25" t="s">
        <v>58</v>
      </c>
      <c r="C25" t="s">
        <v>363</v>
      </c>
      <c r="D25" s="2" t="s">
        <v>58</v>
      </c>
      <c r="E25" s="3">
        <f>SUMIFS('Data nguồn'!J:J, 'Data nguồn'!D:D, $D25, 'Data nguồn'!F:F, $B$1, 'Data nguồn'!C:C, E$3)</f>
      </c>
      <c r="F25" s="3">
        <f>SUMIFS('Data nguồn'!J:J, 'Data nguồn'!D:D, $D25, 'Data nguồn'!F:F, $B$1, 'Data nguồn'!C:C, F$3)</f>
      </c>
      <c r="G25" s="3">
        <f>SUMIFS('Data nguồn'!J:J, 'Data nguồn'!D:D, $D25, 'Data nguồn'!F:F, $B$1, 'Data nguồn'!C:C, G$3)</f>
      </c>
      <c r="H25" s="3">
        <f>SUMIFS('Data nguồn'!J:J, 'Data nguồn'!D:D, $D25, 'Data nguồn'!F:F, $B$1, 'Data nguồn'!C:C, H$3)</f>
      </c>
      <c r="I25" s="3">
        <f>SUMIFS('Data nguồn'!J:J, 'Data nguồn'!D:D, $D25, 'Data nguồn'!F:F, $B$1, 'Data nguồn'!C:C, I$3)</f>
      </c>
      <c r="J25" s="3">
        <f>SUMIFS('Data nguồn'!J:J, 'Data nguồn'!D:D, $D25, 'Data nguồn'!F:F, $B$1, 'Data nguồn'!C:C, J$3)</f>
      </c>
      <c r="K25" s="3">
        <f>SUMIFS('Data nguồn'!J:J, 'Data nguồn'!D:D, $D25, 'Data nguồn'!F:F, $B$1, 'Data nguồn'!C:C, K$3)</f>
      </c>
      <c r="L25" s="3">
        <f>SUMIFS('Data nguồn'!J:J, 'Data nguồn'!D:D, $D25, 'Data nguồn'!F:F, $B$1, 'Data nguồn'!C:C, L$3)</f>
      </c>
      <c r="M25" s="3">
        <f>SUMIFS('Data nguồn'!J:J, 'Data nguồn'!D:D, $D25, 'Data nguồn'!F:F, $B$1, 'Data nguồn'!C:C, M$3)</f>
      </c>
      <c r="N25" s="3">
        <f>SUMIFS('Data nguồn'!J:J, 'Data nguồn'!D:D, $D25, 'Data nguồn'!F:F, $B$1, 'Data nguồn'!C:C, N$3)</f>
      </c>
      <c r="O25" s="3">
        <f>SUMIFS('Data nguồn'!J:J, 'Data nguồn'!D:D, $D25, 'Data nguồn'!F:F, $B$1, 'Data nguồn'!C:C, O$3)</f>
      </c>
      <c r="P25" s="3">
        <f>SUMIFS('Data nguồn'!J:J, 'Data nguồn'!D:D, $D25, 'Data nguồn'!F:F, $B$1, 'Data nguồn'!C:C, P$3)</f>
      </c>
      <c r="Q25" s="3">
        <f>SUMIFS('Data nguồn'!J:J, 'Data nguồn'!D:D, $D25, 'Data nguồn'!F:F, $B$1, 'Data nguồn'!C:C, Q$3)</f>
      </c>
      <c r="R25" s="3">
        <f>SUMIFS('Data nguồn'!J:J, 'Data nguồn'!D:D, $D25, 'Data nguồn'!F:F, $B$1, 'Data nguồn'!C:C, R$3)</f>
      </c>
      <c r="S25" s="3">
        <f>SUMIFS('Data nguồn'!J:J, 'Data nguồn'!D:D, $D25, 'Data nguồn'!F:F, $B$1, 'Data nguồn'!C:C, S$3)</f>
      </c>
      <c r="T25" s="3">
        <f>SUMIFS('Data nguồn'!J:J, 'Data nguồn'!D:D, $D25, 'Data nguồn'!F:F, $B$1, 'Data nguồn'!C:C, T$3)</f>
      </c>
      <c r="V25" s="3">
        <f>SUM(E25:P25)</f>
      </c>
      <c r="W25" s="3">
        <f>SUM(Q25:T25)</f>
      </c>
      <c r="X25" s="3">
        <f>AVERAGE(R25:T25)</f>
      </c>
      <c r="Y25" s="3">
        <f>AVERAGE(O25:T25)</f>
      </c>
      <c r="Z25" s="3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1:30" x14ac:dyDescent="0.25">
      <c r="A26">
        <v>23</v>
      </c>
      <c r="B26" t="s">
        <v>64</v>
      </c>
      <c r="C26" t="s">
        <v>369</v>
      </c>
      <c r="D26" s="2" t="s">
        <v>64</v>
      </c>
      <c r="E26" s="3">
        <f>SUMIFS('Data nguồn'!J:J, 'Data nguồn'!D:D, $D26, 'Data nguồn'!F:F, $B$1, 'Data nguồn'!C:C, E$3)</f>
      </c>
      <c r="F26" s="3">
        <f>SUMIFS('Data nguồn'!J:J, 'Data nguồn'!D:D, $D26, 'Data nguồn'!F:F, $B$1, 'Data nguồn'!C:C, F$3)</f>
      </c>
      <c r="G26" s="3">
        <f>SUMIFS('Data nguồn'!J:J, 'Data nguồn'!D:D, $D26, 'Data nguồn'!F:F, $B$1, 'Data nguồn'!C:C, G$3)</f>
      </c>
      <c r="H26" s="3">
        <f>SUMIFS('Data nguồn'!J:J, 'Data nguồn'!D:D, $D26, 'Data nguồn'!F:F, $B$1, 'Data nguồn'!C:C, H$3)</f>
      </c>
      <c r="I26" s="3">
        <f>SUMIFS('Data nguồn'!J:J, 'Data nguồn'!D:D, $D26, 'Data nguồn'!F:F, $B$1, 'Data nguồn'!C:C, I$3)</f>
      </c>
      <c r="J26" s="3">
        <f>SUMIFS('Data nguồn'!J:J, 'Data nguồn'!D:D, $D26, 'Data nguồn'!F:F, $B$1, 'Data nguồn'!C:C, J$3)</f>
      </c>
      <c r="K26" s="3">
        <f>SUMIFS('Data nguồn'!J:J, 'Data nguồn'!D:D, $D26, 'Data nguồn'!F:F, $B$1, 'Data nguồn'!C:C, K$3)</f>
      </c>
      <c r="L26" s="3">
        <f>SUMIFS('Data nguồn'!J:J, 'Data nguồn'!D:D, $D26, 'Data nguồn'!F:F, $B$1, 'Data nguồn'!C:C, L$3)</f>
      </c>
      <c r="M26" s="3">
        <f>SUMIFS('Data nguồn'!J:J, 'Data nguồn'!D:D, $D26, 'Data nguồn'!F:F, $B$1, 'Data nguồn'!C:C, M$3)</f>
      </c>
      <c r="N26" s="3">
        <f>SUMIFS('Data nguồn'!J:J, 'Data nguồn'!D:D, $D26, 'Data nguồn'!F:F, $B$1, 'Data nguồn'!C:C, N$3)</f>
      </c>
      <c r="O26" s="3">
        <f>SUMIFS('Data nguồn'!J:J, 'Data nguồn'!D:D, $D26, 'Data nguồn'!F:F, $B$1, 'Data nguồn'!C:C, O$3)</f>
      </c>
      <c r="P26" s="3">
        <f>SUMIFS('Data nguồn'!J:J, 'Data nguồn'!D:D, $D26, 'Data nguồn'!F:F, $B$1, 'Data nguồn'!C:C, P$3)</f>
      </c>
      <c r="Q26" s="3">
        <f>SUMIFS('Data nguồn'!J:J, 'Data nguồn'!D:D, $D26, 'Data nguồn'!F:F, $B$1, 'Data nguồn'!C:C, Q$3)</f>
      </c>
      <c r="R26" s="3">
        <f>SUMIFS('Data nguồn'!J:J, 'Data nguồn'!D:D, $D26, 'Data nguồn'!F:F, $B$1, 'Data nguồn'!C:C, R$3)</f>
      </c>
      <c r="S26" s="3">
        <f>SUMIFS('Data nguồn'!J:J, 'Data nguồn'!D:D, $D26, 'Data nguồn'!F:F, $B$1, 'Data nguồn'!C:C, S$3)</f>
      </c>
      <c r="T26" s="3">
        <f>SUMIFS('Data nguồn'!J:J, 'Data nguồn'!D:D, $D26, 'Data nguồn'!F:F, $B$1, 'Data nguồn'!C:C, T$3)</f>
      </c>
      <c r="V26" s="3">
        <f>SUM(E26:P26)</f>
      </c>
      <c r="W26" s="3">
        <f>SUM(Q26:T26)</f>
      </c>
      <c r="X26" s="3">
        <f>AVERAGE(R26:T26)</f>
      </c>
      <c r="Y26" s="3">
        <f>AVERAGE(O26:T26)</f>
      </c>
      <c r="Z26" s="3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1:30" x14ac:dyDescent="0.25">
      <c r="A27">
        <v>24</v>
      </c>
      <c r="B27" t="s">
        <v>66</v>
      </c>
      <c r="C27" t="s">
        <v>365</v>
      </c>
      <c r="D27" s="2" t="s">
        <v>66</v>
      </c>
      <c r="E27" s="3">
        <f>SUMIFS('Data nguồn'!J:J, 'Data nguồn'!D:D, $D27, 'Data nguồn'!F:F, $B$1, 'Data nguồn'!C:C, E$3)</f>
      </c>
      <c r="F27" s="3">
        <f>SUMIFS('Data nguồn'!J:J, 'Data nguồn'!D:D, $D27, 'Data nguồn'!F:F, $B$1, 'Data nguồn'!C:C, F$3)</f>
      </c>
      <c r="G27" s="3">
        <f>SUMIFS('Data nguồn'!J:J, 'Data nguồn'!D:D, $D27, 'Data nguồn'!F:F, $B$1, 'Data nguồn'!C:C, G$3)</f>
      </c>
      <c r="H27" s="3">
        <f>SUMIFS('Data nguồn'!J:J, 'Data nguồn'!D:D, $D27, 'Data nguồn'!F:F, $B$1, 'Data nguồn'!C:C, H$3)</f>
      </c>
      <c r="I27" s="3">
        <f>SUMIFS('Data nguồn'!J:J, 'Data nguồn'!D:D, $D27, 'Data nguồn'!F:F, $B$1, 'Data nguồn'!C:C, I$3)</f>
      </c>
      <c r="J27" s="3">
        <f>SUMIFS('Data nguồn'!J:J, 'Data nguồn'!D:D, $D27, 'Data nguồn'!F:F, $B$1, 'Data nguồn'!C:C, J$3)</f>
      </c>
      <c r="K27" s="3">
        <f>SUMIFS('Data nguồn'!J:J, 'Data nguồn'!D:D, $D27, 'Data nguồn'!F:F, $B$1, 'Data nguồn'!C:C, K$3)</f>
      </c>
      <c r="L27" s="3">
        <f>SUMIFS('Data nguồn'!J:J, 'Data nguồn'!D:D, $D27, 'Data nguồn'!F:F, $B$1, 'Data nguồn'!C:C, L$3)</f>
      </c>
      <c r="M27" s="3">
        <f>SUMIFS('Data nguồn'!J:J, 'Data nguồn'!D:D, $D27, 'Data nguồn'!F:F, $B$1, 'Data nguồn'!C:C, M$3)</f>
      </c>
      <c r="N27" s="3">
        <f>SUMIFS('Data nguồn'!J:J, 'Data nguồn'!D:D, $D27, 'Data nguồn'!F:F, $B$1, 'Data nguồn'!C:C, N$3)</f>
      </c>
      <c r="O27" s="3">
        <f>SUMIFS('Data nguồn'!J:J, 'Data nguồn'!D:D, $D27, 'Data nguồn'!F:F, $B$1, 'Data nguồn'!C:C, O$3)</f>
      </c>
      <c r="P27" s="3">
        <f>SUMIFS('Data nguồn'!J:J, 'Data nguồn'!D:D, $D27, 'Data nguồn'!F:F, $B$1, 'Data nguồn'!C:C, P$3)</f>
      </c>
      <c r="Q27" s="3">
        <f>SUMIFS('Data nguồn'!J:J, 'Data nguồn'!D:D, $D27, 'Data nguồn'!F:F, $B$1, 'Data nguồn'!C:C, Q$3)</f>
      </c>
      <c r="R27" s="3">
        <f>SUMIFS('Data nguồn'!J:J, 'Data nguồn'!D:D, $D27, 'Data nguồn'!F:F, $B$1, 'Data nguồn'!C:C, R$3)</f>
      </c>
      <c r="S27" s="3">
        <f>SUMIFS('Data nguồn'!J:J, 'Data nguồn'!D:D, $D27, 'Data nguồn'!F:F, $B$1, 'Data nguồn'!C:C, S$3)</f>
      </c>
      <c r="T27" s="3">
        <f>SUMIFS('Data nguồn'!J:J, 'Data nguồn'!D:D, $D27, 'Data nguồn'!F:F, $B$1, 'Data nguồn'!C:C, T$3)</f>
      </c>
      <c r="V27" s="3">
        <f>SUM(E27:P27)</f>
      </c>
      <c r="W27" s="3">
        <f>SUM(Q27:T27)</f>
      </c>
      <c r="X27" s="3">
        <f>AVERAGE(R27:T27)</f>
      </c>
      <c r="Y27" s="3">
        <f>AVERAGE(O27:T27)</f>
      </c>
      <c r="Z27" s="3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1:30" x14ac:dyDescent="0.25">
      <c r="A28">
        <v>25</v>
      </c>
      <c r="B28" t="s">
        <v>68</v>
      </c>
      <c r="C28" t="s">
        <v>363</v>
      </c>
      <c r="D28" s="2" t="s">
        <v>68</v>
      </c>
      <c r="E28" s="3">
        <f>SUMIFS('Data nguồn'!J:J, 'Data nguồn'!D:D, $D28, 'Data nguồn'!F:F, $B$1, 'Data nguồn'!C:C, E$3)</f>
      </c>
      <c r="F28" s="3">
        <f>SUMIFS('Data nguồn'!J:J, 'Data nguồn'!D:D, $D28, 'Data nguồn'!F:F, $B$1, 'Data nguồn'!C:C, F$3)</f>
      </c>
      <c r="G28" s="3">
        <f>SUMIFS('Data nguồn'!J:J, 'Data nguồn'!D:D, $D28, 'Data nguồn'!F:F, $B$1, 'Data nguồn'!C:C, G$3)</f>
      </c>
      <c r="H28" s="3">
        <f>SUMIFS('Data nguồn'!J:J, 'Data nguồn'!D:D, $D28, 'Data nguồn'!F:F, $B$1, 'Data nguồn'!C:C, H$3)</f>
      </c>
      <c r="I28" s="3">
        <f>SUMIFS('Data nguồn'!J:J, 'Data nguồn'!D:D, $D28, 'Data nguồn'!F:F, $B$1, 'Data nguồn'!C:C, I$3)</f>
      </c>
      <c r="J28" s="3">
        <f>SUMIFS('Data nguồn'!J:J, 'Data nguồn'!D:D, $D28, 'Data nguồn'!F:F, $B$1, 'Data nguồn'!C:C, J$3)</f>
      </c>
      <c r="K28" s="3">
        <f>SUMIFS('Data nguồn'!J:J, 'Data nguồn'!D:D, $D28, 'Data nguồn'!F:F, $B$1, 'Data nguồn'!C:C, K$3)</f>
      </c>
      <c r="L28" s="3">
        <f>SUMIFS('Data nguồn'!J:J, 'Data nguồn'!D:D, $D28, 'Data nguồn'!F:F, $B$1, 'Data nguồn'!C:C, L$3)</f>
      </c>
      <c r="M28" s="3">
        <f>SUMIFS('Data nguồn'!J:J, 'Data nguồn'!D:D, $D28, 'Data nguồn'!F:F, $B$1, 'Data nguồn'!C:C, M$3)</f>
      </c>
      <c r="N28" s="3">
        <f>SUMIFS('Data nguồn'!J:J, 'Data nguồn'!D:D, $D28, 'Data nguồn'!F:F, $B$1, 'Data nguồn'!C:C, N$3)</f>
      </c>
      <c r="O28" s="3">
        <f>SUMIFS('Data nguồn'!J:J, 'Data nguồn'!D:D, $D28, 'Data nguồn'!F:F, $B$1, 'Data nguồn'!C:C, O$3)</f>
      </c>
      <c r="P28" s="3">
        <f>SUMIFS('Data nguồn'!J:J, 'Data nguồn'!D:D, $D28, 'Data nguồn'!F:F, $B$1, 'Data nguồn'!C:C, P$3)</f>
      </c>
      <c r="Q28" s="3">
        <f>SUMIFS('Data nguồn'!J:J, 'Data nguồn'!D:D, $D28, 'Data nguồn'!F:F, $B$1, 'Data nguồn'!C:C, Q$3)</f>
      </c>
      <c r="R28" s="3">
        <f>SUMIFS('Data nguồn'!J:J, 'Data nguồn'!D:D, $D28, 'Data nguồn'!F:F, $B$1, 'Data nguồn'!C:C, R$3)</f>
      </c>
      <c r="S28" s="3">
        <f>SUMIFS('Data nguồn'!J:J, 'Data nguồn'!D:D, $D28, 'Data nguồn'!F:F, $B$1, 'Data nguồn'!C:C, S$3)</f>
      </c>
      <c r="T28" s="3">
        <f>SUMIFS('Data nguồn'!J:J, 'Data nguồn'!D:D, $D28, 'Data nguồn'!F:F, $B$1, 'Data nguồn'!C:C, T$3)</f>
      </c>
      <c r="V28" s="3">
        <f>SUM(E28:P28)</f>
      </c>
      <c r="W28" s="3">
        <f>SUM(Q28:T28)</f>
      </c>
      <c r="X28" s="3">
        <f>AVERAGE(R28:T28)</f>
      </c>
      <c r="Y28" s="3">
        <f>AVERAGE(O28:T28)</f>
      </c>
      <c r="Z28" s="3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1:30" x14ac:dyDescent="0.25">
      <c r="A29">
        <v>26</v>
      </c>
      <c r="B29" t="s">
        <v>70</v>
      </c>
      <c r="C29" t="s">
        <v>363</v>
      </c>
      <c r="D29" s="2" t="s">
        <v>70</v>
      </c>
      <c r="E29" s="3">
        <f>SUMIFS('Data nguồn'!J:J, 'Data nguồn'!D:D, $D29, 'Data nguồn'!F:F, $B$1, 'Data nguồn'!C:C, E$3)</f>
      </c>
      <c r="F29" s="3">
        <f>SUMIFS('Data nguồn'!J:J, 'Data nguồn'!D:D, $D29, 'Data nguồn'!F:F, $B$1, 'Data nguồn'!C:C, F$3)</f>
      </c>
      <c r="G29" s="3">
        <f>SUMIFS('Data nguồn'!J:J, 'Data nguồn'!D:D, $D29, 'Data nguồn'!F:F, $B$1, 'Data nguồn'!C:C, G$3)</f>
      </c>
      <c r="H29" s="3">
        <f>SUMIFS('Data nguồn'!J:J, 'Data nguồn'!D:D, $D29, 'Data nguồn'!F:F, $B$1, 'Data nguồn'!C:C, H$3)</f>
      </c>
      <c r="I29" s="3">
        <f>SUMIFS('Data nguồn'!J:J, 'Data nguồn'!D:D, $D29, 'Data nguồn'!F:F, $B$1, 'Data nguồn'!C:C, I$3)</f>
      </c>
      <c r="J29" s="3">
        <f>SUMIFS('Data nguồn'!J:J, 'Data nguồn'!D:D, $D29, 'Data nguồn'!F:F, $B$1, 'Data nguồn'!C:C, J$3)</f>
      </c>
      <c r="K29" s="3">
        <f>SUMIFS('Data nguồn'!J:J, 'Data nguồn'!D:D, $D29, 'Data nguồn'!F:F, $B$1, 'Data nguồn'!C:C, K$3)</f>
      </c>
      <c r="L29" s="3">
        <f>SUMIFS('Data nguồn'!J:J, 'Data nguồn'!D:D, $D29, 'Data nguồn'!F:F, $B$1, 'Data nguồn'!C:C, L$3)</f>
      </c>
      <c r="M29" s="3">
        <f>SUMIFS('Data nguồn'!J:J, 'Data nguồn'!D:D, $D29, 'Data nguồn'!F:F, $B$1, 'Data nguồn'!C:C, M$3)</f>
      </c>
      <c r="N29" s="3">
        <f>SUMIFS('Data nguồn'!J:J, 'Data nguồn'!D:D, $D29, 'Data nguồn'!F:F, $B$1, 'Data nguồn'!C:C, N$3)</f>
      </c>
      <c r="O29" s="3">
        <f>SUMIFS('Data nguồn'!J:J, 'Data nguồn'!D:D, $D29, 'Data nguồn'!F:F, $B$1, 'Data nguồn'!C:C, O$3)</f>
      </c>
      <c r="P29" s="3">
        <f>SUMIFS('Data nguồn'!J:J, 'Data nguồn'!D:D, $D29, 'Data nguồn'!F:F, $B$1, 'Data nguồn'!C:C, P$3)</f>
      </c>
      <c r="Q29" s="3">
        <f>SUMIFS('Data nguồn'!J:J, 'Data nguồn'!D:D, $D29, 'Data nguồn'!F:F, $B$1, 'Data nguồn'!C:C, Q$3)</f>
      </c>
      <c r="R29" s="3">
        <f>SUMIFS('Data nguồn'!J:J, 'Data nguồn'!D:D, $D29, 'Data nguồn'!F:F, $B$1, 'Data nguồn'!C:C, R$3)</f>
      </c>
      <c r="S29" s="3">
        <f>SUMIFS('Data nguồn'!J:J, 'Data nguồn'!D:D, $D29, 'Data nguồn'!F:F, $B$1, 'Data nguồn'!C:C, S$3)</f>
      </c>
      <c r="T29" s="3">
        <f>SUMIFS('Data nguồn'!J:J, 'Data nguồn'!D:D, $D29, 'Data nguồn'!F:F, $B$1, 'Data nguồn'!C:C, T$3)</f>
      </c>
      <c r="V29" s="3">
        <f>SUM(E29:P29)</f>
      </c>
      <c r="W29" s="3">
        <f>SUM(Q29:T29)</f>
      </c>
      <c r="X29" s="3">
        <f>AVERAGE(R29:T29)</f>
      </c>
      <c r="Y29" s="3">
        <f>AVERAGE(O29:T29)</f>
      </c>
      <c r="Z29" s="3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1:30" x14ac:dyDescent="0.25">
      <c r="A30">
        <v>27</v>
      </c>
      <c r="B30" t="s">
        <v>72</v>
      </c>
      <c r="C30" t="s">
        <v>364</v>
      </c>
      <c r="D30" s="2" t="s">
        <v>72</v>
      </c>
      <c r="E30" s="3">
        <f>SUMIFS('Data nguồn'!J:J, 'Data nguồn'!D:D, $D30, 'Data nguồn'!F:F, $B$1, 'Data nguồn'!C:C, E$3)</f>
      </c>
      <c r="F30" s="3">
        <f>SUMIFS('Data nguồn'!J:J, 'Data nguồn'!D:D, $D30, 'Data nguồn'!F:F, $B$1, 'Data nguồn'!C:C, F$3)</f>
      </c>
      <c r="G30" s="3">
        <f>SUMIFS('Data nguồn'!J:J, 'Data nguồn'!D:D, $D30, 'Data nguồn'!F:F, $B$1, 'Data nguồn'!C:C, G$3)</f>
      </c>
      <c r="H30" s="3">
        <f>SUMIFS('Data nguồn'!J:J, 'Data nguồn'!D:D, $D30, 'Data nguồn'!F:F, $B$1, 'Data nguồn'!C:C, H$3)</f>
      </c>
      <c r="I30" s="3">
        <f>SUMIFS('Data nguồn'!J:J, 'Data nguồn'!D:D, $D30, 'Data nguồn'!F:F, $B$1, 'Data nguồn'!C:C, I$3)</f>
      </c>
      <c r="J30" s="3">
        <f>SUMIFS('Data nguồn'!J:J, 'Data nguồn'!D:D, $D30, 'Data nguồn'!F:F, $B$1, 'Data nguồn'!C:C, J$3)</f>
      </c>
      <c r="K30" s="3">
        <f>SUMIFS('Data nguồn'!J:J, 'Data nguồn'!D:D, $D30, 'Data nguồn'!F:F, $B$1, 'Data nguồn'!C:C, K$3)</f>
      </c>
      <c r="L30" s="3">
        <f>SUMIFS('Data nguồn'!J:J, 'Data nguồn'!D:D, $D30, 'Data nguồn'!F:F, $B$1, 'Data nguồn'!C:C, L$3)</f>
      </c>
      <c r="M30" s="3">
        <f>SUMIFS('Data nguồn'!J:J, 'Data nguồn'!D:D, $D30, 'Data nguồn'!F:F, $B$1, 'Data nguồn'!C:C, M$3)</f>
      </c>
      <c r="N30" s="3">
        <f>SUMIFS('Data nguồn'!J:J, 'Data nguồn'!D:D, $D30, 'Data nguồn'!F:F, $B$1, 'Data nguồn'!C:C, N$3)</f>
      </c>
      <c r="O30" s="3">
        <f>SUMIFS('Data nguồn'!J:J, 'Data nguồn'!D:D, $D30, 'Data nguồn'!F:F, $B$1, 'Data nguồn'!C:C, O$3)</f>
      </c>
      <c r="P30" s="3">
        <f>SUMIFS('Data nguồn'!J:J, 'Data nguồn'!D:D, $D30, 'Data nguồn'!F:F, $B$1, 'Data nguồn'!C:C, P$3)</f>
      </c>
      <c r="Q30" s="3">
        <f>SUMIFS('Data nguồn'!J:J, 'Data nguồn'!D:D, $D30, 'Data nguồn'!F:F, $B$1, 'Data nguồn'!C:C, Q$3)</f>
      </c>
      <c r="R30" s="3">
        <f>SUMIFS('Data nguồn'!J:J, 'Data nguồn'!D:D, $D30, 'Data nguồn'!F:F, $B$1, 'Data nguồn'!C:C, R$3)</f>
      </c>
      <c r="S30" s="3">
        <f>SUMIFS('Data nguồn'!J:J, 'Data nguồn'!D:D, $D30, 'Data nguồn'!F:F, $B$1, 'Data nguồn'!C:C, S$3)</f>
      </c>
      <c r="T30" s="3">
        <f>SUMIFS('Data nguồn'!J:J, 'Data nguồn'!D:D, $D30, 'Data nguồn'!F:F, $B$1, 'Data nguồn'!C:C, T$3)</f>
      </c>
      <c r="V30" s="3">
        <f>SUM(E30:P30)</f>
      </c>
      <c r="W30" s="3">
        <f>SUM(Q30:T30)</f>
      </c>
      <c r="X30" s="3">
        <f>AVERAGE(R30:T30)</f>
      </c>
      <c r="Y30" s="3">
        <f>AVERAGE(O30:T30)</f>
      </c>
      <c r="Z30" s="3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1:30" x14ac:dyDescent="0.25">
      <c r="A31">
        <v>28</v>
      </c>
      <c r="B31" t="s">
        <v>74</v>
      </c>
      <c r="C31" t="s">
        <v>369</v>
      </c>
      <c r="D31" s="2" t="s">
        <v>74</v>
      </c>
      <c r="E31" s="3">
        <f>SUMIFS('Data nguồn'!J:J, 'Data nguồn'!D:D, $D31, 'Data nguồn'!F:F, $B$1, 'Data nguồn'!C:C, E$3)</f>
      </c>
      <c r="F31" s="3">
        <f>SUMIFS('Data nguồn'!J:J, 'Data nguồn'!D:D, $D31, 'Data nguồn'!F:F, $B$1, 'Data nguồn'!C:C, F$3)</f>
      </c>
      <c r="G31" s="3">
        <f>SUMIFS('Data nguồn'!J:J, 'Data nguồn'!D:D, $D31, 'Data nguồn'!F:F, $B$1, 'Data nguồn'!C:C, G$3)</f>
      </c>
      <c r="H31" s="3">
        <f>SUMIFS('Data nguồn'!J:J, 'Data nguồn'!D:D, $D31, 'Data nguồn'!F:F, $B$1, 'Data nguồn'!C:C, H$3)</f>
      </c>
      <c r="I31" s="3">
        <f>SUMIFS('Data nguồn'!J:J, 'Data nguồn'!D:D, $D31, 'Data nguồn'!F:F, $B$1, 'Data nguồn'!C:C, I$3)</f>
      </c>
      <c r="J31" s="3">
        <f>SUMIFS('Data nguồn'!J:J, 'Data nguồn'!D:D, $D31, 'Data nguồn'!F:F, $B$1, 'Data nguồn'!C:C, J$3)</f>
      </c>
      <c r="K31" s="3">
        <f>SUMIFS('Data nguồn'!J:J, 'Data nguồn'!D:D, $D31, 'Data nguồn'!F:F, $B$1, 'Data nguồn'!C:C, K$3)</f>
      </c>
      <c r="L31" s="3">
        <f>SUMIFS('Data nguồn'!J:J, 'Data nguồn'!D:D, $D31, 'Data nguồn'!F:F, $B$1, 'Data nguồn'!C:C, L$3)</f>
      </c>
      <c r="M31" s="3">
        <f>SUMIFS('Data nguồn'!J:J, 'Data nguồn'!D:D, $D31, 'Data nguồn'!F:F, $B$1, 'Data nguồn'!C:C, M$3)</f>
      </c>
      <c r="N31" s="3">
        <f>SUMIFS('Data nguồn'!J:J, 'Data nguồn'!D:D, $D31, 'Data nguồn'!F:F, $B$1, 'Data nguồn'!C:C, N$3)</f>
      </c>
      <c r="O31" s="3">
        <f>SUMIFS('Data nguồn'!J:J, 'Data nguồn'!D:D, $D31, 'Data nguồn'!F:F, $B$1, 'Data nguồn'!C:C, O$3)</f>
      </c>
      <c r="P31" s="3">
        <f>SUMIFS('Data nguồn'!J:J, 'Data nguồn'!D:D, $D31, 'Data nguồn'!F:F, $B$1, 'Data nguồn'!C:C, P$3)</f>
      </c>
      <c r="Q31" s="3">
        <f>SUMIFS('Data nguồn'!J:J, 'Data nguồn'!D:D, $D31, 'Data nguồn'!F:F, $B$1, 'Data nguồn'!C:C, Q$3)</f>
      </c>
      <c r="R31" s="3">
        <f>SUMIFS('Data nguồn'!J:J, 'Data nguồn'!D:D, $D31, 'Data nguồn'!F:F, $B$1, 'Data nguồn'!C:C, R$3)</f>
      </c>
      <c r="S31" s="3">
        <f>SUMIFS('Data nguồn'!J:J, 'Data nguồn'!D:D, $D31, 'Data nguồn'!F:F, $B$1, 'Data nguồn'!C:C, S$3)</f>
      </c>
      <c r="T31" s="3">
        <f>SUMIFS('Data nguồn'!J:J, 'Data nguồn'!D:D, $D31, 'Data nguồn'!F:F, $B$1, 'Data nguồn'!C:C, T$3)</f>
      </c>
      <c r="V31" s="3">
        <f>SUM(E31:P31)</f>
      </c>
      <c r="W31" s="3">
        <f>SUM(Q31:T31)</f>
      </c>
      <c r="X31" s="3">
        <f>AVERAGE(R31:T31)</f>
      </c>
      <c r="Y31" s="3">
        <f>AVERAGE(O31:T31)</f>
      </c>
      <c r="Z31" s="3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1:30" x14ac:dyDescent="0.25">
      <c r="A32">
        <v>29</v>
      </c>
      <c r="B32" t="s">
        <v>76</v>
      </c>
      <c r="C32" t="s">
        <v>369</v>
      </c>
      <c r="D32" s="2" t="s">
        <v>76</v>
      </c>
      <c r="E32" s="3">
        <f>SUMIFS('Data nguồn'!J:J, 'Data nguồn'!D:D, $D32, 'Data nguồn'!F:F, $B$1, 'Data nguồn'!C:C, E$3)</f>
      </c>
      <c r="F32" s="3">
        <f>SUMIFS('Data nguồn'!J:J, 'Data nguồn'!D:D, $D32, 'Data nguồn'!F:F, $B$1, 'Data nguồn'!C:C, F$3)</f>
      </c>
      <c r="G32" s="3">
        <f>SUMIFS('Data nguồn'!J:J, 'Data nguồn'!D:D, $D32, 'Data nguồn'!F:F, $B$1, 'Data nguồn'!C:C, G$3)</f>
      </c>
      <c r="H32" s="3">
        <f>SUMIFS('Data nguồn'!J:J, 'Data nguồn'!D:D, $D32, 'Data nguồn'!F:F, $B$1, 'Data nguồn'!C:C, H$3)</f>
      </c>
      <c r="I32" s="3">
        <f>SUMIFS('Data nguồn'!J:J, 'Data nguồn'!D:D, $D32, 'Data nguồn'!F:F, $B$1, 'Data nguồn'!C:C, I$3)</f>
      </c>
      <c r="J32" s="3">
        <f>SUMIFS('Data nguồn'!J:J, 'Data nguồn'!D:D, $D32, 'Data nguồn'!F:F, $B$1, 'Data nguồn'!C:C, J$3)</f>
      </c>
      <c r="K32" s="3">
        <f>SUMIFS('Data nguồn'!J:J, 'Data nguồn'!D:D, $D32, 'Data nguồn'!F:F, $B$1, 'Data nguồn'!C:C, K$3)</f>
      </c>
      <c r="L32" s="3">
        <f>SUMIFS('Data nguồn'!J:J, 'Data nguồn'!D:D, $D32, 'Data nguồn'!F:F, $B$1, 'Data nguồn'!C:C, L$3)</f>
      </c>
      <c r="M32" s="3">
        <f>SUMIFS('Data nguồn'!J:J, 'Data nguồn'!D:D, $D32, 'Data nguồn'!F:F, $B$1, 'Data nguồn'!C:C, M$3)</f>
      </c>
      <c r="N32" s="3">
        <f>SUMIFS('Data nguồn'!J:J, 'Data nguồn'!D:D, $D32, 'Data nguồn'!F:F, $B$1, 'Data nguồn'!C:C, N$3)</f>
      </c>
      <c r="O32" s="3">
        <f>SUMIFS('Data nguồn'!J:J, 'Data nguồn'!D:D, $D32, 'Data nguồn'!F:F, $B$1, 'Data nguồn'!C:C, O$3)</f>
      </c>
      <c r="P32" s="3">
        <f>SUMIFS('Data nguồn'!J:J, 'Data nguồn'!D:D, $D32, 'Data nguồn'!F:F, $B$1, 'Data nguồn'!C:C, P$3)</f>
      </c>
      <c r="Q32" s="3">
        <f>SUMIFS('Data nguồn'!J:J, 'Data nguồn'!D:D, $D32, 'Data nguồn'!F:F, $B$1, 'Data nguồn'!C:C, Q$3)</f>
      </c>
      <c r="R32" s="3">
        <f>SUMIFS('Data nguồn'!J:J, 'Data nguồn'!D:D, $D32, 'Data nguồn'!F:F, $B$1, 'Data nguồn'!C:C, R$3)</f>
      </c>
      <c r="S32" s="3">
        <f>SUMIFS('Data nguồn'!J:J, 'Data nguồn'!D:D, $D32, 'Data nguồn'!F:F, $B$1, 'Data nguồn'!C:C, S$3)</f>
      </c>
      <c r="T32" s="3">
        <f>SUMIFS('Data nguồn'!J:J, 'Data nguồn'!D:D, $D32, 'Data nguồn'!F:F, $B$1, 'Data nguồn'!C:C, T$3)</f>
      </c>
      <c r="V32" s="3">
        <f>SUM(E32:P32)</f>
      </c>
      <c r="W32" s="3">
        <f>SUM(Q32:T32)</f>
      </c>
      <c r="X32" s="3">
        <f>AVERAGE(R32:T32)</f>
      </c>
      <c r="Y32" s="3">
        <f>AVERAGE(O32:T32)</f>
      </c>
      <c r="Z32" s="3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1:30" x14ac:dyDescent="0.25">
      <c r="A33">
        <v>30</v>
      </c>
      <c r="B33" t="s">
        <v>84</v>
      </c>
      <c r="C33" t="s">
        <v>369</v>
      </c>
      <c r="D33" s="2" t="s">
        <v>84</v>
      </c>
      <c r="E33" s="3">
        <f>SUMIFS('Data nguồn'!J:J, 'Data nguồn'!D:D, $D33, 'Data nguồn'!F:F, $B$1, 'Data nguồn'!C:C, E$3)</f>
      </c>
      <c r="F33" s="3">
        <f>SUMIFS('Data nguồn'!J:J, 'Data nguồn'!D:D, $D33, 'Data nguồn'!F:F, $B$1, 'Data nguồn'!C:C, F$3)</f>
      </c>
      <c r="G33" s="3">
        <f>SUMIFS('Data nguồn'!J:J, 'Data nguồn'!D:D, $D33, 'Data nguồn'!F:F, $B$1, 'Data nguồn'!C:C, G$3)</f>
      </c>
      <c r="H33" s="3">
        <f>SUMIFS('Data nguồn'!J:J, 'Data nguồn'!D:D, $D33, 'Data nguồn'!F:F, $B$1, 'Data nguồn'!C:C, H$3)</f>
      </c>
      <c r="I33" s="3">
        <f>SUMIFS('Data nguồn'!J:J, 'Data nguồn'!D:D, $D33, 'Data nguồn'!F:F, $B$1, 'Data nguồn'!C:C, I$3)</f>
      </c>
      <c r="J33" s="3">
        <f>SUMIFS('Data nguồn'!J:J, 'Data nguồn'!D:D, $D33, 'Data nguồn'!F:F, $B$1, 'Data nguồn'!C:C, J$3)</f>
      </c>
      <c r="K33" s="3">
        <f>SUMIFS('Data nguồn'!J:J, 'Data nguồn'!D:D, $D33, 'Data nguồn'!F:F, $B$1, 'Data nguồn'!C:C, K$3)</f>
      </c>
      <c r="L33" s="3">
        <f>SUMIFS('Data nguồn'!J:J, 'Data nguồn'!D:D, $D33, 'Data nguồn'!F:F, $B$1, 'Data nguồn'!C:C, L$3)</f>
      </c>
      <c r="M33" s="3">
        <f>SUMIFS('Data nguồn'!J:J, 'Data nguồn'!D:D, $D33, 'Data nguồn'!F:F, $B$1, 'Data nguồn'!C:C, M$3)</f>
      </c>
      <c r="N33" s="3">
        <f>SUMIFS('Data nguồn'!J:J, 'Data nguồn'!D:D, $D33, 'Data nguồn'!F:F, $B$1, 'Data nguồn'!C:C, N$3)</f>
      </c>
      <c r="O33" s="3">
        <f>SUMIFS('Data nguồn'!J:J, 'Data nguồn'!D:D, $D33, 'Data nguồn'!F:F, $B$1, 'Data nguồn'!C:C, O$3)</f>
      </c>
      <c r="P33" s="3">
        <f>SUMIFS('Data nguồn'!J:J, 'Data nguồn'!D:D, $D33, 'Data nguồn'!F:F, $B$1, 'Data nguồn'!C:C, P$3)</f>
      </c>
      <c r="Q33" s="3">
        <f>SUMIFS('Data nguồn'!J:J, 'Data nguồn'!D:D, $D33, 'Data nguồn'!F:F, $B$1, 'Data nguồn'!C:C, Q$3)</f>
      </c>
      <c r="R33" s="3">
        <f>SUMIFS('Data nguồn'!J:J, 'Data nguồn'!D:D, $D33, 'Data nguồn'!F:F, $B$1, 'Data nguồn'!C:C, R$3)</f>
      </c>
      <c r="S33" s="3">
        <f>SUMIFS('Data nguồn'!J:J, 'Data nguồn'!D:D, $D33, 'Data nguồn'!F:F, $B$1, 'Data nguồn'!C:C, S$3)</f>
      </c>
      <c r="T33" s="3">
        <f>SUMIFS('Data nguồn'!J:J, 'Data nguồn'!D:D, $D33, 'Data nguồn'!F:F, $B$1, 'Data nguồn'!C:C, T$3)</f>
      </c>
      <c r="V33" s="3">
        <f>SUM(E33:P33)</f>
      </c>
      <c r="W33" s="3">
        <f>SUM(Q33:T33)</f>
      </c>
      <c r="X33" s="3">
        <f>AVERAGE(R33:T33)</f>
      </c>
      <c r="Y33" s="3">
        <f>AVERAGE(O33:T33)</f>
      </c>
      <c r="Z33" s="3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0" customHeight="1" spans="1:30" x14ac:dyDescent="0.25">
      <c r="A34">
        <v>31</v>
      </c>
      <c r="B34" t="s">
        <v>86</v>
      </c>
      <c r="C34" t="s">
        <v>369</v>
      </c>
      <c r="D34" s="2" t="s">
        <v>86</v>
      </c>
      <c r="E34" s="3">
        <f>SUMIFS('Data nguồn'!J:J, 'Data nguồn'!D:D, $D34, 'Data nguồn'!F:F, $B$1, 'Data nguồn'!C:C, E$3)</f>
      </c>
      <c r="F34" s="3">
        <f>SUMIFS('Data nguồn'!J:J, 'Data nguồn'!D:D, $D34, 'Data nguồn'!F:F, $B$1, 'Data nguồn'!C:C, F$3)</f>
      </c>
      <c r="G34" s="3">
        <f>SUMIFS('Data nguồn'!J:J, 'Data nguồn'!D:D, $D34, 'Data nguồn'!F:F, $B$1, 'Data nguồn'!C:C, G$3)</f>
      </c>
      <c r="H34" s="3">
        <f>SUMIFS('Data nguồn'!J:J, 'Data nguồn'!D:D, $D34, 'Data nguồn'!F:F, $B$1, 'Data nguồn'!C:C, H$3)</f>
      </c>
      <c r="I34" s="3">
        <f>SUMIFS('Data nguồn'!J:J, 'Data nguồn'!D:D, $D34, 'Data nguồn'!F:F, $B$1, 'Data nguồn'!C:C, I$3)</f>
      </c>
      <c r="J34" s="3">
        <f>SUMIFS('Data nguồn'!J:J, 'Data nguồn'!D:D, $D34, 'Data nguồn'!F:F, $B$1, 'Data nguồn'!C:C, J$3)</f>
      </c>
      <c r="K34" s="3">
        <f>SUMIFS('Data nguồn'!J:J, 'Data nguồn'!D:D, $D34, 'Data nguồn'!F:F, $B$1, 'Data nguồn'!C:C, K$3)</f>
      </c>
      <c r="L34" s="3">
        <f>SUMIFS('Data nguồn'!J:J, 'Data nguồn'!D:D, $D34, 'Data nguồn'!F:F, $B$1, 'Data nguồn'!C:C, L$3)</f>
      </c>
      <c r="M34" s="3">
        <f>SUMIFS('Data nguồn'!J:J, 'Data nguồn'!D:D, $D34, 'Data nguồn'!F:F, $B$1, 'Data nguồn'!C:C, M$3)</f>
      </c>
      <c r="N34" s="3">
        <f>SUMIFS('Data nguồn'!J:J, 'Data nguồn'!D:D, $D34, 'Data nguồn'!F:F, $B$1, 'Data nguồn'!C:C, N$3)</f>
      </c>
      <c r="O34" s="3">
        <f>SUMIFS('Data nguồn'!J:J, 'Data nguồn'!D:D, $D34, 'Data nguồn'!F:F, $B$1, 'Data nguồn'!C:C, O$3)</f>
      </c>
      <c r="P34" s="3">
        <f>SUMIFS('Data nguồn'!J:J, 'Data nguồn'!D:D, $D34, 'Data nguồn'!F:F, $B$1, 'Data nguồn'!C:C, P$3)</f>
      </c>
      <c r="Q34" s="3">
        <f>SUMIFS('Data nguồn'!J:J, 'Data nguồn'!D:D, $D34, 'Data nguồn'!F:F, $B$1, 'Data nguồn'!C:C, Q$3)</f>
      </c>
      <c r="R34" s="3">
        <f>SUMIFS('Data nguồn'!J:J, 'Data nguồn'!D:D, $D34, 'Data nguồn'!F:F, $B$1, 'Data nguồn'!C:C, R$3)</f>
      </c>
      <c r="S34" s="3">
        <f>SUMIFS('Data nguồn'!J:J, 'Data nguồn'!D:D, $D34, 'Data nguồn'!F:F, $B$1, 'Data nguồn'!C:C, S$3)</f>
      </c>
      <c r="T34" s="3">
        <f>SUMIFS('Data nguồn'!J:J, 'Data nguồn'!D:D, $D34, 'Data nguồn'!F:F, $B$1, 'Data nguồn'!C:C, T$3)</f>
      </c>
      <c r="V34" s="3">
        <f>SUM(E34:P34)</f>
      </c>
      <c r="W34" s="3">
        <f>SUM(Q34:T34)</f>
      </c>
      <c r="X34" s="3">
        <f>AVERAGE(R34:T34)</f>
      </c>
      <c r="Y34" s="3">
        <f>AVERAGE(O34:T34)</f>
      </c>
      <c r="Z34" s="3">
        <f>AVERAGE(L34:T34)</f>
      </c>
      <c r="AA34" s="4">
        <f>IFERROR((X34*2)/(Y34+Z34), 0)</f>
      </c>
      <c r="AB34" s="4">
        <f>IFERROR(W34/SUM(E34:H34), 0)</f>
      </c>
      <c r="AC34" s="4">
        <f>IFERROR(W34/SUM(E34:H34), 0)</f>
      </c>
      <c r="AD34" s="4">
        <f>IFERROR(T34/H34, 0)</f>
      </c>
    </row>
    <row r="35" ht="20" customHeight="1" spans="1:30" x14ac:dyDescent="0.25">
      <c r="A35">
        <v>32</v>
      </c>
      <c r="B35" t="s">
        <v>88</v>
      </c>
      <c r="C35" t="s">
        <v>367</v>
      </c>
      <c r="D35" s="2" t="s">
        <v>88</v>
      </c>
      <c r="E35" s="3">
        <f>SUMIFS('Data nguồn'!J:J, 'Data nguồn'!D:D, $D35, 'Data nguồn'!F:F, $B$1, 'Data nguồn'!C:C, E$3)</f>
      </c>
      <c r="F35" s="3">
        <f>SUMIFS('Data nguồn'!J:J, 'Data nguồn'!D:D, $D35, 'Data nguồn'!F:F, $B$1, 'Data nguồn'!C:C, F$3)</f>
      </c>
      <c r="G35" s="3">
        <f>SUMIFS('Data nguồn'!J:J, 'Data nguồn'!D:D, $D35, 'Data nguồn'!F:F, $B$1, 'Data nguồn'!C:C, G$3)</f>
      </c>
      <c r="H35" s="3">
        <f>SUMIFS('Data nguồn'!J:J, 'Data nguồn'!D:D, $D35, 'Data nguồn'!F:F, $B$1, 'Data nguồn'!C:C, H$3)</f>
      </c>
      <c r="I35" s="3">
        <f>SUMIFS('Data nguồn'!J:J, 'Data nguồn'!D:D, $D35, 'Data nguồn'!F:F, $B$1, 'Data nguồn'!C:C, I$3)</f>
      </c>
      <c r="J35" s="3">
        <f>SUMIFS('Data nguồn'!J:J, 'Data nguồn'!D:D, $D35, 'Data nguồn'!F:F, $B$1, 'Data nguồn'!C:C, J$3)</f>
      </c>
      <c r="K35" s="3">
        <f>SUMIFS('Data nguồn'!J:J, 'Data nguồn'!D:D, $D35, 'Data nguồn'!F:F, $B$1, 'Data nguồn'!C:C, K$3)</f>
      </c>
      <c r="L35" s="3">
        <f>SUMIFS('Data nguồn'!J:J, 'Data nguồn'!D:D, $D35, 'Data nguồn'!F:F, $B$1, 'Data nguồn'!C:C, L$3)</f>
      </c>
      <c r="M35" s="3">
        <f>SUMIFS('Data nguồn'!J:J, 'Data nguồn'!D:D, $D35, 'Data nguồn'!F:F, $B$1, 'Data nguồn'!C:C, M$3)</f>
      </c>
      <c r="N35" s="3">
        <f>SUMIFS('Data nguồn'!J:J, 'Data nguồn'!D:D, $D35, 'Data nguồn'!F:F, $B$1, 'Data nguồn'!C:C, N$3)</f>
      </c>
      <c r="O35" s="3">
        <f>SUMIFS('Data nguồn'!J:J, 'Data nguồn'!D:D, $D35, 'Data nguồn'!F:F, $B$1, 'Data nguồn'!C:C, O$3)</f>
      </c>
      <c r="P35" s="3">
        <f>SUMIFS('Data nguồn'!J:J, 'Data nguồn'!D:D, $D35, 'Data nguồn'!F:F, $B$1, 'Data nguồn'!C:C, P$3)</f>
      </c>
      <c r="Q35" s="3">
        <f>SUMIFS('Data nguồn'!J:J, 'Data nguồn'!D:D, $D35, 'Data nguồn'!F:F, $B$1, 'Data nguồn'!C:C, Q$3)</f>
      </c>
      <c r="R35" s="3">
        <f>SUMIFS('Data nguồn'!J:J, 'Data nguồn'!D:D, $D35, 'Data nguồn'!F:F, $B$1, 'Data nguồn'!C:C, R$3)</f>
      </c>
      <c r="S35" s="3">
        <f>SUMIFS('Data nguồn'!J:J, 'Data nguồn'!D:D, $D35, 'Data nguồn'!F:F, $B$1, 'Data nguồn'!C:C, S$3)</f>
      </c>
      <c r="T35" s="3">
        <f>SUMIFS('Data nguồn'!J:J, 'Data nguồn'!D:D, $D35, 'Data nguồn'!F:F, $B$1, 'Data nguồn'!C:C, T$3)</f>
      </c>
      <c r="V35" s="3">
        <f>SUM(E35:P35)</f>
      </c>
      <c r="W35" s="3">
        <f>SUM(Q35:T35)</f>
      </c>
      <c r="X35" s="3">
        <f>AVERAGE(R35:T35)</f>
      </c>
      <c r="Y35" s="3">
        <f>AVERAGE(O35:T35)</f>
      </c>
      <c r="Z35" s="3">
        <f>AVERAGE(L35:T35)</f>
      </c>
      <c r="AA35" s="4">
        <f>IFERROR((X35*2)/(Y35+Z35), 0)</f>
      </c>
      <c r="AB35" s="4">
        <f>IFERROR(W35/SUM(E35:H35), 0)</f>
      </c>
      <c r="AC35" s="4">
        <f>IFERROR(W35/SUM(E35:H35), 0)</f>
      </c>
      <c r="AD35" s="4">
        <f>IFERROR(T35/H35, 0)</f>
      </c>
    </row>
    <row r="36" ht="20" customHeight="1" spans="1:30" x14ac:dyDescent="0.25">
      <c r="A36">
        <v>33</v>
      </c>
      <c r="B36" t="s">
        <v>90</v>
      </c>
      <c r="C36" t="s">
        <v>365</v>
      </c>
      <c r="D36" s="2" t="s">
        <v>90</v>
      </c>
      <c r="E36" s="3">
        <f>SUMIFS('Data nguồn'!J:J, 'Data nguồn'!D:D, $D36, 'Data nguồn'!F:F, $B$1, 'Data nguồn'!C:C, E$3)</f>
      </c>
      <c r="F36" s="3">
        <f>SUMIFS('Data nguồn'!J:J, 'Data nguồn'!D:D, $D36, 'Data nguồn'!F:F, $B$1, 'Data nguồn'!C:C, F$3)</f>
      </c>
      <c r="G36" s="3">
        <f>SUMIFS('Data nguồn'!J:J, 'Data nguồn'!D:D, $D36, 'Data nguồn'!F:F, $B$1, 'Data nguồn'!C:C, G$3)</f>
      </c>
      <c r="H36" s="3">
        <f>SUMIFS('Data nguồn'!J:J, 'Data nguồn'!D:D, $D36, 'Data nguồn'!F:F, $B$1, 'Data nguồn'!C:C, H$3)</f>
      </c>
      <c r="I36" s="3">
        <f>SUMIFS('Data nguồn'!J:J, 'Data nguồn'!D:D, $D36, 'Data nguồn'!F:F, $B$1, 'Data nguồn'!C:C, I$3)</f>
      </c>
      <c r="J36" s="3">
        <f>SUMIFS('Data nguồn'!J:J, 'Data nguồn'!D:D, $D36, 'Data nguồn'!F:F, $B$1, 'Data nguồn'!C:C, J$3)</f>
      </c>
      <c r="K36" s="3">
        <f>SUMIFS('Data nguồn'!J:J, 'Data nguồn'!D:D, $D36, 'Data nguồn'!F:F, $B$1, 'Data nguồn'!C:C, K$3)</f>
      </c>
      <c r="L36" s="3">
        <f>SUMIFS('Data nguồn'!J:J, 'Data nguồn'!D:D, $D36, 'Data nguồn'!F:F, $B$1, 'Data nguồn'!C:C, L$3)</f>
      </c>
      <c r="M36" s="3">
        <f>SUMIFS('Data nguồn'!J:J, 'Data nguồn'!D:D, $D36, 'Data nguồn'!F:F, $B$1, 'Data nguồn'!C:C, M$3)</f>
      </c>
      <c r="N36" s="3">
        <f>SUMIFS('Data nguồn'!J:J, 'Data nguồn'!D:D, $D36, 'Data nguồn'!F:F, $B$1, 'Data nguồn'!C:C, N$3)</f>
      </c>
      <c r="O36" s="3">
        <f>SUMIFS('Data nguồn'!J:J, 'Data nguồn'!D:D, $D36, 'Data nguồn'!F:F, $B$1, 'Data nguồn'!C:C, O$3)</f>
      </c>
      <c r="P36" s="3">
        <f>SUMIFS('Data nguồn'!J:J, 'Data nguồn'!D:D, $D36, 'Data nguồn'!F:F, $B$1, 'Data nguồn'!C:C, P$3)</f>
      </c>
      <c r="Q36" s="3">
        <f>SUMIFS('Data nguồn'!J:J, 'Data nguồn'!D:D, $D36, 'Data nguồn'!F:F, $B$1, 'Data nguồn'!C:C, Q$3)</f>
      </c>
      <c r="R36" s="3">
        <f>SUMIFS('Data nguồn'!J:J, 'Data nguồn'!D:D, $D36, 'Data nguồn'!F:F, $B$1, 'Data nguồn'!C:C, R$3)</f>
      </c>
      <c r="S36" s="3">
        <f>SUMIFS('Data nguồn'!J:J, 'Data nguồn'!D:D, $D36, 'Data nguồn'!F:F, $B$1, 'Data nguồn'!C:C, S$3)</f>
      </c>
      <c r="T36" s="3">
        <f>SUMIFS('Data nguồn'!J:J, 'Data nguồn'!D:D, $D36, 'Data nguồn'!F:F, $B$1, 'Data nguồn'!C:C, T$3)</f>
      </c>
      <c r="V36" s="3">
        <f>SUM(E36:P36)</f>
      </c>
      <c r="W36" s="3">
        <f>SUM(Q36:T36)</f>
      </c>
      <c r="X36" s="3">
        <f>AVERAGE(R36:T36)</f>
      </c>
      <c r="Y36" s="3">
        <f>AVERAGE(O36:T36)</f>
      </c>
      <c r="Z36" s="3">
        <f>AVERAGE(L36:T36)</f>
      </c>
      <c r="AA36" s="4">
        <f>IFERROR((X36*2)/(Y36+Z36), 0)</f>
      </c>
      <c r="AB36" s="4">
        <f>IFERROR(W36/SUM(E36:H36), 0)</f>
      </c>
      <c r="AC36" s="4">
        <f>IFERROR(W36/SUM(E36:H36), 0)</f>
      </c>
      <c r="AD36" s="4">
        <f>IFERROR(T36/H36, 0)</f>
      </c>
    </row>
    <row r="37" ht="20" customHeight="1" spans="1:30" x14ac:dyDescent="0.25">
      <c r="A37">
        <v>34</v>
      </c>
      <c r="B37" t="s">
        <v>92</v>
      </c>
      <c r="C37" t="s">
        <v>365</v>
      </c>
      <c r="D37" s="2" t="s">
        <v>92</v>
      </c>
      <c r="E37" s="3">
        <f>SUMIFS('Data nguồn'!J:J, 'Data nguồn'!D:D, $D37, 'Data nguồn'!F:F, $B$1, 'Data nguồn'!C:C, E$3)</f>
      </c>
      <c r="F37" s="3">
        <f>SUMIFS('Data nguồn'!J:J, 'Data nguồn'!D:D, $D37, 'Data nguồn'!F:F, $B$1, 'Data nguồn'!C:C, F$3)</f>
      </c>
      <c r="G37" s="3">
        <f>SUMIFS('Data nguồn'!J:J, 'Data nguồn'!D:D, $D37, 'Data nguồn'!F:F, $B$1, 'Data nguồn'!C:C, G$3)</f>
      </c>
      <c r="H37" s="3">
        <f>SUMIFS('Data nguồn'!J:J, 'Data nguồn'!D:D, $D37, 'Data nguồn'!F:F, $B$1, 'Data nguồn'!C:C, H$3)</f>
      </c>
      <c r="I37" s="3">
        <f>SUMIFS('Data nguồn'!J:J, 'Data nguồn'!D:D, $D37, 'Data nguồn'!F:F, $B$1, 'Data nguồn'!C:C, I$3)</f>
      </c>
      <c r="J37" s="3">
        <f>SUMIFS('Data nguồn'!J:J, 'Data nguồn'!D:D, $D37, 'Data nguồn'!F:F, $B$1, 'Data nguồn'!C:C, J$3)</f>
      </c>
      <c r="K37" s="3">
        <f>SUMIFS('Data nguồn'!J:J, 'Data nguồn'!D:D, $D37, 'Data nguồn'!F:F, $B$1, 'Data nguồn'!C:C, K$3)</f>
      </c>
      <c r="L37" s="3">
        <f>SUMIFS('Data nguồn'!J:J, 'Data nguồn'!D:D, $D37, 'Data nguồn'!F:F, $B$1, 'Data nguồn'!C:C, L$3)</f>
      </c>
      <c r="M37" s="3">
        <f>SUMIFS('Data nguồn'!J:J, 'Data nguồn'!D:D, $D37, 'Data nguồn'!F:F, $B$1, 'Data nguồn'!C:C, M$3)</f>
      </c>
      <c r="N37" s="3">
        <f>SUMIFS('Data nguồn'!J:J, 'Data nguồn'!D:D, $D37, 'Data nguồn'!F:F, $B$1, 'Data nguồn'!C:C, N$3)</f>
      </c>
      <c r="O37" s="3">
        <f>SUMIFS('Data nguồn'!J:J, 'Data nguồn'!D:D, $D37, 'Data nguồn'!F:F, $B$1, 'Data nguồn'!C:C, O$3)</f>
      </c>
      <c r="P37" s="3">
        <f>SUMIFS('Data nguồn'!J:J, 'Data nguồn'!D:D, $D37, 'Data nguồn'!F:F, $B$1, 'Data nguồn'!C:C, P$3)</f>
      </c>
      <c r="Q37" s="3">
        <f>SUMIFS('Data nguồn'!J:J, 'Data nguồn'!D:D, $D37, 'Data nguồn'!F:F, $B$1, 'Data nguồn'!C:C, Q$3)</f>
      </c>
      <c r="R37" s="3">
        <f>SUMIFS('Data nguồn'!J:J, 'Data nguồn'!D:D, $D37, 'Data nguồn'!F:F, $B$1, 'Data nguồn'!C:C, R$3)</f>
      </c>
      <c r="S37" s="3">
        <f>SUMIFS('Data nguồn'!J:J, 'Data nguồn'!D:D, $D37, 'Data nguồn'!F:F, $B$1, 'Data nguồn'!C:C, S$3)</f>
      </c>
      <c r="T37" s="3">
        <f>SUMIFS('Data nguồn'!J:J, 'Data nguồn'!D:D, $D37, 'Data nguồn'!F:F, $B$1, 'Data nguồn'!C:C, T$3)</f>
      </c>
      <c r="V37" s="3">
        <f>SUM(E37:P37)</f>
      </c>
      <c r="W37" s="3">
        <f>SUM(Q37:T37)</f>
      </c>
      <c r="X37" s="3">
        <f>AVERAGE(R37:T37)</f>
      </c>
      <c r="Y37" s="3">
        <f>AVERAGE(O37:T37)</f>
      </c>
      <c r="Z37" s="3">
        <f>AVERAGE(L37:T37)</f>
      </c>
      <c r="AA37" s="4">
        <f>IFERROR((X37*2)/(Y37+Z37), 0)</f>
      </c>
      <c r="AB37" s="4">
        <f>IFERROR(W37/SUM(E37:H37), 0)</f>
      </c>
      <c r="AC37" s="4">
        <f>IFERROR(W37/SUM(E37:H37), 0)</f>
      </c>
      <c r="AD37" s="4">
        <f>IFERROR(T37/H37, 0)</f>
      </c>
    </row>
    <row r="38" ht="20" customHeight="1" spans="1:30" x14ac:dyDescent="0.25">
      <c r="A38">
        <v>35</v>
      </c>
      <c r="B38" t="s">
        <v>94</v>
      </c>
      <c r="C38" t="s">
        <v>366</v>
      </c>
      <c r="D38" s="2" t="s">
        <v>94</v>
      </c>
      <c r="E38" s="3">
        <f>SUMIFS('Data nguồn'!J:J, 'Data nguồn'!D:D, $D38, 'Data nguồn'!F:F, $B$1, 'Data nguồn'!C:C, E$3)</f>
      </c>
      <c r="F38" s="3">
        <f>SUMIFS('Data nguồn'!J:J, 'Data nguồn'!D:D, $D38, 'Data nguồn'!F:F, $B$1, 'Data nguồn'!C:C, F$3)</f>
      </c>
      <c r="G38" s="3">
        <f>SUMIFS('Data nguồn'!J:J, 'Data nguồn'!D:D, $D38, 'Data nguồn'!F:F, $B$1, 'Data nguồn'!C:C, G$3)</f>
      </c>
      <c r="H38" s="3">
        <f>SUMIFS('Data nguồn'!J:J, 'Data nguồn'!D:D, $D38, 'Data nguồn'!F:F, $B$1, 'Data nguồn'!C:C, H$3)</f>
      </c>
      <c r="I38" s="3">
        <f>SUMIFS('Data nguồn'!J:J, 'Data nguồn'!D:D, $D38, 'Data nguồn'!F:F, $B$1, 'Data nguồn'!C:C, I$3)</f>
      </c>
      <c r="J38" s="3">
        <f>SUMIFS('Data nguồn'!J:J, 'Data nguồn'!D:D, $D38, 'Data nguồn'!F:F, $B$1, 'Data nguồn'!C:C, J$3)</f>
      </c>
      <c r="K38" s="3">
        <f>SUMIFS('Data nguồn'!J:J, 'Data nguồn'!D:D, $D38, 'Data nguồn'!F:F, $B$1, 'Data nguồn'!C:C, K$3)</f>
      </c>
      <c r="L38" s="3">
        <f>SUMIFS('Data nguồn'!J:J, 'Data nguồn'!D:D, $D38, 'Data nguồn'!F:F, $B$1, 'Data nguồn'!C:C, L$3)</f>
      </c>
      <c r="M38" s="3">
        <f>SUMIFS('Data nguồn'!J:J, 'Data nguồn'!D:D, $D38, 'Data nguồn'!F:F, $B$1, 'Data nguồn'!C:C, M$3)</f>
      </c>
      <c r="N38" s="3">
        <f>SUMIFS('Data nguồn'!J:J, 'Data nguồn'!D:D, $D38, 'Data nguồn'!F:F, $B$1, 'Data nguồn'!C:C, N$3)</f>
      </c>
      <c r="O38" s="3">
        <f>SUMIFS('Data nguồn'!J:J, 'Data nguồn'!D:D, $D38, 'Data nguồn'!F:F, $B$1, 'Data nguồn'!C:C, O$3)</f>
      </c>
      <c r="P38" s="3">
        <f>SUMIFS('Data nguồn'!J:J, 'Data nguồn'!D:D, $D38, 'Data nguồn'!F:F, $B$1, 'Data nguồn'!C:C, P$3)</f>
      </c>
      <c r="Q38" s="3">
        <f>SUMIFS('Data nguồn'!J:J, 'Data nguồn'!D:D, $D38, 'Data nguồn'!F:F, $B$1, 'Data nguồn'!C:C, Q$3)</f>
      </c>
      <c r="R38" s="3">
        <f>SUMIFS('Data nguồn'!J:J, 'Data nguồn'!D:D, $D38, 'Data nguồn'!F:F, $B$1, 'Data nguồn'!C:C, R$3)</f>
      </c>
      <c r="S38" s="3">
        <f>SUMIFS('Data nguồn'!J:J, 'Data nguồn'!D:D, $D38, 'Data nguồn'!F:F, $B$1, 'Data nguồn'!C:C, S$3)</f>
      </c>
      <c r="T38" s="3">
        <f>SUMIFS('Data nguồn'!J:J, 'Data nguồn'!D:D, $D38, 'Data nguồn'!F:F, $B$1, 'Data nguồn'!C:C, T$3)</f>
      </c>
      <c r="V38" s="3">
        <f>SUM(E38:P38)</f>
      </c>
      <c r="W38" s="3">
        <f>SUM(Q38:T38)</f>
      </c>
      <c r="X38" s="3">
        <f>AVERAGE(R38:T38)</f>
      </c>
      <c r="Y38" s="3">
        <f>AVERAGE(O38:T38)</f>
      </c>
      <c r="Z38" s="3">
        <f>AVERAGE(L38:T38)</f>
      </c>
      <c r="AA38" s="4">
        <f>IFERROR((X38*2)/(Y38+Z38), 0)</f>
      </c>
      <c r="AB38" s="4">
        <f>IFERROR(W38/SUM(E38:H38), 0)</f>
      </c>
      <c r="AC38" s="4">
        <f>IFERROR(W38/SUM(E38:H38), 0)</f>
      </c>
      <c r="AD38" s="4">
        <f>IFERROR(T38/H38, 0)</f>
      </c>
    </row>
    <row r="39" ht="20" customHeight="1" spans="1:30" x14ac:dyDescent="0.25">
      <c r="A39">
        <v>36</v>
      </c>
      <c r="B39" t="s">
        <v>96</v>
      </c>
      <c r="C39" t="s">
        <v>369</v>
      </c>
      <c r="D39" s="2" t="s">
        <v>96</v>
      </c>
      <c r="E39" s="3">
        <f>SUMIFS('Data nguồn'!J:J, 'Data nguồn'!D:D, $D39, 'Data nguồn'!F:F, $B$1, 'Data nguồn'!C:C, E$3)</f>
      </c>
      <c r="F39" s="3">
        <f>SUMIFS('Data nguồn'!J:J, 'Data nguồn'!D:D, $D39, 'Data nguồn'!F:F, $B$1, 'Data nguồn'!C:C, F$3)</f>
      </c>
      <c r="G39" s="3">
        <f>SUMIFS('Data nguồn'!J:J, 'Data nguồn'!D:D, $D39, 'Data nguồn'!F:F, $B$1, 'Data nguồn'!C:C, G$3)</f>
      </c>
      <c r="H39" s="3">
        <f>SUMIFS('Data nguồn'!J:J, 'Data nguồn'!D:D, $D39, 'Data nguồn'!F:F, $B$1, 'Data nguồn'!C:C, H$3)</f>
      </c>
      <c r="I39" s="3">
        <f>SUMIFS('Data nguồn'!J:J, 'Data nguồn'!D:D, $D39, 'Data nguồn'!F:F, $B$1, 'Data nguồn'!C:C, I$3)</f>
      </c>
      <c r="J39" s="3">
        <f>SUMIFS('Data nguồn'!J:J, 'Data nguồn'!D:D, $D39, 'Data nguồn'!F:F, $B$1, 'Data nguồn'!C:C, J$3)</f>
      </c>
      <c r="K39" s="3">
        <f>SUMIFS('Data nguồn'!J:J, 'Data nguồn'!D:D, $D39, 'Data nguồn'!F:F, $B$1, 'Data nguồn'!C:C, K$3)</f>
      </c>
      <c r="L39" s="3">
        <f>SUMIFS('Data nguồn'!J:J, 'Data nguồn'!D:D, $D39, 'Data nguồn'!F:F, $B$1, 'Data nguồn'!C:C, L$3)</f>
      </c>
      <c r="M39" s="3">
        <f>SUMIFS('Data nguồn'!J:J, 'Data nguồn'!D:D, $D39, 'Data nguồn'!F:F, $B$1, 'Data nguồn'!C:C, M$3)</f>
      </c>
      <c r="N39" s="3">
        <f>SUMIFS('Data nguồn'!J:J, 'Data nguồn'!D:D, $D39, 'Data nguồn'!F:F, $B$1, 'Data nguồn'!C:C, N$3)</f>
      </c>
      <c r="O39" s="3">
        <f>SUMIFS('Data nguồn'!J:J, 'Data nguồn'!D:D, $D39, 'Data nguồn'!F:F, $B$1, 'Data nguồn'!C:C, O$3)</f>
      </c>
      <c r="P39" s="3">
        <f>SUMIFS('Data nguồn'!J:J, 'Data nguồn'!D:D, $D39, 'Data nguồn'!F:F, $B$1, 'Data nguồn'!C:C, P$3)</f>
      </c>
      <c r="Q39" s="3">
        <f>SUMIFS('Data nguồn'!J:J, 'Data nguồn'!D:D, $D39, 'Data nguồn'!F:F, $B$1, 'Data nguồn'!C:C, Q$3)</f>
      </c>
      <c r="R39" s="3">
        <f>SUMIFS('Data nguồn'!J:J, 'Data nguồn'!D:D, $D39, 'Data nguồn'!F:F, $B$1, 'Data nguồn'!C:C, R$3)</f>
      </c>
      <c r="S39" s="3">
        <f>SUMIFS('Data nguồn'!J:J, 'Data nguồn'!D:D, $D39, 'Data nguồn'!F:F, $B$1, 'Data nguồn'!C:C, S$3)</f>
      </c>
      <c r="T39" s="3">
        <f>SUMIFS('Data nguồn'!J:J, 'Data nguồn'!D:D, $D39, 'Data nguồn'!F:F, $B$1, 'Data nguồn'!C:C, T$3)</f>
      </c>
      <c r="V39" s="3">
        <f>SUM(E39:P39)</f>
      </c>
      <c r="W39" s="3">
        <f>SUM(Q39:T39)</f>
      </c>
      <c r="X39" s="3">
        <f>AVERAGE(R39:T39)</f>
      </c>
      <c r="Y39" s="3">
        <f>AVERAGE(O39:T39)</f>
      </c>
      <c r="Z39" s="3">
        <f>AVERAGE(L39:T39)</f>
      </c>
      <c r="AA39" s="4">
        <f>IFERROR((X39*2)/(Y39+Z39), 0)</f>
      </c>
      <c r="AB39" s="4">
        <f>IFERROR(W39/SUM(E39:H39), 0)</f>
      </c>
      <c r="AC39" s="4">
        <f>IFERROR(W39/SUM(E39:H39), 0)</f>
      </c>
      <c r="AD39" s="4">
        <f>IFERROR(T39/H39, 0)</f>
      </c>
    </row>
    <row r="40" ht="20" customHeight="1" spans="1:30" x14ac:dyDescent="0.25">
      <c r="A40">
        <v>37</v>
      </c>
      <c r="B40" t="s">
        <v>98</v>
      </c>
      <c r="C40" t="s">
        <v>369</v>
      </c>
      <c r="D40" s="2" t="s">
        <v>98</v>
      </c>
      <c r="E40" s="3">
        <f>SUMIFS('Data nguồn'!J:J, 'Data nguồn'!D:D, $D40, 'Data nguồn'!F:F, $B$1, 'Data nguồn'!C:C, E$3)</f>
      </c>
      <c r="F40" s="3">
        <f>SUMIFS('Data nguồn'!J:J, 'Data nguồn'!D:D, $D40, 'Data nguồn'!F:F, $B$1, 'Data nguồn'!C:C, F$3)</f>
      </c>
      <c r="G40" s="3">
        <f>SUMIFS('Data nguồn'!J:J, 'Data nguồn'!D:D, $D40, 'Data nguồn'!F:F, $B$1, 'Data nguồn'!C:C, G$3)</f>
      </c>
      <c r="H40" s="3">
        <f>SUMIFS('Data nguồn'!J:J, 'Data nguồn'!D:D, $D40, 'Data nguồn'!F:F, $B$1, 'Data nguồn'!C:C, H$3)</f>
      </c>
      <c r="I40" s="3">
        <f>SUMIFS('Data nguồn'!J:J, 'Data nguồn'!D:D, $D40, 'Data nguồn'!F:F, $B$1, 'Data nguồn'!C:C, I$3)</f>
      </c>
      <c r="J40" s="3">
        <f>SUMIFS('Data nguồn'!J:J, 'Data nguồn'!D:D, $D40, 'Data nguồn'!F:F, $B$1, 'Data nguồn'!C:C, J$3)</f>
      </c>
      <c r="K40" s="3">
        <f>SUMIFS('Data nguồn'!J:J, 'Data nguồn'!D:D, $D40, 'Data nguồn'!F:F, $B$1, 'Data nguồn'!C:C, K$3)</f>
      </c>
      <c r="L40" s="3">
        <f>SUMIFS('Data nguồn'!J:J, 'Data nguồn'!D:D, $D40, 'Data nguồn'!F:F, $B$1, 'Data nguồn'!C:C, L$3)</f>
      </c>
      <c r="M40" s="3">
        <f>SUMIFS('Data nguồn'!J:J, 'Data nguồn'!D:D, $D40, 'Data nguồn'!F:F, $B$1, 'Data nguồn'!C:C, M$3)</f>
      </c>
      <c r="N40" s="3">
        <f>SUMIFS('Data nguồn'!J:J, 'Data nguồn'!D:D, $D40, 'Data nguồn'!F:F, $B$1, 'Data nguồn'!C:C, N$3)</f>
      </c>
      <c r="O40" s="3">
        <f>SUMIFS('Data nguồn'!J:J, 'Data nguồn'!D:D, $D40, 'Data nguồn'!F:F, $B$1, 'Data nguồn'!C:C, O$3)</f>
      </c>
      <c r="P40" s="3">
        <f>SUMIFS('Data nguồn'!J:J, 'Data nguồn'!D:D, $D40, 'Data nguồn'!F:F, $B$1, 'Data nguồn'!C:C, P$3)</f>
      </c>
      <c r="Q40" s="3">
        <f>SUMIFS('Data nguồn'!J:J, 'Data nguồn'!D:D, $D40, 'Data nguồn'!F:F, $B$1, 'Data nguồn'!C:C, Q$3)</f>
      </c>
      <c r="R40" s="3">
        <f>SUMIFS('Data nguồn'!J:J, 'Data nguồn'!D:D, $D40, 'Data nguồn'!F:F, $B$1, 'Data nguồn'!C:C, R$3)</f>
      </c>
      <c r="S40" s="3">
        <f>SUMIFS('Data nguồn'!J:J, 'Data nguồn'!D:D, $D40, 'Data nguồn'!F:F, $B$1, 'Data nguồn'!C:C, S$3)</f>
      </c>
      <c r="T40" s="3">
        <f>SUMIFS('Data nguồn'!J:J, 'Data nguồn'!D:D, $D40, 'Data nguồn'!F:F, $B$1, 'Data nguồn'!C:C, T$3)</f>
      </c>
      <c r="V40" s="3">
        <f>SUM(E40:P40)</f>
      </c>
      <c r="W40" s="3">
        <f>SUM(Q40:T40)</f>
      </c>
      <c r="X40" s="3">
        <f>AVERAGE(R40:T40)</f>
      </c>
      <c r="Y40" s="3">
        <f>AVERAGE(O40:T40)</f>
      </c>
      <c r="Z40" s="3">
        <f>AVERAGE(L40:T40)</f>
      </c>
      <c r="AA40" s="4">
        <f>IFERROR((X40*2)/(Y40+Z40), 0)</f>
      </c>
      <c r="AB40" s="4">
        <f>IFERROR(W40/SUM(E40:H40), 0)</f>
      </c>
      <c r="AC40" s="4">
        <f>IFERROR(W40/SUM(E40:H40), 0)</f>
      </c>
      <c r="AD40" s="4">
        <f>IFERROR(T40/H40, 0)</f>
      </c>
    </row>
    <row r="41" ht="20" customHeight="1" spans="1:30" x14ac:dyDescent="0.25">
      <c r="A41">
        <v>38</v>
      </c>
      <c r="B41" t="s">
        <v>100</v>
      </c>
      <c r="C41" t="s">
        <v>363</v>
      </c>
      <c r="D41" s="2" t="s">
        <v>100</v>
      </c>
      <c r="E41" s="3">
        <f>SUMIFS('Data nguồn'!J:J, 'Data nguồn'!D:D, $D41, 'Data nguồn'!F:F, $B$1, 'Data nguồn'!C:C, E$3)</f>
      </c>
      <c r="F41" s="3">
        <f>SUMIFS('Data nguồn'!J:J, 'Data nguồn'!D:D, $D41, 'Data nguồn'!F:F, $B$1, 'Data nguồn'!C:C, F$3)</f>
      </c>
      <c r="G41" s="3">
        <f>SUMIFS('Data nguồn'!J:J, 'Data nguồn'!D:D, $D41, 'Data nguồn'!F:F, $B$1, 'Data nguồn'!C:C, G$3)</f>
      </c>
      <c r="H41" s="3">
        <f>SUMIFS('Data nguồn'!J:J, 'Data nguồn'!D:D, $D41, 'Data nguồn'!F:F, $B$1, 'Data nguồn'!C:C, H$3)</f>
      </c>
      <c r="I41" s="3">
        <f>SUMIFS('Data nguồn'!J:J, 'Data nguồn'!D:D, $D41, 'Data nguồn'!F:F, $B$1, 'Data nguồn'!C:C, I$3)</f>
      </c>
      <c r="J41" s="3">
        <f>SUMIFS('Data nguồn'!J:J, 'Data nguồn'!D:D, $D41, 'Data nguồn'!F:F, $B$1, 'Data nguồn'!C:C, J$3)</f>
      </c>
      <c r="K41" s="3">
        <f>SUMIFS('Data nguồn'!J:J, 'Data nguồn'!D:D, $D41, 'Data nguồn'!F:F, $B$1, 'Data nguồn'!C:C, K$3)</f>
      </c>
      <c r="L41" s="3">
        <f>SUMIFS('Data nguồn'!J:J, 'Data nguồn'!D:D, $D41, 'Data nguồn'!F:F, $B$1, 'Data nguồn'!C:C, L$3)</f>
      </c>
      <c r="M41" s="3">
        <f>SUMIFS('Data nguồn'!J:J, 'Data nguồn'!D:D, $D41, 'Data nguồn'!F:F, $B$1, 'Data nguồn'!C:C, M$3)</f>
      </c>
      <c r="N41" s="3">
        <f>SUMIFS('Data nguồn'!J:J, 'Data nguồn'!D:D, $D41, 'Data nguồn'!F:F, $B$1, 'Data nguồn'!C:C, N$3)</f>
      </c>
      <c r="O41" s="3">
        <f>SUMIFS('Data nguồn'!J:J, 'Data nguồn'!D:D, $D41, 'Data nguồn'!F:F, $B$1, 'Data nguồn'!C:C, O$3)</f>
      </c>
      <c r="P41" s="3">
        <f>SUMIFS('Data nguồn'!J:J, 'Data nguồn'!D:D, $D41, 'Data nguồn'!F:F, $B$1, 'Data nguồn'!C:C, P$3)</f>
      </c>
      <c r="Q41" s="3">
        <f>SUMIFS('Data nguồn'!J:J, 'Data nguồn'!D:D, $D41, 'Data nguồn'!F:F, $B$1, 'Data nguồn'!C:C, Q$3)</f>
      </c>
      <c r="R41" s="3">
        <f>SUMIFS('Data nguồn'!J:J, 'Data nguồn'!D:D, $D41, 'Data nguồn'!F:F, $B$1, 'Data nguồn'!C:C, R$3)</f>
      </c>
      <c r="S41" s="3">
        <f>SUMIFS('Data nguồn'!J:J, 'Data nguồn'!D:D, $D41, 'Data nguồn'!F:F, $B$1, 'Data nguồn'!C:C, S$3)</f>
      </c>
      <c r="T41" s="3">
        <f>SUMIFS('Data nguồn'!J:J, 'Data nguồn'!D:D, $D41, 'Data nguồn'!F:F, $B$1, 'Data nguồn'!C:C, T$3)</f>
      </c>
      <c r="V41" s="3">
        <f>SUM(E41:P41)</f>
      </c>
      <c r="W41" s="3">
        <f>SUM(Q41:T41)</f>
      </c>
      <c r="X41" s="3">
        <f>AVERAGE(R41:T41)</f>
      </c>
      <c r="Y41" s="3">
        <f>AVERAGE(O41:T41)</f>
      </c>
      <c r="Z41" s="3">
        <f>AVERAGE(L41:T41)</f>
      </c>
      <c r="AA41" s="4">
        <f>IFERROR((X41*2)/(Y41+Z41), 0)</f>
      </c>
      <c r="AB41" s="4">
        <f>IFERROR(W41/SUM(E41:H41), 0)</f>
      </c>
      <c r="AC41" s="4">
        <f>IFERROR(W41/SUM(E41:H41), 0)</f>
      </c>
      <c r="AD41" s="4">
        <f>IFERROR(T41/H41, 0)</f>
      </c>
    </row>
    <row r="42" ht="20" customHeight="1" spans="1:30" x14ac:dyDescent="0.25">
      <c r="A42">
        <v>39</v>
      </c>
      <c r="B42" t="s">
        <v>101</v>
      </c>
      <c r="C42" t="s">
        <v>363</v>
      </c>
      <c r="D42" s="2" t="s">
        <v>101</v>
      </c>
      <c r="E42" s="3">
        <f>SUMIFS('Data nguồn'!J:J, 'Data nguồn'!D:D, $D42, 'Data nguồn'!F:F, $B$1, 'Data nguồn'!C:C, E$3)</f>
      </c>
      <c r="F42" s="3">
        <f>SUMIFS('Data nguồn'!J:J, 'Data nguồn'!D:D, $D42, 'Data nguồn'!F:F, $B$1, 'Data nguồn'!C:C, F$3)</f>
      </c>
      <c r="G42" s="3">
        <f>SUMIFS('Data nguồn'!J:J, 'Data nguồn'!D:D, $D42, 'Data nguồn'!F:F, $B$1, 'Data nguồn'!C:C, G$3)</f>
      </c>
      <c r="H42" s="3">
        <f>SUMIFS('Data nguồn'!J:J, 'Data nguồn'!D:D, $D42, 'Data nguồn'!F:F, $B$1, 'Data nguồn'!C:C, H$3)</f>
      </c>
      <c r="I42" s="3">
        <f>SUMIFS('Data nguồn'!J:J, 'Data nguồn'!D:D, $D42, 'Data nguồn'!F:F, $B$1, 'Data nguồn'!C:C, I$3)</f>
      </c>
      <c r="J42" s="3">
        <f>SUMIFS('Data nguồn'!J:J, 'Data nguồn'!D:D, $D42, 'Data nguồn'!F:F, $B$1, 'Data nguồn'!C:C, J$3)</f>
      </c>
      <c r="K42" s="3">
        <f>SUMIFS('Data nguồn'!J:J, 'Data nguồn'!D:D, $D42, 'Data nguồn'!F:F, $B$1, 'Data nguồn'!C:C, K$3)</f>
      </c>
      <c r="L42" s="3">
        <f>SUMIFS('Data nguồn'!J:J, 'Data nguồn'!D:D, $D42, 'Data nguồn'!F:F, $B$1, 'Data nguồn'!C:C, L$3)</f>
      </c>
      <c r="M42" s="3">
        <f>SUMIFS('Data nguồn'!J:J, 'Data nguồn'!D:D, $D42, 'Data nguồn'!F:F, $B$1, 'Data nguồn'!C:C, M$3)</f>
      </c>
      <c r="N42" s="3">
        <f>SUMIFS('Data nguồn'!J:J, 'Data nguồn'!D:D, $D42, 'Data nguồn'!F:F, $B$1, 'Data nguồn'!C:C, N$3)</f>
      </c>
      <c r="O42" s="3">
        <f>SUMIFS('Data nguồn'!J:J, 'Data nguồn'!D:D, $D42, 'Data nguồn'!F:F, $B$1, 'Data nguồn'!C:C, O$3)</f>
      </c>
      <c r="P42" s="3">
        <f>SUMIFS('Data nguồn'!J:J, 'Data nguồn'!D:D, $D42, 'Data nguồn'!F:F, $B$1, 'Data nguồn'!C:C, P$3)</f>
      </c>
      <c r="Q42" s="3">
        <f>SUMIFS('Data nguồn'!J:J, 'Data nguồn'!D:D, $D42, 'Data nguồn'!F:F, $B$1, 'Data nguồn'!C:C, Q$3)</f>
      </c>
      <c r="R42" s="3">
        <f>SUMIFS('Data nguồn'!J:J, 'Data nguồn'!D:D, $D42, 'Data nguồn'!F:F, $B$1, 'Data nguồn'!C:C, R$3)</f>
      </c>
      <c r="S42" s="3">
        <f>SUMIFS('Data nguồn'!J:J, 'Data nguồn'!D:D, $D42, 'Data nguồn'!F:F, $B$1, 'Data nguồn'!C:C, S$3)</f>
      </c>
      <c r="T42" s="3">
        <f>SUMIFS('Data nguồn'!J:J, 'Data nguồn'!D:D, $D42, 'Data nguồn'!F:F, $B$1, 'Data nguồn'!C:C, T$3)</f>
      </c>
      <c r="V42" s="3">
        <f>SUM(E42:P42)</f>
      </c>
      <c r="W42" s="3">
        <f>SUM(Q42:T42)</f>
      </c>
      <c r="X42" s="3">
        <f>AVERAGE(R42:T42)</f>
      </c>
      <c r="Y42" s="3">
        <f>AVERAGE(O42:T42)</f>
      </c>
      <c r="Z42" s="3">
        <f>AVERAGE(L42:T42)</f>
      </c>
      <c r="AA42" s="4">
        <f>IFERROR((X42*2)/(Y42+Z42), 0)</f>
      </c>
      <c r="AB42" s="4">
        <f>IFERROR(W42/SUM(E42:H42), 0)</f>
      </c>
      <c r="AC42" s="4">
        <f>IFERROR(W42/SUM(E42:H42), 0)</f>
      </c>
      <c r="AD42" s="4">
        <f>IFERROR(T42/H42, 0)</f>
      </c>
    </row>
    <row r="43" ht="20" customHeight="1" spans="1:30" x14ac:dyDescent="0.25">
      <c r="A43">
        <v>40</v>
      </c>
      <c r="B43" t="s">
        <v>102</v>
      </c>
      <c r="C43" t="s">
        <v>369</v>
      </c>
      <c r="D43" s="2" t="s">
        <v>102</v>
      </c>
      <c r="E43" s="3">
        <f>SUMIFS('Data nguồn'!J:J, 'Data nguồn'!D:D, $D43, 'Data nguồn'!F:F, $B$1, 'Data nguồn'!C:C, E$3)</f>
      </c>
      <c r="F43" s="3">
        <f>SUMIFS('Data nguồn'!J:J, 'Data nguồn'!D:D, $D43, 'Data nguồn'!F:F, $B$1, 'Data nguồn'!C:C, F$3)</f>
      </c>
      <c r="G43" s="3">
        <f>SUMIFS('Data nguồn'!J:J, 'Data nguồn'!D:D, $D43, 'Data nguồn'!F:F, $B$1, 'Data nguồn'!C:C, G$3)</f>
      </c>
      <c r="H43" s="3">
        <f>SUMIFS('Data nguồn'!J:J, 'Data nguồn'!D:D, $D43, 'Data nguồn'!F:F, $B$1, 'Data nguồn'!C:C, H$3)</f>
      </c>
      <c r="I43" s="3">
        <f>SUMIFS('Data nguồn'!J:J, 'Data nguồn'!D:D, $D43, 'Data nguồn'!F:F, $B$1, 'Data nguồn'!C:C, I$3)</f>
      </c>
      <c r="J43" s="3">
        <f>SUMIFS('Data nguồn'!J:J, 'Data nguồn'!D:D, $D43, 'Data nguồn'!F:F, $B$1, 'Data nguồn'!C:C, J$3)</f>
      </c>
      <c r="K43" s="3">
        <f>SUMIFS('Data nguồn'!J:J, 'Data nguồn'!D:D, $D43, 'Data nguồn'!F:F, $B$1, 'Data nguồn'!C:C, K$3)</f>
      </c>
      <c r="L43" s="3">
        <f>SUMIFS('Data nguồn'!J:J, 'Data nguồn'!D:D, $D43, 'Data nguồn'!F:F, $B$1, 'Data nguồn'!C:C, L$3)</f>
      </c>
      <c r="M43" s="3">
        <f>SUMIFS('Data nguồn'!J:J, 'Data nguồn'!D:D, $D43, 'Data nguồn'!F:F, $B$1, 'Data nguồn'!C:C, M$3)</f>
      </c>
      <c r="N43" s="3">
        <f>SUMIFS('Data nguồn'!J:J, 'Data nguồn'!D:D, $D43, 'Data nguồn'!F:F, $B$1, 'Data nguồn'!C:C, N$3)</f>
      </c>
      <c r="O43" s="3">
        <f>SUMIFS('Data nguồn'!J:J, 'Data nguồn'!D:D, $D43, 'Data nguồn'!F:F, $B$1, 'Data nguồn'!C:C, O$3)</f>
      </c>
      <c r="P43" s="3">
        <f>SUMIFS('Data nguồn'!J:J, 'Data nguồn'!D:D, $D43, 'Data nguồn'!F:F, $B$1, 'Data nguồn'!C:C, P$3)</f>
      </c>
      <c r="Q43" s="3">
        <f>SUMIFS('Data nguồn'!J:J, 'Data nguồn'!D:D, $D43, 'Data nguồn'!F:F, $B$1, 'Data nguồn'!C:C, Q$3)</f>
      </c>
      <c r="R43" s="3">
        <f>SUMIFS('Data nguồn'!J:J, 'Data nguồn'!D:D, $D43, 'Data nguồn'!F:F, $B$1, 'Data nguồn'!C:C, R$3)</f>
      </c>
      <c r="S43" s="3">
        <f>SUMIFS('Data nguồn'!J:J, 'Data nguồn'!D:D, $D43, 'Data nguồn'!F:F, $B$1, 'Data nguồn'!C:C, S$3)</f>
      </c>
      <c r="T43" s="3">
        <f>SUMIFS('Data nguồn'!J:J, 'Data nguồn'!D:D, $D43, 'Data nguồn'!F:F, $B$1, 'Data nguồn'!C:C, T$3)</f>
      </c>
      <c r="V43" s="3">
        <f>SUM(E43:P43)</f>
      </c>
      <c r="W43" s="3">
        <f>SUM(Q43:T43)</f>
      </c>
      <c r="X43" s="3">
        <f>AVERAGE(R43:T43)</f>
      </c>
      <c r="Y43" s="3">
        <f>AVERAGE(O43:T43)</f>
      </c>
      <c r="Z43" s="3">
        <f>AVERAGE(L43:T43)</f>
      </c>
      <c r="AA43" s="4">
        <f>IFERROR((X43*2)/(Y43+Z43), 0)</f>
      </c>
      <c r="AB43" s="4">
        <f>IFERROR(W43/SUM(E43:H43), 0)</f>
      </c>
      <c r="AC43" s="4">
        <f>IFERROR(W43/SUM(E43:H43), 0)</f>
      </c>
      <c r="AD43" s="4">
        <f>IFERROR(T43/H43, 0)</f>
      </c>
    </row>
    <row r="44" ht="20" customHeight="1" spans="1:30" x14ac:dyDescent="0.25">
      <c r="A44">
        <v>41</v>
      </c>
      <c r="B44" t="s">
        <v>103</v>
      </c>
      <c r="C44" t="s">
        <v>367</v>
      </c>
      <c r="D44" s="2" t="s">
        <v>103</v>
      </c>
      <c r="E44" s="3">
        <f>SUMIFS('Data nguồn'!J:J, 'Data nguồn'!D:D, $D44, 'Data nguồn'!F:F, $B$1, 'Data nguồn'!C:C, E$3)</f>
      </c>
      <c r="F44" s="3">
        <f>SUMIFS('Data nguồn'!J:J, 'Data nguồn'!D:D, $D44, 'Data nguồn'!F:F, $B$1, 'Data nguồn'!C:C, F$3)</f>
      </c>
      <c r="G44" s="3">
        <f>SUMIFS('Data nguồn'!J:J, 'Data nguồn'!D:D, $D44, 'Data nguồn'!F:F, $B$1, 'Data nguồn'!C:C, G$3)</f>
      </c>
      <c r="H44" s="3">
        <f>SUMIFS('Data nguồn'!J:J, 'Data nguồn'!D:D, $D44, 'Data nguồn'!F:F, $B$1, 'Data nguồn'!C:C, H$3)</f>
      </c>
      <c r="I44" s="3">
        <f>SUMIFS('Data nguồn'!J:J, 'Data nguồn'!D:D, $D44, 'Data nguồn'!F:F, $B$1, 'Data nguồn'!C:C, I$3)</f>
      </c>
      <c r="J44" s="3">
        <f>SUMIFS('Data nguồn'!J:J, 'Data nguồn'!D:D, $D44, 'Data nguồn'!F:F, $B$1, 'Data nguồn'!C:C, J$3)</f>
      </c>
      <c r="K44" s="3">
        <f>SUMIFS('Data nguồn'!J:J, 'Data nguồn'!D:D, $D44, 'Data nguồn'!F:F, $B$1, 'Data nguồn'!C:C, K$3)</f>
      </c>
      <c r="L44" s="3">
        <f>SUMIFS('Data nguồn'!J:J, 'Data nguồn'!D:D, $D44, 'Data nguồn'!F:F, $B$1, 'Data nguồn'!C:C, L$3)</f>
      </c>
      <c r="M44" s="3">
        <f>SUMIFS('Data nguồn'!J:J, 'Data nguồn'!D:D, $D44, 'Data nguồn'!F:F, $B$1, 'Data nguồn'!C:C, M$3)</f>
      </c>
      <c r="N44" s="3">
        <f>SUMIFS('Data nguồn'!J:J, 'Data nguồn'!D:D, $D44, 'Data nguồn'!F:F, $B$1, 'Data nguồn'!C:C, N$3)</f>
      </c>
      <c r="O44" s="3">
        <f>SUMIFS('Data nguồn'!J:J, 'Data nguồn'!D:D, $D44, 'Data nguồn'!F:F, $B$1, 'Data nguồn'!C:C, O$3)</f>
      </c>
      <c r="P44" s="3">
        <f>SUMIFS('Data nguồn'!J:J, 'Data nguồn'!D:D, $D44, 'Data nguồn'!F:F, $B$1, 'Data nguồn'!C:C, P$3)</f>
      </c>
      <c r="Q44" s="3">
        <f>SUMIFS('Data nguồn'!J:J, 'Data nguồn'!D:D, $D44, 'Data nguồn'!F:F, $B$1, 'Data nguồn'!C:C, Q$3)</f>
      </c>
      <c r="R44" s="3">
        <f>SUMIFS('Data nguồn'!J:J, 'Data nguồn'!D:D, $D44, 'Data nguồn'!F:F, $B$1, 'Data nguồn'!C:C, R$3)</f>
      </c>
      <c r="S44" s="3">
        <f>SUMIFS('Data nguồn'!J:J, 'Data nguồn'!D:D, $D44, 'Data nguồn'!F:F, $B$1, 'Data nguồn'!C:C, S$3)</f>
      </c>
      <c r="T44" s="3">
        <f>SUMIFS('Data nguồn'!J:J, 'Data nguồn'!D:D, $D44, 'Data nguồn'!F:F, $B$1, 'Data nguồn'!C:C, T$3)</f>
      </c>
      <c r="V44" s="3">
        <f>SUM(E44:P44)</f>
      </c>
      <c r="W44" s="3">
        <f>SUM(Q44:T44)</f>
      </c>
      <c r="X44" s="3">
        <f>AVERAGE(R44:T44)</f>
      </c>
      <c r="Y44" s="3">
        <f>AVERAGE(O44:T44)</f>
      </c>
      <c r="Z44" s="3">
        <f>AVERAGE(L44:T44)</f>
      </c>
      <c r="AA44" s="4">
        <f>IFERROR((X44*2)/(Y44+Z44), 0)</f>
      </c>
      <c r="AB44" s="4">
        <f>IFERROR(W44/SUM(E44:H44), 0)</f>
      </c>
      <c r="AC44" s="4">
        <f>IFERROR(W44/SUM(E44:H44), 0)</f>
      </c>
      <c r="AD44" s="4">
        <f>IFERROR(T44/H44, 0)</f>
      </c>
    </row>
    <row r="45" ht="20" customHeight="1" spans="1:30" x14ac:dyDescent="0.25">
      <c r="A45">
        <v>42</v>
      </c>
      <c r="B45" t="s">
        <v>104</v>
      </c>
      <c r="C45" t="s">
        <v>363</v>
      </c>
      <c r="D45" s="2" t="s">
        <v>104</v>
      </c>
      <c r="E45" s="3">
        <f>SUMIFS('Data nguồn'!J:J, 'Data nguồn'!D:D, $D45, 'Data nguồn'!F:F, $B$1, 'Data nguồn'!C:C, E$3)</f>
      </c>
      <c r="F45" s="3">
        <f>SUMIFS('Data nguồn'!J:J, 'Data nguồn'!D:D, $D45, 'Data nguồn'!F:F, $B$1, 'Data nguồn'!C:C, F$3)</f>
      </c>
      <c r="G45" s="3">
        <f>SUMIFS('Data nguồn'!J:J, 'Data nguồn'!D:D, $D45, 'Data nguồn'!F:F, $B$1, 'Data nguồn'!C:C, G$3)</f>
      </c>
      <c r="H45" s="3">
        <f>SUMIFS('Data nguồn'!J:J, 'Data nguồn'!D:D, $D45, 'Data nguồn'!F:F, $B$1, 'Data nguồn'!C:C, H$3)</f>
      </c>
      <c r="I45" s="3">
        <f>SUMIFS('Data nguồn'!J:J, 'Data nguồn'!D:D, $D45, 'Data nguồn'!F:F, $B$1, 'Data nguồn'!C:C, I$3)</f>
      </c>
      <c r="J45" s="3">
        <f>SUMIFS('Data nguồn'!J:J, 'Data nguồn'!D:D, $D45, 'Data nguồn'!F:F, $B$1, 'Data nguồn'!C:C, J$3)</f>
      </c>
      <c r="K45" s="3">
        <f>SUMIFS('Data nguồn'!J:J, 'Data nguồn'!D:D, $D45, 'Data nguồn'!F:F, $B$1, 'Data nguồn'!C:C, K$3)</f>
      </c>
      <c r="L45" s="3">
        <f>SUMIFS('Data nguồn'!J:J, 'Data nguồn'!D:D, $D45, 'Data nguồn'!F:F, $B$1, 'Data nguồn'!C:C, L$3)</f>
      </c>
      <c r="M45" s="3">
        <f>SUMIFS('Data nguồn'!J:J, 'Data nguồn'!D:D, $D45, 'Data nguồn'!F:F, $B$1, 'Data nguồn'!C:C, M$3)</f>
      </c>
      <c r="N45" s="3">
        <f>SUMIFS('Data nguồn'!J:J, 'Data nguồn'!D:D, $D45, 'Data nguồn'!F:F, $B$1, 'Data nguồn'!C:C, N$3)</f>
      </c>
      <c r="O45" s="3">
        <f>SUMIFS('Data nguồn'!J:J, 'Data nguồn'!D:D, $D45, 'Data nguồn'!F:F, $B$1, 'Data nguồn'!C:C, O$3)</f>
      </c>
      <c r="P45" s="3">
        <f>SUMIFS('Data nguồn'!J:J, 'Data nguồn'!D:D, $D45, 'Data nguồn'!F:F, $B$1, 'Data nguồn'!C:C, P$3)</f>
      </c>
      <c r="Q45" s="3">
        <f>SUMIFS('Data nguồn'!J:J, 'Data nguồn'!D:D, $D45, 'Data nguồn'!F:F, $B$1, 'Data nguồn'!C:C, Q$3)</f>
      </c>
      <c r="R45" s="3">
        <f>SUMIFS('Data nguồn'!J:J, 'Data nguồn'!D:D, $D45, 'Data nguồn'!F:F, $B$1, 'Data nguồn'!C:C, R$3)</f>
      </c>
      <c r="S45" s="3">
        <f>SUMIFS('Data nguồn'!J:J, 'Data nguồn'!D:D, $D45, 'Data nguồn'!F:F, $B$1, 'Data nguồn'!C:C, S$3)</f>
      </c>
      <c r="T45" s="3">
        <f>SUMIFS('Data nguồn'!J:J, 'Data nguồn'!D:D, $D45, 'Data nguồn'!F:F, $B$1, 'Data nguồn'!C:C, T$3)</f>
      </c>
      <c r="V45" s="3">
        <f>SUM(E45:P45)</f>
      </c>
      <c r="W45" s="3">
        <f>SUM(Q45:T45)</f>
      </c>
      <c r="X45" s="3">
        <f>AVERAGE(R45:T45)</f>
      </c>
      <c r="Y45" s="3">
        <f>AVERAGE(O45:T45)</f>
      </c>
      <c r="Z45" s="3">
        <f>AVERAGE(L45:T45)</f>
      </c>
      <c r="AA45" s="4">
        <f>IFERROR((X45*2)/(Y45+Z45), 0)</f>
      </c>
      <c r="AB45" s="4">
        <f>IFERROR(W45/SUM(E45:H45), 0)</f>
      </c>
      <c r="AC45" s="4">
        <f>IFERROR(W45/SUM(E45:H45), 0)</f>
      </c>
      <c r="AD45" s="4">
        <f>IFERROR(T45/H45, 0)</f>
      </c>
    </row>
    <row r="46" ht="20" customHeight="1" spans="1:30" x14ac:dyDescent="0.25">
      <c r="A46">
        <v>43</v>
      </c>
      <c r="B46" t="s">
        <v>106</v>
      </c>
      <c r="C46" t="s">
        <v>367</v>
      </c>
      <c r="D46" s="2" t="s">
        <v>106</v>
      </c>
      <c r="E46" s="3">
        <f>SUMIFS('Data nguồn'!J:J, 'Data nguồn'!D:D, $D46, 'Data nguồn'!F:F, $B$1, 'Data nguồn'!C:C, E$3)</f>
      </c>
      <c r="F46" s="3">
        <f>SUMIFS('Data nguồn'!J:J, 'Data nguồn'!D:D, $D46, 'Data nguồn'!F:F, $B$1, 'Data nguồn'!C:C, F$3)</f>
      </c>
      <c r="G46" s="3">
        <f>SUMIFS('Data nguồn'!J:J, 'Data nguồn'!D:D, $D46, 'Data nguồn'!F:F, $B$1, 'Data nguồn'!C:C, G$3)</f>
      </c>
      <c r="H46" s="3">
        <f>SUMIFS('Data nguồn'!J:J, 'Data nguồn'!D:D, $D46, 'Data nguồn'!F:F, $B$1, 'Data nguồn'!C:C, H$3)</f>
      </c>
      <c r="I46" s="3">
        <f>SUMIFS('Data nguồn'!J:J, 'Data nguồn'!D:D, $D46, 'Data nguồn'!F:F, $B$1, 'Data nguồn'!C:C, I$3)</f>
      </c>
      <c r="J46" s="3">
        <f>SUMIFS('Data nguồn'!J:J, 'Data nguồn'!D:D, $D46, 'Data nguồn'!F:F, $B$1, 'Data nguồn'!C:C, J$3)</f>
      </c>
      <c r="K46" s="3">
        <f>SUMIFS('Data nguồn'!J:J, 'Data nguồn'!D:D, $D46, 'Data nguồn'!F:F, $B$1, 'Data nguồn'!C:C, K$3)</f>
      </c>
      <c r="L46" s="3">
        <f>SUMIFS('Data nguồn'!J:J, 'Data nguồn'!D:D, $D46, 'Data nguồn'!F:F, $B$1, 'Data nguồn'!C:C, L$3)</f>
      </c>
      <c r="M46" s="3">
        <f>SUMIFS('Data nguồn'!J:J, 'Data nguồn'!D:D, $D46, 'Data nguồn'!F:F, $B$1, 'Data nguồn'!C:C, M$3)</f>
      </c>
      <c r="N46" s="3">
        <f>SUMIFS('Data nguồn'!J:J, 'Data nguồn'!D:D, $D46, 'Data nguồn'!F:F, $B$1, 'Data nguồn'!C:C, N$3)</f>
      </c>
      <c r="O46" s="3">
        <f>SUMIFS('Data nguồn'!J:J, 'Data nguồn'!D:D, $D46, 'Data nguồn'!F:F, $B$1, 'Data nguồn'!C:C, O$3)</f>
      </c>
      <c r="P46" s="3">
        <f>SUMIFS('Data nguồn'!J:J, 'Data nguồn'!D:D, $D46, 'Data nguồn'!F:F, $B$1, 'Data nguồn'!C:C, P$3)</f>
      </c>
      <c r="Q46" s="3">
        <f>SUMIFS('Data nguồn'!J:J, 'Data nguồn'!D:D, $D46, 'Data nguồn'!F:F, $B$1, 'Data nguồn'!C:C, Q$3)</f>
      </c>
      <c r="R46" s="3">
        <f>SUMIFS('Data nguồn'!J:J, 'Data nguồn'!D:D, $D46, 'Data nguồn'!F:F, $B$1, 'Data nguồn'!C:C, R$3)</f>
      </c>
      <c r="S46" s="3">
        <f>SUMIFS('Data nguồn'!J:J, 'Data nguồn'!D:D, $D46, 'Data nguồn'!F:F, $B$1, 'Data nguồn'!C:C, S$3)</f>
      </c>
      <c r="T46" s="3">
        <f>SUMIFS('Data nguồn'!J:J, 'Data nguồn'!D:D, $D46, 'Data nguồn'!F:F, $B$1, 'Data nguồn'!C:C, T$3)</f>
      </c>
      <c r="V46" s="3">
        <f>SUM(E46:P46)</f>
      </c>
      <c r="W46" s="3">
        <f>SUM(Q46:T46)</f>
      </c>
      <c r="X46" s="3">
        <f>AVERAGE(R46:T46)</f>
      </c>
      <c r="Y46" s="3">
        <f>AVERAGE(O46:T46)</f>
      </c>
      <c r="Z46" s="3">
        <f>AVERAGE(L46:T46)</f>
      </c>
      <c r="AA46" s="4">
        <f>IFERROR((X46*2)/(Y46+Z46), 0)</f>
      </c>
      <c r="AB46" s="4">
        <f>IFERROR(W46/SUM(E46:H46), 0)</f>
      </c>
      <c r="AC46" s="4">
        <f>IFERROR(W46/SUM(E46:H46), 0)</f>
      </c>
      <c r="AD46" s="4">
        <f>IFERROR(T46/H46, 0)</f>
      </c>
    </row>
    <row r="47" ht="20" customHeight="1" spans="1:30" x14ac:dyDescent="0.25">
      <c r="A47">
        <v>44</v>
      </c>
      <c r="B47" t="s">
        <v>107</v>
      </c>
      <c r="C47" t="s">
        <v>367</v>
      </c>
      <c r="D47" s="2" t="s">
        <v>107</v>
      </c>
      <c r="E47" s="3">
        <f>SUMIFS('Data nguồn'!J:J, 'Data nguồn'!D:D, $D47, 'Data nguồn'!F:F, $B$1, 'Data nguồn'!C:C, E$3)</f>
      </c>
      <c r="F47" s="3">
        <f>SUMIFS('Data nguồn'!J:J, 'Data nguồn'!D:D, $D47, 'Data nguồn'!F:F, $B$1, 'Data nguồn'!C:C, F$3)</f>
      </c>
      <c r="G47" s="3">
        <f>SUMIFS('Data nguồn'!J:J, 'Data nguồn'!D:D, $D47, 'Data nguồn'!F:F, $B$1, 'Data nguồn'!C:C, G$3)</f>
      </c>
      <c r="H47" s="3">
        <f>SUMIFS('Data nguồn'!J:J, 'Data nguồn'!D:D, $D47, 'Data nguồn'!F:F, $B$1, 'Data nguồn'!C:C, H$3)</f>
      </c>
      <c r="I47" s="3">
        <f>SUMIFS('Data nguồn'!J:J, 'Data nguồn'!D:D, $D47, 'Data nguồn'!F:F, $B$1, 'Data nguồn'!C:C, I$3)</f>
      </c>
      <c r="J47" s="3">
        <f>SUMIFS('Data nguồn'!J:J, 'Data nguồn'!D:D, $D47, 'Data nguồn'!F:F, $B$1, 'Data nguồn'!C:C, J$3)</f>
      </c>
      <c r="K47" s="3">
        <f>SUMIFS('Data nguồn'!J:J, 'Data nguồn'!D:D, $D47, 'Data nguồn'!F:F, $B$1, 'Data nguồn'!C:C, K$3)</f>
      </c>
      <c r="L47" s="3">
        <f>SUMIFS('Data nguồn'!J:J, 'Data nguồn'!D:D, $D47, 'Data nguồn'!F:F, $B$1, 'Data nguồn'!C:C, L$3)</f>
      </c>
      <c r="M47" s="3">
        <f>SUMIFS('Data nguồn'!J:J, 'Data nguồn'!D:D, $D47, 'Data nguồn'!F:F, $B$1, 'Data nguồn'!C:C, M$3)</f>
      </c>
      <c r="N47" s="3">
        <f>SUMIFS('Data nguồn'!J:J, 'Data nguồn'!D:D, $D47, 'Data nguồn'!F:F, $B$1, 'Data nguồn'!C:C, N$3)</f>
      </c>
      <c r="O47" s="3">
        <f>SUMIFS('Data nguồn'!J:J, 'Data nguồn'!D:D, $D47, 'Data nguồn'!F:F, $B$1, 'Data nguồn'!C:C, O$3)</f>
      </c>
      <c r="P47" s="3">
        <f>SUMIFS('Data nguồn'!J:J, 'Data nguồn'!D:D, $D47, 'Data nguồn'!F:F, $B$1, 'Data nguồn'!C:C, P$3)</f>
      </c>
      <c r="Q47" s="3">
        <f>SUMIFS('Data nguồn'!J:J, 'Data nguồn'!D:D, $D47, 'Data nguồn'!F:F, $B$1, 'Data nguồn'!C:C, Q$3)</f>
      </c>
      <c r="R47" s="3">
        <f>SUMIFS('Data nguồn'!J:J, 'Data nguồn'!D:D, $D47, 'Data nguồn'!F:F, $B$1, 'Data nguồn'!C:C, R$3)</f>
      </c>
      <c r="S47" s="3">
        <f>SUMIFS('Data nguồn'!J:J, 'Data nguồn'!D:D, $D47, 'Data nguồn'!F:F, $B$1, 'Data nguồn'!C:C, S$3)</f>
      </c>
      <c r="T47" s="3">
        <f>SUMIFS('Data nguồn'!J:J, 'Data nguồn'!D:D, $D47, 'Data nguồn'!F:F, $B$1, 'Data nguồn'!C:C, T$3)</f>
      </c>
      <c r="V47" s="3">
        <f>SUM(E47:P47)</f>
      </c>
      <c r="W47" s="3">
        <f>SUM(Q47:T47)</f>
      </c>
      <c r="X47" s="3">
        <f>AVERAGE(R47:T47)</f>
      </c>
      <c r="Y47" s="3">
        <f>AVERAGE(O47:T47)</f>
      </c>
      <c r="Z47" s="3">
        <f>AVERAGE(L47:T47)</f>
      </c>
      <c r="AA47" s="4">
        <f>IFERROR((X47*2)/(Y47+Z47), 0)</f>
      </c>
      <c r="AB47" s="4">
        <f>IFERROR(W47/SUM(E47:H47), 0)</f>
      </c>
      <c r="AC47" s="4">
        <f>IFERROR(W47/SUM(E47:H47), 0)</f>
      </c>
      <c r="AD47" s="4">
        <f>IFERROR(T47/H47, 0)</f>
      </c>
    </row>
    <row r="48" ht="20" customHeight="1" spans="1:30" x14ac:dyDescent="0.25">
      <c r="A48">
        <v>45</v>
      </c>
      <c r="B48" t="s">
        <v>108</v>
      </c>
      <c r="C48" t="s">
        <v>367</v>
      </c>
      <c r="D48" s="2" t="s">
        <v>108</v>
      </c>
      <c r="E48" s="3">
        <f>SUMIFS('Data nguồn'!J:J, 'Data nguồn'!D:D, $D48, 'Data nguồn'!F:F, $B$1, 'Data nguồn'!C:C, E$3)</f>
      </c>
      <c r="F48" s="3">
        <f>SUMIFS('Data nguồn'!J:J, 'Data nguồn'!D:D, $D48, 'Data nguồn'!F:F, $B$1, 'Data nguồn'!C:C, F$3)</f>
      </c>
      <c r="G48" s="3">
        <f>SUMIFS('Data nguồn'!J:J, 'Data nguồn'!D:D, $D48, 'Data nguồn'!F:F, $B$1, 'Data nguồn'!C:C, G$3)</f>
      </c>
      <c r="H48" s="3">
        <f>SUMIFS('Data nguồn'!J:J, 'Data nguồn'!D:D, $D48, 'Data nguồn'!F:F, $B$1, 'Data nguồn'!C:C, H$3)</f>
      </c>
      <c r="I48" s="3">
        <f>SUMIFS('Data nguồn'!J:J, 'Data nguồn'!D:D, $D48, 'Data nguồn'!F:F, $B$1, 'Data nguồn'!C:C, I$3)</f>
      </c>
      <c r="J48" s="3">
        <f>SUMIFS('Data nguồn'!J:J, 'Data nguồn'!D:D, $D48, 'Data nguồn'!F:F, $B$1, 'Data nguồn'!C:C, J$3)</f>
      </c>
      <c r="K48" s="3">
        <f>SUMIFS('Data nguồn'!J:J, 'Data nguồn'!D:D, $D48, 'Data nguồn'!F:F, $B$1, 'Data nguồn'!C:C, K$3)</f>
      </c>
      <c r="L48" s="3">
        <f>SUMIFS('Data nguồn'!J:J, 'Data nguồn'!D:D, $D48, 'Data nguồn'!F:F, $B$1, 'Data nguồn'!C:C, L$3)</f>
      </c>
      <c r="M48" s="3">
        <f>SUMIFS('Data nguồn'!J:J, 'Data nguồn'!D:D, $D48, 'Data nguồn'!F:F, $B$1, 'Data nguồn'!C:C, M$3)</f>
      </c>
      <c r="N48" s="3">
        <f>SUMIFS('Data nguồn'!J:J, 'Data nguồn'!D:D, $D48, 'Data nguồn'!F:F, $B$1, 'Data nguồn'!C:C, N$3)</f>
      </c>
      <c r="O48" s="3">
        <f>SUMIFS('Data nguồn'!J:J, 'Data nguồn'!D:D, $D48, 'Data nguồn'!F:F, $B$1, 'Data nguồn'!C:C, O$3)</f>
      </c>
      <c r="P48" s="3">
        <f>SUMIFS('Data nguồn'!J:J, 'Data nguồn'!D:D, $D48, 'Data nguồn'!F:F, $B$1, 'Data nguồn'!C:C, P$3)</f>
      </c>
      <c r="Q48" s="3">
        <f>SUMIFS('Data nguồn'!J:J, 'Data nguồn'!D:D, $D48, 'Data nguồn'!F:F, $B$1, 'Data nguồn'!C:C, Q$3)</f>
      </c>
      <c r="R48" s="3">
        <f>SUMIFS('Data nguồn'!J:J, 'Data nguồn'!D:D, $D48, 'Data nguồn'!F:F, $B$1, 'Data nguồn'!C:C, R$3)</f>
      </c>
      <c r="S48" s="3">
        <f>SUMIFS('Data nguồn'!J:J, 'Data nguồn'!D:D, $D48, 'Data nguồn'!F:F, $B$1, 'Data nguồn'!C:C, S$3)</f>
      </c>
      <c r="T48" s="3">
        <f>SUMIFS('Data nguồn'!J:J, 'Data nguồn'!D:D, $D48, 'Data nguồn'!F:F, $B$1, 'Data nguồn'!C:C, T$3)</f>
      </c>
      <c r="V48" s="3">
        <f>SUM(E48:P48)</f>
      </c>
      <c r="W48" s="3">
        <f>SUM(Q48:T48)</f>
      </c>
      <c r="X48" s="3">
        <f>AVERAGE(R48:T48)</f>
      </c>
      <c r="Y48" s="3">
        <f>AVERAGE(O48:T48)</f>
      </c>
      <c r="Z48" s="3">
        <f>AVERAGE(L48:T48)</f>
      </c>
      <c r="AA48" s="4">
        <f>IFERROR((X48*2)/(Y48+Z48), 0)</f>
      </c>
      <c r="AB48" s="4">
        <f>IFERROR(W48/SUM(E48:H48), 0)</f>
      </c>
      <c r="AC48" s="4">
        <f>IFERROR(W48/SUM(E48:H48), 0)</f>
      </c>
      <c r="AD48" s="4">
        <f>IFERROR(T48/H48, 0)</f>
      </c>
    </row>
    <row r="49" ht="20" customHeight="1" spans="1:30" x14ac:dyDescent="0.25">
      <c r="A49">
        <v>46</v>
      </c>
      <c r="B49" t="s">
        <v>109</v>
      </c>
      <c r="C49" t="s">
        <v>367</v>
      </c>
      <c r="D49" s="2" t="s">
        <v>109</v>
      </c>
      <c r="E49" s="3">
        <f>SUMIFS('Data nguồn'!J:J, 'Data nguồn'!D:D, $D49, 'Data nguồn'!F:F, $B$1, 'Data nguồn'!C:C, E$3)</f>
      </c>
      <c r="F49" s="3">
        <f>SUMIFS('Data nguồn'!J:J, 'Data nguồn'!D:D, $D49, 'Data nguồn'!F:F, $B$1, 'Data nguồn'!C:C, F$3)</f>
      </c>
      <c r="G49" s="3">
        <f>SUMIFS('Data nguồn'!J:J, 'Data nguồn'!D:D, $D49, 'Data nguồn'!F:F, $B$1, 'Data nguồn'!C:C, G$3)</f>
      </c>
      <c r="H49" s="3">
        <f>SUMIFS('Data nguồn'!J:J, 'Data nguồn'!D:D, $D49, 'Data nguồn'!F:F, $B$1, 'Data nguồn'!C:C, H$3)</f>
      </c>
      <c r="I49" s="3">
        <f>SUMIFS('Data nguồn'!J:J, 'Data nguồn'!D:D, $D49, 'Data nguồn'!F:F, $B$1, 'Data nguồn'!C:C, I$3)</f>
      </c>
      <c r="J49" s="3">
        <f>SUMIFS('Data nguồn'!J:J, 'Data nguồn'!D:D, $D49, 'Data nguồn'!F:F, $B$1, 'Data nguồn'!C:C, J$3)</f>
      </c>
      <c r="K49" s="3">
        <f>SUMIFS('Data nguồn'!J:J, 'Data nguồn'!D:D, $D49, 'Data nguồn'!F:F, $B$1, 'Data nguồn'!C:C, K$3)</f>
      </c>
      <c r="L49" s="3">
        <f>SUMIFS('Data nguồn'!J:J, 'Data nguồn'!D:D, $D49, 'Data nguồn'!F:F, $B$1, 'Data nguồn'!C:C, L$3)</f>
      </c>
      <c r="M49" s="3">
        <f>SUMIFS('Data nguồn'!J:J, 'Data nguồn'!D:D, $D49, 'Data nguồn'!F:F, $B$1, 'Data nguồn'!C:C, M$3)</f>
      </c>
      <c r="N49" s="3">
        <f>SUMIFS('Data nguồn'!J:J, 'Data nguồn'!D:D, $D49, 'Data nguồn'!F:F, $B$1, 'Data nguồn'!C:C, N$3)</f>
      </c>
      <c r="O49" s="3">
        <f>SUMIFS('Data nguồn'!J:J, 'Data nguồn'!D:D, $D49, 'Data nguồn'!F:F, $B$1, 'Data nguồn'!C:C, O$3)</f>
      </c>
      <c r="P49" s="3">
        <f>SUMIFS('Data nguồn'!J:J, 'Data nguồn'!D:D, $D49, 'Data nguồn'!F:F, $B$1, 'Data nguồn'!C:C, P$3)</f>
      </c>
      <c r="Q49" s="3">
        <f>SUMIFS('Data nguồn'!J:J, 'Data nguồn'!D:D, $D49, 'Data nguồn'!F:F, $B$1, 'Data nguồn'!C:C, Q$3)</f>
      </c>
      <c r="R49" s="3">
        <f>SUMIFS('Data nguồn'!J:J, 'Data nguồn'!D:D, $D49, 'Data nguồn'!F:F, $B$1, 'Data nguồn'!C:C, R$3)</f>
      </c>
      <c r="S49" s="3">
        <f>SUMIFS('Data nguồn'!J:J, 'Data nguồn'!D:D, $D49, 'Data nguồn'!F:F, $B$1, 'Data nguồn'!C:C, S$3)</f>
      </c>
      <c r="T49" s="3">
        <f>SUMIFS('Data nguồn'!J:J, 'Data nguồn'!D:D, $D49, 'Data nguồn'!F:F, $B$1, 'Data nguồn'!C:C, T$3)</f>
      </c>
      <c r="V49" s="3">
        <f>SUM(E49:P49)</f>
      </c>
      <c r="W49" s="3">
        <f>SUM(Q49:T49)</f>
      </c>
      <c r="X49" s="3">
        <f>AVERAGE(R49:T49)</f>
      </c>
      <c r="Y49" s="3">
        <f>AVERAGE(O49:T49)</f>
      </c>
      <c r="Z49" s="3">
        <f>AVERAGE(L49:T49)</f>
      </c>
      <c r="AA49" s="4">
        <f>IFERROR((X49*2)/(Y49+Z49), 0)</f>
      </c>
      <c r="AB49" s="4">
        <f>IFERROR(W49/SUM(E49:H49), 0)</f>
      </c>
      <c r="AC49" s="4">
        <f>IFERROR(W49/SUM(E49:H49), 0)</f>
      </c>
      <c r="AD49" s="4">
        <f>IFERROR(T49/H49, 0)</f>
      </c>
    </row>
    <row r="50" ht="20" customHeight="1" spans="1:30" x14ac:dyDescent="0.25">
      <c r="A50">
        <v>47</v>
      </c>
      <c r="B50" t="s">
        <v>111</v>
      </c>
      <c r="C50" t="s">
        <v>370</v>
      </c>
      <c r="D50" s="2" t="s">
        <v>111</v>
      </c>
      <c r="E50" s="3">
        <f>SUMIFS('Data nguồn'!J:J, 'Data nguồn'!D:D, $D50, 'Data nguồn'!F:F, $B$1, 'Data nguồn'!C:C, E$3)</f>
      </c>
      <c r="F50" s="3">
        <f>SUMIFS('Data nguồn'!J:J, 'Data nguồn'!D:D, $D50, 'Data nguồn'!F:F, $B$1, 'Data nguồn'!C:C, F$3)</f>
      </c>
      <c r="G50" s="3">
        <f>SUMIFS('Data nguồn'!J:J, 'Data nguồn'!D:D, $D50, 'Data nguồn'!F:F, $B$1, 'Data nguồn'!C:C, G$3)</f>
      </c>
      <c r="H50" s="3">
        <f>SUMIFS('Data nguồn'!J:J, 'Data nguồn'!D:D, $D50, 'Data nguồn'!F:F, $B$1, 'Data nguồn'!C:C, H$3)</f>
      </c>
      <c r="I50" s="3">
        <f>SUMIFS('Data nguồn'!J:J, 'Data nguồn'!D:D, $D50, 'Data nguồn'!F:F, $B$1, 'Data nguồn'!C:C, I$3)</f>
      </c>
      <c r="J50" s="3">
        <f>SUMIFS('Data nguồn'!J:J, 'Data nguồn'!D:D, $D50, 'Data nguồn'!F:F, $B$1, 'Data nguồn'!C:C, J$3)</f>
      </c>
      <c r="K50" s="3">
        <f>SUMIFS('Data nguồn'!J:J, 'Data nguồn'!D:D, $D50, 'Data nguồn'!F:F, $B$1, 'Data nguồn'!C:C, K$3)</f>
      </c>
      <c r="L50" s="3">
        <f>SUMIFS('Data nguồn'!J:J, 'Data nguồn'!D:D, $D50, 'Data nguồn'!F:F, $B$1, 'Data nguồn'!C:C, L$3)</f>
      </c>
      <c r="M50" s="3">
        <f>SUMIFS('Data nguồn'!J:J, 'Data nguồn'!D:D, $D50, 'Data nguồn'!F:F, $B$1, 'Data nguồn'!C:C, M$3)</f>
      </c>
      <c r="N50" s="3">
        <f>SUMIFS('Data nguồn'!J:J, 'Data nguồn'!D:D, $D50, 'Data nguồn'!F:F, $B$1, 'Data nguồn'!C:C, N$3)</f>
      </c>
      <c r="O50" s="3">
        <f>SUMIFS('Data nguồn'!J:J, 'Data nguồn'!D:D, $D50, 'Data nguồn'!F:F, $B$1, 'Data nguồn'!C:C, O$3)</f>
      </c>
      <c r="P50" s="3">
        <f>SUMIFS('Data nguồn'!J:J, 'Data nguồn'!D:D, $D50, 'Data nguồn'!F:F, $B$1, 'Data nguồn'!C:C, P$3)</f>
      </c>
      <c r="Q50" s="3">
        <f>SUMIFS('Data nguồn'!J:J, 'Data nguồn'!D:D, $D50, 'Data nguồn'!F:F, $B$1, 'Data nguồn'!C:C, Q$3)</f>
      </c>
      <c r="R50" s="3">
        <f>SUMIFS('Data nguồn'!J:J, 'Data nguồn'!D:D, $D50, 'Data nguồn'!F:F, $B$1, 'Data nguồn'!C:C, R$3)</f>
      </c>
      <c r="S50" s="3">
        <f>SUMIFS('Data nguồn'!J:J, 'Data nguồn'!D:D, $D50, 'Data nguồn'!F:F, $B$1, 'Data nguồn'!C:C, S$3)</f>
      </c>
      <c r="T50" s="3">
        <f>SUMIFS('Data nguồn'!J:J, 'Data nguồn'!D:D, $D50, 'Data nguồn'!F:F, $B$1, 'Data nguồn'!C:C, T$3)</f>
      </c>
      <c r="V50" s="3">
        <f>SUM(E50:P50)</f>
      </c>
      <c r="W50" s="3">
        <f>SUM(Q50:T50)</f>
      </c>
      <c r="X50" s="3">
        <f>AVERAGE(R50:T50)</f>
      </c>
      <c r="Y50" s="3">
        <f>AVERAGE(O50:T50)</f>
      </c>
      <c r="Z50" s="3">
        <f>AVERAGE(L50:T50)</f>
      </c>
      <c r="AA50" s="4">
        <f>IFERROR((X50*2)/(Y50+Z50), 0)</f>
      </c>
      <c r="AB50" s="4">
        <f>IFERROR(W50/SUM(E50:H50), 0)</f>
      </c>
      <c r="AC50" s="4">
        <f>IFERROR(W50/SUM(E50:H50), 0)</f>
      </c>
      <c r="AD50" s="4">
        <f>IFERROR(T50/H50, 0)</f>
      </c>
    </row>
    <row r="51" ht="20" customHeight="1" spans="1:30" x14ac:dyDescent="0.25">
      <c r="A51">
        <v>48</v>
      </c>
      <c r="B51" t="s">
        <v>112</v>
      </c>
      <c r="C51" t="s">
        <v>370</v>
      </c>
      <c r="D51" s="2" t="s">
        <v>112</v>
      </c>
      <c r="E51" s="3">
        <f>SUMIFS('Data nguồn'!J:J, 'Data nguồn'!D:D, $D51, 'Data nguồn'!F:F, $B$1, 'Data nguồn'!C:C, E$3)</f>
      </c>
      <c r="F51" s="3">
        <f>SUMIFS('Data nguồn'!J:J, 'Data nguồn'!D:D, $D51, 'Data nguồn'!F:F, $B$1, 'Data nguồn'!C:C, F$3)</f>
      </c>
      <c r="G51" s="3">
        <f>SUMIFS('Data nguồn'!J:J, 'Data nguồn'!D:D, $D51, 'Data nguồn'!F:F, $B$1, 'Data nguồn'!C:C, G$3)</f>
      </c>
      <c r="H51" s="3">
        <f>SUMIFS('Data nguồn'!J:J, 'Data nguồn'!D:D, $D51, 'Data nguồn'!F:F, $B$1, 'Data nguồn'!C:C, H$3)</f>
      </c>
      <c r="I51" s="3">
        <f>SUMIFS('Data nguồn'!J:J, 'Data nguồn'!D:D, $D51, 'Data nguồn'!F:F, $B$1, 'Data nguồn'!C:C, I$3)</f>
      </c>
      <c r="J51" s="3">
        <f>SUMIFS('Data nguồn'!J:J, 'Data nguồn'!D:D, $D51, 'Data nguồn'!F:F, $B$1, 'Data nguồn'!C:C, J$3)</f>
      </c>
      <c r="K51" s="3">
        <f>SUMIFS('Data nguồn'!J:J, 'Data nguồn'!D:D, $D51, 'Data nguồn'!F:F, $B$1, 'Data nguồn'!C:C, K$3)</f>
      </c>
      <c r="L51" s="3">
        <f>SUMIFS('Data nguồn'!J:J, 'Data nguồn'!D:D, $D51, 'Data nguồn'!F:F, $B$1, 'Data nguồn'!C:C, L$3)</f>
      </c>
      <c r="M51" s="3">
        <f>SUMIFS('Data nguồn'!J:J, 'Data nguồn'!D:D, $D51, 'Data nguồn'!F:F, $B$1, 'Data nguồn'!C:C, M$3)</f>
      </c>
      <c r="N51" s="3">
        <f>SUMIFS('Data nguồn'!J:J, 'Data nguồn'!D:D, $D51, 'Data nguồn'!F:F, $B$1, 'Data nguồn'!C:C, N$3)</f>
      </c>
      <c r="O51" s="3">
        <f>SUMIFS('Data nguồn'!J:J, 'Data nguồn'!D:D, $D51, 'Data nguồn'!F:F, $B$1, 'Data nguồn'!C:C, O$3)</f>
      </c>
      <c r="P51" s="3">
        <f>SUMIFS('Data nguồn'!J:J, 'Data nguồn'!D:D, $D51, 'Data nguồn'!F:F, $B$1, 'Data nguồn'!C:C, P$3)</f>
      </c>
      <c r="Q51" s="3">
        <f>SUMIFS('Data nguồn'!J:J, 'Data nguồn'!D:D, $D51, 'Data nguồn'!F:F, $B$1, 'Data nguồn'!C:C, Q$3)</f>
      </c>
      <c r="R51" s="3">
        <f>SUMIFS('Data nguồn'!J:J, 'Data nguồn'!D:D, $D51, 'Data nguồn'!F:F, $B$1, 'Data nguồn'!C:C, R$3)</f>
      </c>
      <c r="S51" s="3">
        <f>SUMIFS('Data nguồn'!J:J, 'Data nguồn'!D:D, $D51, 'Data nguồn'!F:F, $B$1, 'Data nguồn'!C:C, S$3)</f>
      </c>
      <c r="T51" s="3">
        <f>SUMIFS('Data nguồn'!J:J, 'Data nguồn'!D:D, $D51, 'Data nguồn'!F:F, $B$1, 'Data nguồn'!C:C, T$3)</f>
      </c>
      <c r="V51" s="3">
        <f>SUM(E51:P51)</f>
      </c>
      <c r="W51" s="3">
        <f>SUM(Q51:T51)</f>
      </c>
      <c r="X51" s="3">
        <f>AVERAGE(R51:T51)</f>
      </c>
      <c r="Y51" s="3">
        <f>AVERAGE(O51:T51)</f>
      </c>
      <c r="Z51" s="3">
        <f>AVERAGE(L51:T51)</f>
      </c>
      <c r="AA51" s="4">
        <f>IFERROR((X51*2)/(Y51+Z51), 0)</f>
      </c>
      <c r="AB51" s="4">
        <f>IFERROR(W51/SUM(E51:H51), 0)</f>
      </c>
      <c r="AC51" s="4">
        <f>IFERROR(W51/SUM(E51:H51), 0)</f>
      </c>
      <c r="AD51" s="4">
        <f>IFERROR(T51/H51, 0)</f>
      </c>
    </row>
    <row r="52" ht="20" customHeight="1" spans="1:30" x14ac:dyDescent="0.25">
      <c r="A52">
        <v>49</v>
      </c>
      <c r="B52" t="s">
        <v>113</v>
      </c>
      <c r="C52" t="s">
        <v>370</v>
      </c>
      <c r="D52" s="2" t="s">
        <v>113</v>
      </c>
      <c r="E52" s="3">
        <f>SUMIFS('Data nguồn'!J:J, 'Data nguồn'!D:D, $D52, 'Data nguồn'!F:F, $B$1, 'Data nguồn'!C:C, E$3)</f>
      </c>
      <c r="F52" s="3">
        <f>SUMIFS('Data nguồn'!J:J, 'Data nguồn'!D:D, $D52, 'Data nguồn'!F:F, $B$1, 'Data nguồn'!C:C, F$3)</f>
      </c>
      <c r="G52" s="3">
        <f>SUMIFS('Data nguồn'!J:J, 'Data nguồn'!D:D, $D52, 'Data nguồn'!F:F, $B$1, 'Data nguồn'!C:C, G$3)</f>
      </c>
      <c r="H52" s="3">
        <f>SUMIFS('Data nguồn'!J:J, 'Data nguồn'!D:D, $D52, 'Data nguồn'!F:F, $B$1, 'Data nguồn'!C:C, H$3)</f>
      </c>
      <c r="I52" s="3">
        <f>SUMIFS('Data nguồn'!J:J, 'Data nguồn'!D:D, $D52, 'Data nguồn'!F:F, $B$1, 'Data nguồn'!C:C, I$3)</f>
      </c>
      <c r="J52" s="3">
        <f>SUMIFS('Data nguồn'!J:J, 'Data nguồn'!D:D, $D52, 'Data nguồn'!F:F, $B$1, 'Data nguồn'!C:C, J$3)</f>
      </c>
      <c r="K52" s="3">
        <f>SUMIFS('Data nguồn'!J:J, 'Data nguồn'!D:D, $D52, 'Data nguồn'!F:F, $B$1, 'Data nguồn'!C:C, K$3)</f>
      </c>
      <c r="L52" s="3">
        <f>SUMIFS('Data nguồn'!J:J, 'Data nguồn'!D:D, $D52, 'Data nguồn'!F:F, $B$1, 'Data nguồn'!C:C, L$3)</f>
      </c>
      <c r="M52" s="3">
        <f>SUMIFS('Data nguồn'!J:J, 'Data nguồn'!D:D, $D52, 'Data nguồn'!F:F, $B$1, 'Data nguồn'!C:C, M$3)</f>
      </c>
      <c r="N52" s="3">
        <f>SUMIFS('Data nguồn'!J:J, 'Data nguồn'!D:D, $D52, 'Data nguồn'!F:F, $B$1, 'Data nguồn'!C:C, N$3)</f>
      </c>
      <c r="O52" s="3">
        <f>SUMIFS('Data nguồn'!J:J, 'Data nguồn'!D:D, $D52, 'Data nguồn'!F:F, $B$1, 'Data nguồn'!C:C, O$3)</f>
      </c>
      <c r="P52" s="3">
        <f>SUMIFS('Data nguồn'!J:J, 'Data nguồn'!D:D, $D52, 'Data nguồn'!F:F, $B$1, 'Data nguồn'!C:C, P$3)</f>
      </c>
      <c r="Q52" s="3">
        <f>SUMIFS('Data nguồn'!J:J, 'Data nguồn'!D:D, $D52, 'Data nguồn'!F:F, $B$1, 'Data nguồn'!C:C, Q$3)</f>
      </c>
      <c r="R52" s="3">
        <f>SUMIFS('Data nguồn'!J:J, 'Data nguồn'!D:D, $D52, 'Data nguồn'!F:F, $B$1, 'Data nguồn'!C:C, R$3)</f>
      </c>
      <c r="S52" s="3">
        <f>SUMIFS('Data nguồn'!J:J, 'Data nguồn'!D:D, $D52, 'Data nguồn'!F:F, $B$1, 'Data nguồn'!C:C, S$3)</f>
      </c>
      <c r="T52" s="3">
        <f>SUMIFS('Data nguồn'!J:J, 'Data nguồn'!D:D, $D52, 'Data nguồn'!F:F, $B$1, 'Data nguồn'!C:C, T$3)</f>
      </c>
      <c r="V52" s="3">
        <f>SUM(E52:P52)</f>
      </c>
      <c r="W52" s="3">
        <f>SUM(Q52:T52)</f>
      </c>
      <c r="X52" s="3">
        <f>AVERAGE(R52:T52)</f>
      </c>
      <c r="Y52" s="3">
        <f>AVERAGE(O52:T52)</f>
      </c>
      <c r="Z52" s="3">
        <f>AVERAGE(L52:T52)</f>
      </c>
      <c r="AA52" s="4">
        <f>IFERROR((X52*2)/(Y52+Z52), 0)</f>
      </c>
      <c r="AB52" s="4">
        <f>IFERROR(W52/SUM(E52:H52), 0)</f>
      </c>
      <c r="AC52" s="4">
        <f>IFERROR(W52/SUM(E52:H52), 0)</f>
      </c>
      <c r="AD52" s="4">
        <f>IFERROR(T52/H52, 0)</f>
      </c>
    </row>
    <row r="53" ht="20" customHeight="1" spans="1:30" x14ac:dyDescent="0.25">
      <c r="A53">
        <v>50</v>
      </c>
      <c r="B53" t="s">
        <v>114</v>
      </c>
      <c r="C53" t="s">
        <v>370</v>
      </c>
      <c r="D53" s="2" t="s">
        <v>114</v>
      </c>
      <c r="E53" s="3">
        <f>SUMIFS('Data nguồn'!J:J, 'Data nguồn'!D:D, $D53, 'Data nguồn'!F:F, $B$1, 'Data nguồn'!C:C, E$3)</f>
      </c>
      <c r="F53" s="3">
        <f>SUMIFS('Data nguồn'!J:J, 'Data nguồn'!D:D, $D53, 'Data nguồn'!F:F, $B$1, 'Data nguồn'!C:C, F$3)</f>
      </c>
      <c r="G53" s="3">
        <f>SUMIFS('Data nguồn'!J:J, 'Data nguồn'!D:D, $D53, 'Data nguồn'!F:F, $B$1, 'Data nguồn'!C:C, G$3)</f>
      </c>
      <c r="H53" s="3">
        <f>SUMIFS('Data nguồn'!J:J, 'Data nguồn'!D:D, $D53, 'Data nguồn'!F:F, $B$1, 'Data nguồn'!C:C, H$3)</f>
      </c>
      <c r="I53" s="3">
        <f>SUMIFS('Data nguồn'!J:J, 'Data nguồn'!D:D, $D53, 'Data nguồn'!F:F, $B$1, 'Data nguồn'!C:C, I$3)</f>
      </c>
      <c r="J53" s="3">
        <f>SUMIFS('Data nguồn'!J:J, 'Data nguồn'!D:D, $D53, 'Data nguồn'!F:F, $B$1, 'Data nguồn'!C:C, J$3)</f>
      </c>
      <c r="K53" s="3">
        <f>SUMIFS('Data nguồn'!J:J, 'Data nguồn'!D:D, $D53, 'Data nguồn'!F:F, $B$1, 'Data nguồn'!C:C, K$3)</f>
      </c>
      <c r="L53" s="3">
        <f>SUMIFS('Data nguồn'!J:J, 'Data nguồn'!D:D, $D53, 'Data nguồn'!F:F, $B$1, 'Data nguồn'!C:C, L$3)</f>
      </c>
      <c r="M53" s="3">
        <f>SUMIFS('Data nguồn'!J:J, 'Data nguồn'!D:D, $D53, 'Data nguồn'!F:F, $B$1, 'Data nguồn'!C:C, M$3)</f>
      </c>
      <c r="N53" s="3">
        <f>SUMIFS('Data nguồn'!J:J, 'Data nguồn'!D:D, $D53, 'Data nguồn'!F:F, $B$1, 'Data nguồn'!C:C, N$3)</f>
      </c>
      <c r="O53" s="3">
        <f>SUMIFS('Data nguồn'!J:J, 'Data nguồn'!D:D, $D53, 'Data nguồn'!F:F, $B$1, 'Data nguồn'!C:C, O$3)</f>
      </c>
      <c r="P53" s="3">
        <f>SUMIFS('Data nguồn'!J:J, 'Data nguồn'!D:D, $D53, 'Data nguồn'!F:F, $B$1, 'Data nguồn'!C:C, P$3)</f>
      </c>
      <c r="Q53" s="3">
        <f>SUMIFS('Data nguồn'!J:J, 'Data nguồn'!D:D, $D53, 'Data nguồn'!F:F, $B$1, 'Data nguồn'!C:C, Q$3)</f>
      </c>
      <c r="R53" s="3">
        <f>SUMIFS('Data nguồn'!J:J, 'Data nguồn'!D:D, $D53, 'Data nguồn'!F:F, $B$1, 'Data nguồn'!C:C, R$3)</f>
      </c>
      <c r="S53" s="3">
        <f>SUMIFS('Data nguồn'!J:J, 'Data nguồn'!D:D, $D53, 'Data nguồn'!F:F, $B$1, 'Data nguồn'!C:C, S$3)</f>
      </c>
      <c r="T53" s="3">
        <f>SUMIFS('Data nguồn'!J:J, 'Data nguồn'!D:D, $D53, 'Data nguồn'!F:F, $B$1, 'Data nguồn'!C:C, T$3)</f>
      </c>
      <c r="V53" s="3">
        <f>SUM(E53:P53)</f>
      </c>
      <c r="W53" s="3">
        <f>SUM(Q53:T53)</f>
      </c>
      <c r="X53" s="3">
        <f>AVERAGE(R53:T53)</f>
      </c>
      <c r="Y53" s="3">
        <f>AVERAGE(O53:T53)</f>
      </c>
      <c r="Z53" s="3">
        <f>AVERAGE(L53:T53)</f>
      </c>
      <c r="AA53" s="4">
        <f>IFERROR((X53*2)/(Y53+Z53), 0)</f>
      </c>
      <c r="AB53" s="4">
        <f>IFERROR(W53/SUM(E53:H53), 0)</f>
      </c>
      <c r="AC53" s="4">
        <f>IFERROR(W53/SUM(E53:H53), 0)</f>
      </c>
      <c r="AD53" s="4">
        <f>IFERROR(T53/H53, 0)</f>
      </c>
    </row>
    <row r="54" ht="20" customHeight="1" spans="1:30" x14ac:dyDescent="0.25">
      <c r="A54">
        <v>51</v>
      </c>
      <c r="B54" t="s">
        <v>115</v>
      </c>
      <c r="C54" t="s">
        <v>370</v>
      </c>
      <c r="D54" s="2" t="s">
        <v>115</v>
      </c>
      <c r="E54" s="3">
        <f>SUMIFS('Data nguồn'!J:J, 'Data nguồn'!D:D, $D54, 'Data nguồn'!F:F, $B$1, 'Data nguồn'!C:C, E$3)</f>
      </c>
      <c r="F54" s="3">
        <f>SUMIFS('Data nguồn'!J:J, 'Data nguồn'!D:D, $D54, 'Data nguồn'!F:F, $B$1, 'Data nguồn'!C:C, F$3)</f>
      </c>
      <c r="G54" s="3">
        <f>SUMIFS('Data nguồn'!J:J, 'Data nguồn'!D:D, $D54, 'Data nguồn'!F:F, $B$1, 'Data nguồn'!C:C, G$3)</f>
      </c>
      <c r="H54" s="3">
        <f>SUMIFS('Data nguồn'!J:J, 'Data nguồn'!D:D, $D54, 'Data nguồn'!F:F, $B$1, 'Data nguồn'!C:C, H$3)</f>
      </c>
      <c r="I54" s="3">
        <f>SUMIFS('Data nguồn'!J:J, 'Data nguồn'!D:D, $D54, 'Data nguồn'!F:F, $B$1, 'Data nguồn'!C:C, I$3)</f>
      </c>
      <c r="J54" s="3">
        <f>SUMIFS('Data nguồn'!J:J, 'Data nguồn'!D:D, $D54, 'Data nguồn'!F:F, $B$1, 'Data nguồn'!C:C, J$3)</f>
      </c>
      <c r="K54" s="3">
        <f>SUMIFS('Data nguồn'!J:J, 'Data nguồn'!D:D, $D54, 'Data nguồn'!F:F, $B$1, 'Data nguồn'!C:C, K$3)</f>
      </c>
      <c r="L54" s="3">
        <f>SUMIFS('Data nguồn'!J:J, 'Data nguồn'!D:D, $D54, 'Data nguồn'!F:F, $B$1, 'Data nguồn'!C:C, L$3)</f>
      </c>
      <c r="M54" s="3">
        <f>SUMIFS('Data nguồn'!J:J, 'Data nguồn'!D:D, $D54, 'Data nguồn'!F:F, $B$1, 'Data nguồn'!C:C, M$3)</f>
      </c>
      <c r="N54" s="3">
        <f>SUMIFS('Data nguồn'!J:J, 'Data nguồn'!D:D, $D54, 'Data nguồn'!F:F, $B$1, 'Data nguồn'!C:C, N$3)</f>
      </c>
      <c r="O54" s="3">
        <f>SUMIFS('Data nguồn'!J:J, 'Data nguồn'!D:D, $D54, 'Data nguồn'!F:F, $B$1, 'Data nguồn'!C:C, O$3)</f>
      </c>
      <c r="P54" s="3">
        <f>SUMIFS('Data nguồn'!J:J, 'Data nguồn'!D:D, $D54, 'Data nguồn'!F:F, $B$1, 'Data nguồn'!C:C, P$3)</f>
      </c>
      <c r="Q54" s="3">
        <f>SUMIFS('Data nguồn'!J:J, 'Data nguồn'!D:D, $D54, 'Data nguồn'!F:F, $B$1, 'Data nguồn'!C:C, Q$3)</f>
      </c>
      <c r="R54" s="3">
        <f>SUMIFS('Data nguồn'!J:J, 'Data nguồn'!D:D, $D54, 'Data nguồn'!F:F, $B$1, 'Data nguồn'!C:C, R$3)</f>
      </c>
      <c r="S54" s="3">
        <f>SUMIFS('Data nguồn'!J:J, 'Data nguồn'!D:D, $D54, 'Data nguồn'!F:F, $B$1, 'Data nguồn'!C:C, S$3)</f>
      </c>
      <c r="T54" s="3">
        <f>SUMIFS('Data nguồn'!J:J, 'Data nguồn'!D:D, $D54, 'Data nguồn'!F:F, $B$1, 'Data nguồn'!C:C, T$3)</f>
      </c>
      <c r="V54" s="3">
        <f>SUM(E54:P54)</f>
      </c>
      <c r="W54" s="3">
        <f>SUM(Q54:T54)</f>
      </c>
      <c r="X54" s="3">
        <f>AVERAGE(R54:T54)</f>
      </c>
      <c r="Y54" s="3">
        <f>AVERAGE(O54:T54)</f>
      </c>
      <c r="Z54" s="3">
        <f>AVERAGE(L54:T54)</f>
      </c>
      <c r="AA54" s="4">
        <f>IFERROR((X54*2)/(Y54+Z54), 0)</f>
      </c>
      <c r="AB54" s="4">
        <f>IFERROR(W54/SUM(E54:H54), 0)</f>
      </c>
      <c r="AC54" s="4">
        <f>IFERROR(W54/SUM(E54:H54), 0)</f>
      </c>
      <c r="AD54" s="4">
        <f>IFERROR(T54/H54, 0)</f>
      </c>
    </row>
    <row r="55" ht="20" customHeight="1" spans="1:30" x14ac:dyDescent="0.25">
      <c r="A55">
        <v>52</v>
      </c>
      <c r="B55" t="s">
        <v>116</v>
      </c>
      <c r="C55" t="s">
        <v>370</v>
      </c>
      <c r="D55" s="2" t="s">
        <v>116</v>
      </c>
      <c r="E55" s="3">
        <f>SUMIFS('Data nguồn'!J:J, 'Data nguồn'!D:D, $D55, 'Data nguồn'!F:F, $B$1, 'Data nguồn'!C:C, E$3)</f>
      </c>
      <c r="F55" s="3">
        <f>SUMIFS('Data nguồn'!J:J, 'Data nguồn'!D:D, $D55, 'Data nguồn'!F:F, $B$1, 'Data nguồn'!C:C, F$3)</f>
      </c>
      <c r="G55" s="3">
        <f>SUMIFS('Data nguồn'!J:J, 'Data nguồn'!D:D, $D55, 'Data nguồn'!F:F, $B$1, 'Data nguồn'!C:C, G$3)</f>
      </c>
      <c r="H55" s="3">
        <f>SUMIFS('Data nguồn'!J:J, 'Data nguồn'!D:D, $D55, 'Data nguồn'!F:F, $B$1, 'Data nguồn'!C:C, H$3)</f>
      </c>
      <c r="I55" s="3">
        <f>SUMIFS('Data nguồn'!J:J, 'Data nguồn'!D:D, $D55, 'Data nguồn'!F:F, $B$1, 'Data nguồn'!C:C, I$3)</f>
      </c>
      <c r="J55" s="3">
        <f>SUMIFS('Data nguồn'!J:J, 'Data nguồn'!D:D, $D55, 'Data nguồn'!F:F, $B$1, 'Data nguồn'!C:C, J$3)</f>
      </c>
      <c r="K55" s="3">
        <f>SUMIFS('Data nguồn'!J:J, 'Data nguồn'!D:D, $D55, 'Data nguồn'!F:F, $B$1, 'Data nguồn'!C:C, K$3)</f>
      </c>
      <c r="L55" s="3">
        <f>SUMIFS('Data nguồn'!J:J, 'Data nguồn'!D:D, $D55, 'Data nguồn'!F:F, $B$1, 'Data nguồn'!C:C, L$3)</f>
      </c>
      <c r="M55" s="3">
        <f>SUMIFS('Data nguồn'!J:J, 'Data nguồn'!D:D, $D55, 'Data nguồn'!F:F, $B$1, 'Data nguồn'!C:C, M$3)</f>
      </c>
      <c r="N55" s="3">
        <f>SUMIFS('Data nguồn'!J:J, 'Data nguồn'!D:D, $D55, 'Data nguồn'!F:F, $B$1, 'Data nguồn'!C:C, N$3)</f>
      </c>
      <c r="O55" s="3">
        <f>SUMIFS('Data nguồn'!J:J, 'Data nguồn'!D:D, $D55, 'Data nguồn'!F:F, $B$1, 'Data nguồn'!C:C, O$3)</f>
      </c>
      <c r="P55" s="3">
        <f>SUMIFS('Data nguồn'!J:J, 'Data nguồn'!D:D, $D55, 'Data nguồn'!F:F, $B$1, 'Data nguồn'!C:C, P$3)</f>
      </c>
      <c r="Q55" s="3">
        <f>SUMIFS('Data nguồn'!J:J, 'Data nguồn'!D:D, $D55, 'Data nguồn'!F:F, $B$1, 'Data nguồn'!C:C, Q$3)</f>
      </c>
      <c r="R55" s="3">
        <f>SUMIFS('Data nguồn'!J:J, 'Data nguồn'!D:D, $D55, 'Data nguồn'!F:F, $B$1, 'Data nguồn'!C:C, R$3)</f>
      </c>
      <c r="S55" s="3">
        <f>SUMIFS('Data nguồn'!J:J, 'Data nguồn'!D:D, $D55, 'Data nguồn'!F:F, $B$1, 'Data nguồn'!C:C, S$3)</f>
      </c>
      <c r="T55" s="3">
        <f>SUMIFS('Data nguồn'!J:J, 'Data nguồn'!D:D, $D55, 'Data nguồn'!F:F, $B$1, 'Data nguồn'!C:C, T$3)</f>
      </c>
      <c r="V55" s="3">
        <f>SUM(E55:P55)</f>
      </c>
      <c r="W55" s="3">
        <f>SUM(Q55:T55)</f>
      </c>
      <c r="X55" s="3">
        <f>AVERAGE(R55:T55)</f>
      </c>
      <c r="Y55" s="3">
        <f>AVERAGE(O55:T55)</f>
      </c>
      <c r="Z55" s="3">
        <f>AVERAGE(L55:T55)</f>
      </c>
      <c r="AA55" s="4">
        <f>IFERROR((X55*2)/(Y55+Z55), 0)</f>
      </c>
      <c r="AB55" s="4">
        <f>IFERROR(W55/SUM(E55:H55), 0)</f>
      </c>
      <c r="AC55" s="4">
        <f>IFERROR(W55/SUM(E55:H55), 0)</f>
      </c>
      <c r="AD55" s="4">
        <f>IFERROR(T55/H55, 0)</f>
      </c>
    </row>
    <row r="56" ht="20" customHeight="1" spans="1:30" x14ac:dyDescent="0.25">
      <c r="A56">
        <v>53</v>
      </c>
      <c r="B56" t="s">
        <v>117</v>
      </c>
      <c r="C56" t="s">
        <v>370</v>
      </c>
      <c r="D56" s="2" t="s">
        <v>117</v>
      </c>
      <c r="E56" s="3">
        <f>SUMIFS('Data nguồn'!J:J, 'Data nguồn'!D:D, $D56, 'Data nguồn'!F:F, $B$1, 'Data nguồn'!C:C, E$3)</f>
      </c>
      <c r="F56" s="3">
        <f>SUMIFS('Data nguồn'!J:J, 'Data nguồn'!D:D, $D56, 'Data nguồn'!F:F, $B$1, 'Data nguồn'!C:C, F$3)</f>
      </c>
      <c r="G56" s="3">
        <f>SUMIFS('Data nguồn'!J:J, 'Data nguồn'!D:D, $D56, 'Data nguồn'!F:F, $B$1, 'Data nguồn'!C:C, G$3)</f>
      </c>
      <c r="H56" s="3">
        <f>SUMIFS('Data nguồn'!J:J, 'Data nguồn'!D:D, $D56, 'Data nguồn'!F:F, $B$1, 'Data nguồn'!C:C, H$3)</f>
      </c>
      <c r="I56" s="3">
        <f>SUMIFS('Data nguồn'!J:J, 'Data nguồn'!D:D, $D56, 'Data nguồn'!F:F, $B$1, 'Data nguồn'!C:C, I$3)</f>
      </c>
      <c r="J56" s="3">
        <f>SUMIFS('Data nguồn'!J:J, 'Data nguồn'!D:D, $D56, 'Data nguồn'!F:F, $B$1, 'Data nguồn'!C:C, J$3)</f>
      </c>
      <c r="K56" s="3">
        <f>SUMIFS('Data nguồn'!J:J, 'Data nguồn'!D:D, $D56, 'Data nguồn'!F:F, $B$1, 'Data nguồn'!C:C, K$3)</f>
      </c>
      <c r="L56" s="3">
        <f>SUMIFS('Data nguồn'!J:J, 'Data nguồn'!D:D, $D56, 'Data nguồn'!F:F, $B$1, 'Data nguồn'!C:C, L$3)</f>
      </c>
      <c r="M56" s="3">
        <f>SUMIFS('Data nguồn'!J:J, 'Data nguồn'!D:D, $D56, 'Data nguồn'!F:F, $B$1, 'Data nguồn'!C:C, M$3)</f>
      </c>
      <c r="N56" s="3">
        <f>SUMIFS('Data nguồn'!J:J, 'Data nguồn'!D:D, $D56, 'Data nguồn'!F:F, $B$1, 'Data nguồn'!C:C, N$3)</f>
      </c>
      <c r="O56" s="3">
        <f>SUMIFS('Data nguồn'!J:J, 'Data nguồn'!D:D, $D56, 'Data nguồn'!F:F, $B$1, 'Data nguồn'!C:C, O$3)</f>
      </c>
      <c r="P56" s="3">
        <f>SUMIFS('Data nguồn'!J:J, 'Data nguồn'!D:D, $D56, 'Data nguồn'!F:F, $B$1, 'Data nguồn'!C:C, P$3)</f>
      </c>
      <c r="Q56" s="3">
        <f>SUMIFS('Data nguồn'!J:J, 'Data nguồn'!D:D, $D56, 'Data nguồn'!F:F, $B$1, 'Data nguồn'!C:C, Q$3)</f>
      </c>
      <c r="R56" s="3">
        <f>SUMIFS('Data nguồn'!J:J, 'Data nguồn'!D:D, $D56, 'Data nguồn'!F:F, $B$1, 'Data nguồn'!C:C, R$3)</f>
      </c>
      <c r="S56" s="3">
        <f>SUMIFS('Data nguồn'!J:J, 'Data nguồn'!D:D, $D56, 'Data nguồn'!F:F, $B$1, 'Data nguồn'!C:C, S$3)</f>
      </c>
      <c r="T56" s="3">
        <f>SUMIFS('Data nguồn'!J:J, 'Data nguồn'!D:D, $D56, 'Data nguồn'!F:F, $B$1, 'Data nguồn'!C:C, T$3)</f>
      </c>
      <c r="V56" s="3">
        <f>SUM(E56:P56)</f>
      </c>
      <c r="W56" s="3">
        <f>SUM(Q56:T56)</f>
      </c>
      <c r="X56" s="3">
        <f>AVERAGE(R56:T56)</f>
      </c>
      <c r="Y56" s="3">
        <f>AVERAGE(O56:T56)</f>
      </c>
      <c r="Z56" s="3">
        <f>AVERAGE(L56:T56)</f>
      </c>
      <c r="AA56" s="4">
        <f>IFERROR((X56*2)/(Y56+Z56), 0)</f>
      </c>
      <c r="AB56" s="4">
        <f>IFERROR(W56/SUM(E56:H56), 0)</f>
      </c>
      <c r="AC56" s="4">
        <f>IFERROR(W56/SUM(E56:H56), 0)</f>
      </c>
      <c r="AD56" s="4">
        <f>IFERROR(T56/H56, 0)</f>
      </c>
    </row>
    <row r="57" ht="20" customHeight="1" spans="1:30" x14ac:dyDescent="0.25">
      <c r="A57">
        <v>54</v>
      </c>
      <c r="B57" t="s">
        <v>118</v>
      </c>
      <c r="C57" t="s">
        <v>370</v>
      </c>
      <c r="D57" s="2" t="s">
        <v>118</v>
      </c>
      <c r="E57" s="3">
        <f>SUMIFS('Data nguồn'!J:J, 'Data nguồn'!D:D, $D57, 'Data nguồn'!F:F, $B$1, 'Data nguồn'!C:C, E$3)</f>
      </c>
      <c r="F57" s="3">
        <f>SUMIFS('Data nguồn'!J:J, 'Data nguồn'!D:D, $D57, 'Data nguồn'!F:F, $B$1, 'Data nguồn'!C:C, F$3)</f>
      </c>
      <c r="G57" s="3">
        <f>SUMIFS('Data nguồn'!J:J, 'Data nguồn'!D:D, $D57, 'Data nguồn'!F:F, $B$1, 'Data nguồn'!C:C, G$3)</f>
      </c>
      <c r="H57" s="3">
        <f>SUMIFS('Data nguồn'!J:J, 'Data nguồn'!D:D, $D57, 'Data nguồn'!F:F, $B$1, 'Data nguồn'!C:C, H$3)</f>
      </c>
      <c r="I57" s="3">
        <f>SUMIFS('Data nguồn'!J:J, 'Data nguồn'!D:D, $D57, 'Data nguồn'!F:F, $B$1, 'Data nguồn'!C:C, I$3)</f>
      </c>
      <c r="J57" s="3">
        <f>SUMIFS('Data nguồn'!J:J, 'Data nguồn'!D:D, $D57, 'Data nguồn'!F:F, $B$1, 'Data nguồn'!C:C, J$3)</f>
      </c>
      <c r="K57" s="3">
        <f>SUMIFS('Data nguồn'!J:J, 'Data nguồn'!D:D, $D57, 'Data nguồn'!F:F, $B$1, 'Data nguồn'!C:C, K$3)</f>
      </c>
      <c r="L57" s="3">
        <f>SUMIFS('Data nguồn'!J:J, 'Data nguồn'!D:D, $D57, 'Data nguồn'!F:F, $B$1, 'Data nguồn'!C:C, L$3)</f>
      </c>
      <c r="M57" s="3">
        <f>SUMIFS('Data nguồn'!J:J, 'Data nguồn'!D:D, $D57, 'Data nguồn'!F:F, $B$1, 'Data nguồn'!C:C, M$3)</f>
      </c>
      <c r="N57" s="3">
        <f>SUMIFS('Data nguồn'!J:J, 'Data nguồn'!D:D, $D57, 'Data nguồn'!F:F, $B$1, 'Data nguồn'!C:C, N$3)</f>
      </c>
      <c r="O57" s="3">
        <f>SUMIFS('Data nguồn'!J:J, 'Data nguồn'!D:D, $D57, 'Data nguồn'!F:F, $B$1, 'Data nguồn'!C:C, O$3)</f>
      </c>
      <c r="P57" s="3">
        <f>SUMIFS('Data nguồn'!J:J, 'Data nguồn'!D:D, $D57, 'Data nguồn'!F:F, $B$1, 'Data nguồn'!C:C, P$3)</f>
      </c>
      <c r="Q57" s="3">
        <f>SUMIFS('Data nguồn'!J:J, 'Data nguồn'!D:D, $D57, 'Data nguồn'!F:F, $B$1, 'Data nguồn'!C:C, Q$3)</f>
      </c>
      <c r="R57" s="3">
        <f>SUMIFS('Data nguồn'!J:J, 'Data nguồn'!D:D, $D57, 'Data nguồn'!F:F, $B$1, 'Data nguồn'!C:C, R$3)</f>
      </c>
      <c r="S57" s="3">
        <f>SUMIFS('Data nguồn'!J:J, 'Data nguồn'!D:D, $D57, 'Data nguồn'!F:F, $B$1, 'Data nguồn'!C:C, S$3)</f>
      </c>
      <c r="T57" s="3">
        <f>SUMIFS('Data nguồn'!J:J, 'Data nguồn'!D:D, $D57, 'Data nguồn'!F:F, $B$1, 'Data nguồn'!C:C, T$3)</f>
      </c>
      <c r="V57" s="3">
        <f>SUM(E57:P57)</f>
      </c>
      <c r="W57" s="3">
        <f>SUM(Q57:T57)</f>
      </c>
      <c r="X57" s="3">
        <f>AVERAGE(R57:T57)</f>
      </c>
      <c r="Y57" s="3">
        <f>AVERAGE(O57:T57)</f>
      </c>
      <c r="Z57" s="3">
        <f>AVERAGE(L57:T57)</f>
      </c>
      <c r="AA57" s="4">
        <f>IFERROR((X57*2)/(Y57+Z57), 0)</f>
      </c>
      <c r="AB57" s="4">
        <f>IFERROR(W57/SUM(E57:H57), 0)</f>
      </c>
      <c r="AC57" s="4">
        <f>IFERROR(W57/SUM(E57:H57), 0)</f>
      </c>
      <c r="AD57" s="4">
        <f>IFERROR(T57/H57, 0)</f>
      </c>
    </row>
    <row r="58" ht="20" customHeight="1" spans="1:30" x14ac:dyDescent="0.25">
      <c r="A58">
        <v>55</v>
      </c>
      <c r="B58" t="s">
        <v>119</v>
      </c>
      <c r="C58" t="s">
        <v>370</v>
      </c>
      <c r="D58" s="2" t="s">
        <v>119</v>
      </c>
      <c r="E58" s="3">
        <f>SUMIFS('Data nguồn'!J:J, 'Data nguồn'!D:D, $D58, 'Data nguồn'!F:F, $B$1, 'Data nguồn'!C:C, E$3)</f>
      </c>
      <c r="F58" s="3">
        <f>SUMIFS('Data nguồn'!J:J, 'Data nguồn'!D:D, $D58, 'Data nguồn'!F:F, $B$1, 'Data nguồn'!C:C, F$3)</f>
      </c>
      <c r="G58" s="3">
        <f>SUMIFS('Data nguồn'!J:J, 'Data nguồn'!D:D, $D58, 'Data nguồn'!F:F, $B$1, 'Data nguồn'!C:C, G$3)</f>
      </c>
      <c r="H58" s="3">
        <f>SUMIFS('Data nguồn'!J:J, 'Data nguồn'!D:D, $D58, 'Data nguồn'!F:F, $B$1, 'Data nguồn'!C:C, H$3)</f>
      </c>
      <c r="I58" s="3">
        <f>SUMIFS('Data nguồn'!J:J, 'Data nguồn'!D:D, $D58, 'Data nguồn'!F:F, $B$1, 'Data nguồn'!C:C, I$3)</f>
      </c>
      <c r="J58" s="3">
        <f>SUMIFS('Data nguồn'!J:J, 'Data nguồn'!D:D, $D58, 'Data nguồn'!F:F, $B$1, 'Data nguồn'!C:C, J$3)</f>
      </c>
      <c r="K58" s="3">
        <f>SUMIFS('Data nguồn'!J:J, 'Data nguồn'!D:D, $D58, 'Data nguồn'!F:F, $B$1, 'Data nguồn'!C:C, K$3)</f>
      </c>
      <c r="L58" s="3">
        <f>SUMIFS('Data nguồn'!J:J, 'Data nguồn'!D:D, $D58, 'Data nguồn'!F:F, $B$1, 'Data nguồn'!C:C, L$3)</f>
      </c>
      <c r="M58" s="3">
        <f>SUMIFS('Data nguồn'!J:J, 'Data nguồn'!D:D, $D58, 'Data nguồn'!F:F, $B$1, 'Data nguồn'!C:C, M$3)</f>
      </c>
      <c r="N58" s="3">
        <f>SUMIFS('Data nguồn'!J:J, 'Data nguồn'!D:D, $D58, 'Data nguồn'!F:F, $B$1, 'Data nguồn'!C:C, N$3)</f>
      </c>
      <c r="O58" s="3">
        <f>SUMIFS('Data nguồn'!J:J, 'Data nguồn'!D:D, $D58, 'Data nguồn'!F:F, $B$1, 'Data nguồn'!C:C, O$3)</f>
      </c>
      <c r="P58" s="3">
        <f>SUMIFS('Data nguồn'!J:J, 'Data nguồn'!D:D, $D58, 'Data nguồn'!F:F, $B$1, 'Data nguồn'!C:C, P$3)</f>
      </c>
      <c r="Q58" s="3">
        <f>SUMIFS('Data nguồn'!J:J, 'Data nguồn'!D:D, $D58, 'Data nguồn'!F:F, $B$1, 'Data nguồn'!C:C, Q$3)</f>
      </c>
      <c r="R58" s="3">
        <f>SUMIFS('Data nguồn'!J:J, 'Data nguồn'!D:D, $D58, 'Data nguồn'!F:F, $B$1, 'Data nguồn'!C:C, R$3)</f>
      </c>
      <c r="S58" s="3">
        <f>SUMIFS('Data nguồn'!J:J, 'Data nguồn'!D:D, $D58, 'Data nguồn'!F:F, $B$1, 'Data nguồn'!C:C, S$3)</f>
      </c>
      <c r="T58" s="3">
        <f>SUMIFS('Data nguồn'!J:J, 'Data nguồn'!D:D, $D58, 'Data nguồn'!F:F, $B$1, 'Data nguồn'!C:C, T$3)</f>
      </c>
      <c r="V58" s="3">
        <f>SUM(E58:P58)</f>
      </c>
      <c r="W58" s="3">
        <f>SUM(Q58:T58)</f>
      </c>
      <c r="X58" s="3">
        <f>AVERAGE(R58:T58)</f>
      </c>
      <c r="Y58" s="3">
        <f>AVERAGE(O58:T58)</f>
      </c>
      <c r="Z58" s="3">
        <f>AVERAGE(L58:T58)</f>
      </c>
      <c r="AA58" s="4">
        <f>IFERROR((X58*2)/(Y58+Z58), 0)</f>
      </c>
      <c r="AB58" s="4">
        <f>IFERROR(W58/SUM(E58:H58), 0)</f>
      </c>
      <c r="AC58" s="4">
        <f>IFERROR(W58/SUM(E58:H58), 0)</f>
      </c>
      <c r="AD58" s="4">
        <f>IFERROR(T58/H58, 0)</f>
      </c>
    </row>
    <row r="59" ht="20" customHeight="1" spans="1:30" x14ac:dyDescent="0.25">
      <c r="A59">
        <v>56</v>
      </c>
      <c r="B59" t="s">
        <v>120</v>
      </c>
      <c r="C59" t="s">
        <v>370</v>
      </c>
      <c r="D59" s="2" t="s">
        <v>120</v>
      </c>
      <c r="E59" s="3">
        <f>SUMIFS('Data nguồn'!J:J, 'Data nguồn'!D:D, $D59, 'Data nguồn'!F:F, $B$1, 'Data nguồn'!C:C, E$3)</f>
      </c>
      <c r="F59" s="3">
        <f>SUMIFS('Data nguồn'!J:J, 'Data nguồn'!D:D, $D59, 'Data nguồn'!F:F, $B$1, 'Data nguồn'!C:C, F$3)</f>
      </c>
      <c r="G59" s="3">
        <f>SUMIFS('Data nguồn'!J:J, 'Data nguồn'!D:D, $D59, 'Data nguồn'!F:F, $B$1, 'Data nguồn'!C:C, G$3)</f>
      </c>
      <c r="H59" s="3">
        <f>SUMIFS('Data nguồn'!J:J, 'Data nguồn'!D:D, $D59, 'Data nguồn'!F:F, $B$1, 'Data nguồn'!C:C, H$3)</f>
      </c>
      <c r="I59" s="3">
        <f>SUMIFS('Data nguồn'!J:J, 'Data nguồn'!D:D, $D59, 'Data nguồn'!F:F, $B$1, 'Data nguồn'!C:C, I$3)</f>
      </c>
      <c r="J59" s="3">
        <f>SUMIFS('Data nguồn'!J:J, 'Data nguồn'!D:D, $D59, 'Data nguồn'!F:F, $B$1, 'Data nguồn'!C:C, J$3)</f>
      </c>
      <c r="K59" s="3">
        <f>SUMIFS('Data nguồn'!J:J, 'Data nguồn'!D:D, $D59, 'Data nguồn'!F:F, $B$1, 'Data nguồn'!C:C, K$3)</f>
      </c>
      <c r="L59" s="3">
        <f>SUMIFS('Data nguồn'!J:J, 'Data nguồn'!D:D, $D59, 'Data nguồn'!F:F, $B$1, 'Data nguồn'!C:C, L$3)</f>
      </c>
      <c r="M59" s="3">
        <f>SUMIFS('Data nguồn'!J:J, 'Data nguồn'!D:D, $D59, 'Data nguồn'!F:F, $B$1, 'Data nguồn'!C:C, M$3)</f>
      </c>
      <c r="N59" s="3">
        <f>SUMIFS('Data nguồn'!J:J, 'Data nguồn'!D:D, $D59, 'Data nguồn'!F:F, $B$1, 'Data nguồn'!C:C, N$3)</f>
      </c>
      <c r="O59" s="3">
        <f>SUMIFS('Data nguồn'!J:J, 'Data nguồn'!D:D, $D59, 'Data nguồn'!F:F, $B$1, 'Data nguồn'!C:C, O$3)</f>
      </c>
      <c r="P59" s="3">
        <f>SUMIFS('Data nguồn'!J:J, 'Data nguồn'!D:D, $D59, 'Data nguồn'!F:F, $B$1, 'Data nguồn'!C:C, P$3)</f>
      </c>
      <c r="Q59" s="3">
        <f>SUMIFS('Data nguồn'!J:J, 'Data nguồn'!D:D, $D59, 'Data nguồn'!F:F, $B$1, 'Data nguồn'!C:C, Q$3)</f>
      </c>
      <c r="R59" s="3">
        <f>SUMIFS('Data nguồn'!J:J, 'Data nguồn'!D:D, $D59, 'Data nguồn'!F:F, $B$1, 'Data nguồn'!C:C, R$3)</f>
      </c>
      <c r="S59" s="3">
        <f>SUMIFS('Data nguồn'!J:J, 'Data nguồn'!D:D, $D59, 'Data nguồn'!F:F, $B$1, 'Data nguồn'!C:C, S$3)</f>
      </c>
      <c r="T59" s="3">
        <f>SUMIFS('Data nguồn'!J:J, 'Data nguồn'!D:D, $D59, 'Data nguồn'!F:F, $B$1, 'Data nguồn'!C:C, T$3)</f>
      </c>
      <c r="V59" s="3">
        <f>SUM(E59:P59)</f>
      </c>
      <c r="W59" s="3">
        <f>SUM(Q59:T59)</f>
      </c>
      <c r="X59" s="3">
        <f>AVERAGE(R59:T59)</f>
      </c>
      <c r="Y59" s="3">
        <f>AVERAGE(O59:T59)</f>
      </c>
      <c r="Z59" s="3">
        <f>AVERAGE(L59:T59)</f>
      </c>
      <c r="AA59" s="4">
        <f>IFERROR((X59*2)/(Y59+Z59), 0)</f>
      </c>
      <c r="AB59" s="4">
        <f>IFERROR(W59/SUM(E59:H59), 0)</f>
      </c>
      <c r="AC59" s="4">
        <f>IFERROR(W59/SUM(E59:H59), 0)</f>
      </c>
      <c r="AD59" s="4">
        <f>IFERROR(T59/H59, 0)</f>
      </c>
    </row>
    <row r="60" ht="20" customHeight="1" spans="1:30" x14ac:dyDescent="0.25">
      <c r="A60">
        <v>57</v>
      </c>
      <c r="B60" t="s">
        <v>121</v>
      </c>
      <c r="C60" t="s">
        <v>370</v>
      </c>
      <c r="D60" s="2" t="s">
        <v>121</v>
      </c>
      <c r="E60" s="3">
        <f>SUMIFS('Data nguồn'!J:J, 'Data nguồn'!D:D, $D60, 'Data nguồn'!F:F, $B$1, 'Data nguồn'!C:C, E$3)</f>
      </c>
      <c r="F60" s="3">
        <f>SUMIFS('Data nguồn'!J:J, 'Data nguồn'!D:D, $D60, 'Data nguồn'!F:F, $B$1, 'Data nguồn'!C:C, F$3)</f>
      </c>
      <c r="G60" s="3">
        <f>SUMIFS('Data nguồn'!J:J, 'Data nguồn'!D:D, $D60, 'Data nguồn'!F:F, $B$1, 'Data nguồn'!C:C, G$3)</f>
      </c>
      <c r="H60" s="3">
        <f>SUMIFS('Data nguồn'!J:J, 'Data nguồn'!D:D, $D60, 'Data nguồn'!F:F, $B$1, 'Data nguồn'!C:C, H$3)</f>
      </c>
      <c r="I60" s="3">
        <f>SUMIFS('Data nguồn'!J:J, 'Data nguồn'!D:D, $D60, 'Data nguồn'!F:F, $B$1, 'Data nguồn'!C:C, I$3)</f>
      </c>
      <c r="J60" s="3">
        <f>SUMIFS('Data nguồn'!J:J, 'Data nguồn'!D:D, $D60, 'Data nguồn'!F:F, $B$1, 'Data nguồn'!C:C, J$3)</f>
      </c>
      <c r="K60" s="3">
        <f>SUMIFS('Data nguồn'!J:J, 'Data nguồn'!D:D, $D60, 'Data nguồn'!F:F, $B$1, 'Data nguồn'!C:C, K$3)</f>
      </c>
      <c r="L60" s="3">
        <f>SUMIFS('Data nguồn'!J:J, 'Data nguồn'!D:D, $D60, 'Data nguồn'!F:F, $B$1, 'Data nguồn'!C:C, L$3)</f>
      </c>
      <c r="M60" s="3">
        <f>SUMIFS('Data nguồn'!J:J, 'Data nguồn'!D:D, $D60, 'Data nguồn'!F:F, $B$1, 'Data nguồn'!C:C, M$3)</f>
      </c>
      <c r="N60" s="3">
        <f>SUMIFS('Data nguồn'!J:J, 'Data nguồn'!D:D, $D60, 'Data nguồn'!F:F, $B$1, 'Data nguồn'!C:C, N$3)</f>
      </c>
      <c r="O60" s="3">
        <f>SUMIFS('Data nguồn'!J:J, 'Data nguồn'!D:D, $D60, 'Data nguồn'!F:F, $B$1, 'Data nguồn'!C:C, O$3)</f>
      </c>
      <c r="P60" s="3">
        <f>SUMIFS('Data nguồn'!J:J, 'Data nguồn'!D:D, $D60, 'Data nguồn'!F:F, $B$1, 'Data nguồn'!C:C, P$3)</f>
      </c>
      <c r="Q60" s="3">
        <f>SUMIFS('Data nguồn'!J:J, 'Data nguồn'!D:D, $D60, 'Data nguồn'!F:F, $B$1, 'Data nguồn'!C:C, Q$3)</f>
      </c>
      <c r="R60" s="3">
        <f>SUMIFS('Data nguồn'!J:J, 'Data nguồn'!D:D, $D60, 'Data nguồn'!F:F, $B$1, 'Data nguồn'!C:C, R$3)</f>
      </c>
      <c r="S60" s="3">
        <f>SUMIFS('Data nguồn'!J:J, 'Data nguồn'!D:D, $D60, 'Data nguồn'!F:F, $B$1, 'Data nguồn'!C:C, S$3)</f>
      </c>
      <c r="T60" s="3">
        <f>SUMIFS('Data nguồn'!J:J, 'Data nguồn'!D:D, $D60, 'Data nguồn'!F:F, $B$1, 'Data nguồn'!C:C, T$3)</f>
      </c>
      <c r="V60" s="3">
        <f>SUM(E60:P60)</f>
      </c>
      <c r="W60" s="3">
        <f>SUM(Q60:T60)</f>
      </c>
      <c r="X60" s="3">
        <f>AVERAGE(R60:T60)</f>
      </c>
      <c r="Y60" s="3">
        <f>AVERAGE(O60:T60)</f>
      </c>
      <c r="Z60" s="3">
        <f>AVERAGE(L60:T60)</f>
      </c>
      <c r="AA60" s="4">
        <f>IFERROR((X60*2)/(Y60+Z60), 0)</f>
      </c>
      <c r="AB60" s="4">
        <f>IFERROR(W60/SUM(E60:H60), 0)</f>
      </c>
      <c r="AC60" s="4">
        <f>IFERROR(W60/SUM(E60:H60), 0)</f>
      </c>
      <c r="AD60" s="4">
        <f>IFERROR(T60/H60, 0)</f>
      </c>
    </row>
    <row r="61" ht="20" customHeight="1" spans="1:30" x14ac:dyDescent="0.25">
      <c r="A61">
        <v>58</v>
      </c>
      <c r="B61" t="s">
        <v>122</v>
      </c>
      <c r="C61" t="s">
        <v>370</v>
      </c>
      <c r="D61" s="2" t="s">
        <v>122</v>
      </c>
      <c r="E61" s="3">
        <f>SUMIFS('Data nguồn'!J:J, 'Data nguồn'!D:D, $D61, 'Data nguồn'!F:F, $B$1, 'Data nguồn'!C:C, E$3)</f>
      </c>
      <c r="F61" s="3">
        <f>SUMIFS('Data nguồn'!J:J, 'Data nguồn'!D:D, $D61, 'Data nguồn'!F:F, $B$1, 'Data nguồn'!C:C, F$3)</f>
      </c>
      <c r="G61" s="3">
        <f>SUMIFS('Data nguồn'!J:J, 'Data nguồn'!D:D, $D61, 'Data nguồn'!F:F, $B$1, 'Data nguồn'!C:C, G$3)</f>
      </c>
      <c r="H61" s="3">
        <f>SUMIFS('Data nguồn'!J:J, 'Data nguồn'!D:D, $D61, 'Data nguồn'!F:F, $B$1, 'Data nguồn'!C:C, H$3)</f>
      </c>
      <c r="I61" s="3">
        <f>SUMIFS('Data nguồn'!J:J, 'Data nguồn'!D:D, $D61, 'Data nguồn'!F:F, $B$1, 'Data nguồn'!C:C, I$3)</f>
      </c>
      <c r="J61" s="3">
        <f>SUMIFS('Data nguồn'!J:J, 'Data nguồn'!D:D, $D61, 'Data nguồn'!F:F, $B$1, 'Data nguồn'!C:C, J$3)</f>
      </c>
      <c r="K61" s="3">
        <f>SUMIFS('Data nguồn'!J:J, 'Data nguồn'!D:D, $D61, 'Data nguồn'!F:F, $B$1, 'Data nguồn'!C:C, K$3)</f>
      </c>
      <c r="L61" s="3">
        <f>SUMIFS('Data nguồn'!J:J, 'Data nguồn'!D:D, $D61, 'Data nguồn'!F:F, $B$1, 'Data nguồn'!C:C, L$3)</f>
      </c>
      <c r="M61" s="3">
        <f>SUMIFS('Data nguồn'!J:J, 'Data nguồn'!D:D, $D61, 'Data nguồn'!F:F, $B$1, 'Data nguồn'!C:C, M$3)</f>
      </c>
      <c r="N61" s="3">
        <f>SUMIFS('Data nguồn'!J:J, 'Data nguồn'!D:D, $D61, 'Data nguồn'!F:F, $B$1, 'Data nguồn'!C:C, N$3)</f>
      </c>
      <c r="O61" s="3">
        <f>SUMIFS('Data nguồn'!J:J, 'Data nguồn'!D:D, $D61, 'Data nguồn'!F:F, $B$1, 'Data nguồn'!C:C, O$3)</f>
      </c>
      <c r="P61" s="3">
        <f>SUMIFS('Data nguồn'!J:J, 'Data nguồn'!D:D, $D61, 'Data nguồn'!F:F, $B$1, 'Data nguồn'!C:C, P$3)</f>
      </c>
      <c r="Q61" s="3">
        <f>SUMIFS('Data nguồn'!J:J, 'Data nguồn'!D:D, $D61, 'Data nguồn'!F:F, $B$1, 'Data nguồn'!C:C, Q$3)</f>
      </c>
      <c r="R61" s="3">
        <f>SUMIFS('Data nguồn'!J:J, 'Data nguồn'!D:D, $D61, 'Data nguồn'!F:F, $B$1, 'Data nguồn'!C:C, R$3)</f>
      </c>
      <c r="S61" s="3">
        <f>SUMIFS('Data nguồn'!J:J, 'Data nguồn'!D:D, $D61, 'Data nguồn'!F:F, $B$1, 'Data nguồn'!C:C, S$3)</f>
      </c>
      <c r="T61" s="3">
        <f>SUMIFS('Data nguồn'!J:J, 'Data nguồn'!D:D, $D61, 'Data nguồn'!F:F, $B$1, 'Data nguồn'!C:C, T$3)</f>
      </c>
      <c r="V61" s="3">
        <f>SUM(E61:P61)</f>
      </c>
      <c r="W61" s="3">
        <f>SUM(Q61:T61)</f>
      </c>
      <c r="X61" s="3">
        <f>AVERAGE(R61:T61)</f>
      </c>
      <c r="Y61" s="3">
        <f>AVERAGE(O61:T61)</f>
      </c>
      <c r="Z61" s="3">
        <f>AVERAGE(L61:T61)</f>
      </c>
      <c r="AA61" s="4">
        <f>IFERROR((X61*2)/(Y61+Z61), 0)</f>
      </c>
      <c r="AB61" s="4">
        <f>IFERROR(W61/SUM(E61:H61), 0)</f>
      </c>
      <c r="AC61" s="4">
        <f>IFERROR(W61/SUM(E61:H61), 0)</f>
      </c>
      <c r="AD61" s="4">
        <f>IFERROR(T61/H61, 0)</f>
      </c>
    </row>
    <row r="62" ht="20" customHeight="1" spans="1:30" x14ac:dyDescent="0.25">
      <c r="A62">
        <v>59</v>
      </c>
      <c r="B62" t="s">
        <v>123</v>
      </c>
      <c r="C62" t="s">
        <v>370</v>
      </c>
      <c r="D62" s="2" t="s">
        <v>123</v>
      </c>
      <c r="E62" s="3">
        <f>SUMIFS('Data nguồn'!J:J, 'Data nguồn'!D:D, $D62, 'Data nguồn'!F:F, $B$1, 'Data nguồn'!C:C, E$3)</f>
      </c>
      <c r="F62" s="3">
        <f>SUMIFS('Data nguồn'!J:J, 'Data nguồn'!D:D, $D62, 'Data nguồn'!F:F, $B$1, 'Data nguồn'!C:C, F$3)</f>
      </c>
      <c r="G62" s="3">
        <f>SUMIFS('Data nguồn'!J:J, 'Data nguồn'!D:D, $D62, 'Data nguồn'!F:F, $B$1, 'Data nguồn'!C:C, G$3)</f>
      </c>
      <c r="H62" s="3">
        <f>SUMIFS('Data nguồn'!J:J, 'Data nguồn'!D:D, $D62, 'Data nguồn'!F:F, $B$1, 'Data nguồn'!C:C, H$3)</f>
      </c>
      <c r="I62" s="3">
        <f>SUMIFS('Data nguồn'!J:J, 'Data nguồn'!D:D, $D62, 'Data nguồn'!F:F, $B$1, 'Data nguồn'!C:C, I$3)</f>
      </c>
      <c r="J62" s="3">
        <f>SUMIFS('Data nguồn'!J:J, 'Data nguồn'!D:D, $D62, 'Data nguồn'!F:F, $B$1, 'Data nguồn'!C:C, J$3)</f>
      </c>
      <c r="K62" s="3">
        <f>SUMIFS('Data nguồn'!J:J, 'Data nguồn'!D:D, $D62, 'Data nguồn'!F:F, $B$1, 'Data nguồn'!C:C, K$3)</f>
      </c>
      <c r="L62" s="3">
        <f>SUMIFS('Data nguồn'!J:J, 'Data nguồn'!D:D, $D62, 'Data nguồn'!F:F, $B$1, 'Data nguồn'!C:C, L$3)</f>
      </c>
      <c r="M62" s="3">
        <f>SUMIFS('Data nguồn'!J:J, 'Data nguồn'!D:D, $D62, 'Data nguồn'!F:F, $B$1, 'Data nguồn'!C:C, M$3)</f>
      </c>
      <c r="N62" s="3">
        <f>SUMIFS('Data nguồn'!J:J, 'Data nguồn'!D:D, $D62, 'Data nguồn'!F:F, $B$1, 'Data nguồn'!C:C, N$3)</f>
      </c>
      <c r="O62" s="3">
        <f>SUMIFS('Data nguồn'!J:J, 'Data nguồn'!D:D, $D62, 'Data nguồn'!F:F, $B$1, 'Data nguồn'!C:C, O$3)</f>
      </c>
      <c r="P62" s="3">
        <f>SUMIFS('Data nguồn'!J:J, 'Data nguồn'!D:D, $D62, 'Data nguồn'!F:F, $B$1, 'Data nguồn'!C:C, P$3)</f>
      </c>
      <c r="Q62" s="3">
        <f>SUMIFS('Data nguồn'!J:J, 'Data nguồn'!D:D, $D62, 'Data nguồn'!F:F, $B$1, 'Data nguồn'!C:C, Q$3)</f>
      </c>
      <c r="R62" s="3">
        <f>SUMIFS('Data nguồn'!J:J, 'Data nguồn'!D:D, $D62, 'Data nguồn'!F:F, $B$1, 'Data nguồn'!C:C, R$3)</f>
      </c>
      <c r="S62" s="3">
        <f>SUMIFS('Data nguồn'!J:J, 'Data nguồn'!D:D, $D62, 'Data nguồn'!F:F, $B$1, 'Data nguồn'!C:C, S$3)</f>
      </c>
      <c r="T62" s="3">
        <f>SUMIFS('Data nguồn'!J:J, 'Data nguồn'!D:D, $D62, 'Data nguồn'!F:F, $B$1, 'Data nguồn'!C:C, T$3)</f>
      </c>
      <c r="V62" s="3">
        <f>SUM(E62:P62)</f>
      </c>
      <c r="W62" s="3">
        <f>SUM(Q62:T62)</f>
      </c>
      <c r="X62" s="3">
        <f>AVERAGE(R62:T62)</f>
      </c>
      <c r="Y62" s="3">
        <f>AVERAGE(O62:T62)</f>
      </c>
      <c r="Z62" s="3">
        <f>AVERAGE(L62:T62)</f>
      </c>
      <c r="AA62" s="4">
        <f>IFERROR((X62*2)/(Y62+Z62), 0)</f>
      </c>
      <c r="AB62" s="4">
        <f>IFERROR(W62/SUM(E62:H62), 0)</f>
      </c>
      <c r="AC62" s="4">
        <f>IFERROR(W62/SUM(E62:H62), 0)</f>
      </c>
      <c r="AD62" s="4">
        <f>IFERROR(T62/H62, 0)</f>
      </c>
    </row>
    <row r="63" ht="20" customHeight="1" spans="1:30" x14ac:dyDescent="0.25">
      <c r="A63">
        <v>60</v>
      </c>
      <c r="B63" t="s">
        <v>124</v>
      </c>
      <c r="C63" t="s">
        <v>367</v>
      </c>
      <c r="D63" s="2" t="s">
        <v>124</v>
      </c>
      <c r="E63" s="3">
        <f>SUMIFS('Data nguồn'!J:J, 'Data nguồn'!D:D, $D63, 'Data nguồn'!F:F, $B$1, 'Data nguồn'!C:C, E$3)</f>
      </c>
      <c r="F63" s="3">
        <f>SUMIFS('Data nguồn'!J:J, 'Data nguồn'!D:D, $D63, 'Data nguồn'!F:F, $B$1, 'Data nguồn'!C:C, F$3)</f>
      </c>
      <c r="G63" s="3">
        <f>SUMIFS('Data nguồn'!J:J, 'Data nguồn'!D:D, $D63, 'Data nguồn'!F:F, $B$1, 'Data nguồn'!C:C, G$3)</f>
      </c>
      <c r="H63" s="3">
        <f>SUMIFS('Data nguồn'!J:J, 'Data nguồn'!D:D, $D63, 'Data nguồn'!F:F, $B$1, 'Data nguồn'!C:C, H$3)</f>
      </c>
      <c r="I63" s="3">
        <f>SUMIFS('Data nguồn'!J:J, 'Data nguồn'!D:D, $D63, 'Data nguồn'!F:F, $B$1, 'Data nguồn'!C:C, I$3)</f>
      </c>
      <c r="J63" s="3">
        <f>SUMIFS('Data nguồn'!J:J, 'Data nguồn'!D:D, $D63, 'Data nguồn'!F:F, $B$1, 'Data nguồn'!C:C, J$3)</f>
      </c>
      <c r="K63" s="3">
        <f>SUMIFS('Data nguồn'!J:J, 'Data nguồn'!D:D, $D63, 'Data nguồn'!F:F, $B$1, 'Data nguồn'!C:C, K$3)</f>
      </c>
      <c r="L63" s="3">
        <f>SUMIFS('Data nguồn'!J:J, 'Data nguồn'!D:D, $D63, 'Data nguồn'!F:F, $B$1, 'Data nguồn'!C:C, L$3)</f>
      </c>
      <c r="M63" s="3">
        <f>SUMIFS('Data nguồn'!J:J, 'Data nguồn'!D:D, $D63, 'Data nguồn'!F:F, $B$1, 'Data nguồn'!C:C, M$3)</f>
      </c>
      <c r="N63" s="3">
        <f>SUMIFS('Data nguồn'!J:J, 'Data nguồn'!D:D, $D63, 'Data nguồn'!F:F, $B$1, 'Data nguồn'!C:C, N$3)</f>
      </c>
      <c r="O63" s="3">
        <f>SUMIFS('Data nguồn'!J:J, 'Data nguồn'!D:D, $D63, 'Data nguồn'!F:F, $B$1, 'Data nguồn'!C:C, O$3)</f>
      </c>
      <c r="P63" s="3">
        <f>SUMIFS('Data nguồn'!J:J, 'Data nguồn'!D:D, $D63, 'Data nguồn'!F:F, $B$1, 'Data nguồn'!C:C, P$3)</f>
      </c>
      <c r="Q63" s="3">
        <f>SUMIFS('Data nguồn'!J:J, 'Data nguồn'!D:D, $D63, 'Data nguồn'!F:F, $B$1, 'Data nguồn'!C:C, Q$3)</f>
      </c>
      <c r="R63" s="3">
        <f>SUMIFS('Data nguồn'!J:J, 'Data nguồn'!D:D, $D63, 'Data nguồn'!F:F, $B$1, 'Data nguồn'!C:C, R$3)</f>
      </c>
      <c r="S63" s="3">
        <f>SUMIFS('Data nguồn'!J:J, 'Data nguồn'!D:D, $D63, 'Data nguồn'!F:F, $B$1, 'Data nguồn'!C:C, S$3)</f>
      </c>
      <c r="T63" s="3">
        <f>SUMIFS('Data nguồn'!J:J, 'Data nguồn'!D:D, $D63, 'Data nguồn'!F:F, $B$1, 'Data nguồn'!C:C, T$3)</f>
      </c>
      <c r="V63" s="3">
        <f>SUM(E63:P63)</f>
      </c>
      <c r="W63" s="3">
        <f>SUM(Q63:T63)</f>
      </c>
      <c r="X63" s="3">
        <f>AVERAGE(R63:T63)</f>
      </c>
      <c r="Y63" s="3">
        <f>AVERAGE(O63:T63)</f>
      </c>
      <c r="Z63" s="3">
        <f>AVERAGE(L63:T63)</f>
      </c>
      <c r="AA63" s="4">
        <f>IFERROR((X63*2)/(Y63+Z63), 0)</f>
      </c>
      <c r="AB63" s="4">
        <f>IFERROR(W63/SUM(E63:H63), 0)</f>
      </c>
      <c r="AC63" s="4">
        <f>IFERROR(W63/SUM(E63:H63), 0)</f>
      </c>
      <c r="AD63" s="4">
        <f>IFERROR(T63/H63, 0)</f>
      </c>
    </row>
    <row r="64" ht="20" customHeight="1" spans="1:30" x14ac:dyDescent="0.25">
      <c r="A64">
        <v>61</v>
      </c>
      <c r="B64" t="s">
        <v>128</v>
      </c>
      <c r="C64" t="s">
        <v>367</v>
      </c>
      <c r="D64" s="2" t="s">
        <v>128</v>
      </c>
      <c r="E64" s="3">
        <f>SUMIFS('Data nguồn'!J:J, 'Data nguồn'!D:D, $D64, 'Data nguồn'!F:F, $B$1, 'Data nguồn'!C:C, E$3)</f>
      </c>
      <c r="F64" s="3">
        <f>SUMIFS('Data nguồn'!J:J, 'Data nguồn'!D:D, $D64, 'Data nguồn'!F:F, $B$1, 'Data nguồn'!C:C, F$3)</f>
      </c>
      <c r="G64" s="3">
        <f>SUMIFS('Data nguồn'!J:J, 'Data nguồn'!D:D, $D64, 'Data nguồn'!F:F, $B$1, 'Data nguồn'!C:C, G$3)</f>
      </c>
      <c r="H64" s="3">
        <f>SUMIFS('Data nguồn'!J:J, 'Data nguồn'!D:D, $D64, 'Data nguồn'!F:F, $B$1, 'Data nguồn'!C:C, H$3)</f>
      </c>
      <c r="I64" s="3">
        <f>SUMIFS('Data nguồn'!J:J, 'Data nguồn'!D:D, $D64, 'Data nguồn'!F:F, $B$1, 'Data nguồn'!C:C, I$3)</f>
      </c>
      <c r="J64" s="3">
        <f>SUMIFS('Data nguồn'!J:J, 'Data nguồn'!D:D, $D64, 'Data nguồn'!F:F, $B$1, 'Data nguồn'!C:C, J$3)</f>
      </c>
      <c r="K64" s="3">
        <f>SUMIFS('Data nguồn'!J:J, 'Data nguồn'!D:D, $D64, 'Data nguồn'!F:F, $B$1, 'Data nguồn'!C:C, K$3)</f>
      </c>
      <c r="L64" s="3">
        <f>SUMIFS('Data nguồn'!J:J, 'Data nguồn'!D:D, $D64, 'Data nguồn'!F:F, $B$1, 'Data nguồn'!C:C, L$3)</f>
      </c>
      <c r="M64" s="3">
        <f>SUMIFS('Data nguồn'!J:J, 'Data nguồn'!D:D, $D64, 'Data nguồn'!F:F, $B$1, 'Data nguồn'!C:C, M$3)</f>
      </c>
      <c r="N64" s="3">
        <f>SUMIFS('Data nguồn'!J:J, 'Data nguồn'!D:D, $D64, 'Data nguồn'!F:F, $B$1, 'Data nguồn'!C:C, N$3)</f>
      </c>
      <c r="O64" s="3">
        <f>SUMIFS('Data nguồn'!J:J, 'Data nguồn'!D:D, $D64, 'Data nguồn'!F:F, $B$1, 'Data nguồn'!C:C, O$3)</f>
      </c>
      <c r="P64" s="3">
        <f>SUMIFS('Data nguồn'!J:J, 'Data nguồn'!D:D, $D64, 'Data nguồn'!F:F, $B$1, 'Data nguồn'!C:C, P$3)</f>
      </c>
      <c r="Q64" s="3">
        <f>SUMIFS('Data nguồn'!J:J, 'Data nguồn'!D:D, $D64, 'Data nguồn'!F:F, $B$1, 'Data nguồn'!C:C, Q$3)</f>
      </c>
      <c r="R64" s="3">
        <f>SUMIFS('Data nguồn'!J:J, 'Data nguồn'!D:D, $D64, 'Data nguồn'!F:F, $B$1, 'Data nguồn'!C:C, R$3)</f>
      </c>
      <c r="S64" s="3">
        <f>SUMIFS('Data nguồn'!J:J, 'Data nguồn'!D:D, $D64, 'Data nguồn'!F:F, $B$1, 'Data nguồn'!C:C, S$3)</f>
      </c>
      <c r="T64" s="3">
        <f>SUMIFS('Data nguồn'!J:J, 'Data nguồn'!D:D, $D64, 'Data nguồn'!F:F, $B$1, 'Data nguồn'!C:C, T$3)</f>
      </c>
      <c r="V64" s="3">
        <f>SUM(E64:P64)</f>
      </c>
      <c r="W64" s="3">
        <f>SUM(Q64:T64)</f>
      </c>
      <c r="X64" s="3">
        <f>AVERAGE(R64:T64)</f>
      </c>
      <c r="Y64" s="3">
        <f>AVERAGE(O64:T64)</f>
      </c>
      <c r="Z64" s="3">
        <f>AVERAGE(L64:T64)</f>
      </c>
      <c r="AA64" s="4">
        <f>IFERROR((X64*2)/(Y64+Z64), 0)</f>
      </c>
      <c r="AB64" s="4">
        <f>IFERROR(W64/SUM(E64:H64), 0)</f>
      </c>
      <c r="AC64" s="4">
        <f>IFERROR(W64/SUM(E64:H64), 0)</f>
      </c>
      <c r="AD64" s="4">
        <f>IFERROR(T64/H64, 0)</f>
      </c>
    </row>
    <row r="65" ht="20" customHeight="1" spans="1:30" x14ac:dyDescent="0.25">
      <c r="A65">
        <v>62</v>
      </c>
      <c r="B65" t="s">
        <v>129</v>
      </c>
      <c r="C65" t="s">
        <v>367</v>
      </c>
      <c r="D65" s="2" t="s">
        <v>129</v>
      </c>
      <c r="E65" s="3">
        <f>SUMIFS('Data nguồn'!J:J, 'Data nguồn'!D:D, $D65, 'Data nguồn'!F:F, $B$1, 'Data nguồn'!C:C, E$3)</f>
      </c>
      <c r="F65" s="3">
        <f>SUMIFS('Data nguồn'!J:J, 'Data nguồn'!D:D, $D65, 'Data nguồn'!F:F, $B$1, 'Data nguồn'!C:C, F$3)</f>
      </c>
      <c r="G65" s="3">
        <f>SUMIFS('Data nguồn'!J:J, 'Data nguồn'!D:D, $D65, 'Data nguồn'!F:F, $B$1, 'Data nguồn'!C:C, G$3)</f>
      </c>
      <c r="H65" s="3">
        <f>SUMIFS('Data nguồn'!J:J, 'Data nguồn'!D:D, $D65, 'Data nguồn'!F:F, $B$1, 'Data nguồn'!C:C, H$3)</f>
      </c>
      <c r="I65" s="3">
        <f>SUMIFS('Data nguồn'!J:J, 'Data nguồn'!D:D, $D65, 'Data nguồn'!F:F, $B$1, 'Data nguồn'!C:C, I$3)</f>
      </c>
      <c r="J65" s="3">
        <f>SUMIFS('Data nguồn'!J:J, 'Data nguồn'!D:D, $D65, 'Data nguồn'!F:F, $B$1, 'Data nguồn'!C:C, J$3)</f>
      </c>
      <c r="K65" s="3">
        <f>SUMIFS('Data nguồn'!J:J, 'Data nguồn'!D:D, $D65, 'Data nguồn'!F:F, $B$1, 'Data nguồn'!C:C, K$3)</f>
      </c>
      <c r="L65" s="3">
        <f>SUMIFS('Data nguồn'!J:J, 'Data nguồn'!D:D, $D65, 'Data nguồn'!F:F, $B$1, 'Data nguồn'!C:C, L$3)</f>
      </c>
      <c r="M65" s="3">
        <f>SUMIFS('Data nguồn'!J:J, 'Data nguồn'!D:D, $D65, 'Data nguồn'!F:F, $B$1, 'Data nguồn'!C:C, M$3)</f>
      </c>
      <c r="N65" s="3">
        <f>SUMIFS('Data nguồn'!J:J, 'Data nguồn'!D:D, $D65, 'Data nguồn'!F:F, $B$1, 'Data nguồn'!C:C, N$3)</f>
      </c>
      <c r="O65" s="3">
        <f>SUMIFS('Data nguồn'!J:J, 'Data nguồn'!D:D, $D65, 'Data nguồn'!F:F, $B$1, 'Data nguồn'!C:C, O$3)</f>
      </c>
      <c r="P65" s="3">
        <f>SUMIFS('Data nguồn'!J:J, 'Data nguồn'!D:D, $D65, 'Data nguồn'!F:F, $B$1, 'Data nguồn'!C:C, P$3)</f>
      </c>
      <c r="Q65" s="3">
        <f>SUMIFS('Data nguồn'!J:J, 'Data nguồn'!D:D, $D65, 'Data nguồn'!F:F, $B$1, 'Data nguồn'!C:C, Q$3)</f>
      </c>
      <c r="R65" s="3">
        <f>SUMIFS('Data nguồn'!J:J, 'Data nguồn'!D:D, $D65, 'Data nguồn'!F:F, $B$1, 'Data nguồn'!C:C, R$3)</f>
      </c>
      <c r="S65" s="3">
        <f>SUMIFS('Data nguồn'!J:J, 'Data nguồn'!D:D, $D65, 'Data nguồn'!F:F, $B$1, 'Data nguồn'!C:C, S$3)</f>
      </c>
      <c r="T65" s="3">
        <f>SUMIFS('Data nguồn'!J:J, 'Data nguồn'!D:D, $D65, 'Data nguồn'!F:F, $B$1, 'Data nguồn'!C:C, T$3)</f>
      </c>
      <c r="V65" s="3">
        <f>SUM(E65:P65)</f>
      </c>
      <c r="W65" s="3">
        <f>SUM(Q65:T65)</f>
      </c>
      <c r="X65" s="3">
        <f>AVERAGE(R65:T65)</f>
      </c>
      <c r="Y65" s="3">
        <f>AVERAGE(O65:T65)</f>
      </c>
      <c r="Z65" s="3">
        <f>AVERAGE(L65:T65)</f>
      </c>
      <c r="AA65" s="4">
        <f>IFERROR((X65*2)/(Y65+Z65), 0)</f>
      </c>
      <c r="AB65" s="4">
        <f>IFERROR(W65/SUM(E65:H65), 0)</f>
      </c>
      <c r="AC65" s="4">
        <f>IFERROR(W65/SUM(E65:H65), 0)</f>
      </c>
      <c r="AD65" s="4">
        <f>IFERROR(T65/H65, 0)</f>
      </c>
    </row>
    <row r="66" ht="20" customHeight="1" spans="1:30" x14ac:dyDescent="0.25">
      <c r="A66">
        <v>63</v>
      </c>
      <c r="B66" t="s">
        <v>130</v>
      </c>
      <c r="C66" t="s">
        <v>365</v>
      </c>
      <c r="D66" s="2" t="s">
        <v>130</v>
      </c>
      <c r="E66" s="3">
        <f>SUMIFS('Data nguồn'!J:J, 'Data nguồn'!D:D, $D66, 'Data nguồn'!F:F, $B$1, 'Data nguồn'!C:C, E$3)</f>
      </c>
      <c r="F66" s="3">
        <f>SUMIFS('Data nguồn'!J:J, 'Data nguồn'!D:D, $D66, 'Data nguồn'!F:F, $B$1, 'Data nguồn'!C:C, F$3)</f>
      </c>
      <c r="G66" s="3">
        <f>SUMIFS('Data nguồn'!J:J, 'Data nguồn'!D:D, $D66, 'Data nguồn'!F:F, $B$1, 'Data nguồn'!C:C, G$3)</f>
      </c>
      <c r="H66" s="3">
        <f>SUMIFS('Data nguồn'!J:J, 'Data nguồn'!D:D, $D66, 'Data nguồn'!F:F, $B$1, 'Data nguồn'!C:C, H$3)</f>
      </c>
      <c r="I66" s="3">
        <f>SUMIFS('Data nguồn'!J:J, 'Data nguồn'!D:D, $D66, 'Data nguồn'!F:F, $B$1, 'Data nguồn'!C:C, I$3)</f>
      </c>
      <c r="J66" s="3">
        <f>SUMIFS('Data nguồn'!J:J, 'Data nguồn'!D:D, $D66, 'Data nguồn'!F:F, $B$1, 'Data nguồn'!C:C, J$3)</f>
      </c>
      <c r="K66" s="3">
        <f>SUMIFS('Data nguồn'!J:J, 'Data nguồn'!D:D, $D66, 'Data nguồn'!F:F, $B$1, 'Data nguồn'!C:C, K$3)</f>
      </c>
      <c r="L66" s="3">
        <f>SUMIFS('Data nguồn'!J:J, 'Data nguồn'!D:D, $D66, 'Data nguồn'!F:F, $B$1, 'Data nguồn'!C:C, L$3)</f>
      </c>
      <c r="M66" s="3">
        <f>SUMIFS('Data nguồn'!J:J, 'Data nguồn'!D:D, $D66, 'Data nguồn'!F:F, $B$1, 'Data nguồn'!C:C, M$3)</f>
      </c>
      <c r="N66" s="3">
        <f>SUMIFS('Data nguồn'!J:J, 'Data nguồn'!D:D, $D66, 'Data nguồn'!F:F, $B$1, 'Data nguồn'!C:C, N$3)</f>
      </c>
      <c r="O66" s="3">
        <f>SUMIFS('Data nguồn'!J:J, 'Data nguồn'!D:D, $D66, 'Data nguồn'!F:F, $B$1, 'Data nguồn'!C:C, O$3)</f>
      </c>
      <c r="P66" s="3">
        <f>SUMIFS('Data nguồn'!J:J, 'Data nguồn'!D:D, $D66, 'Data nguồn'!F:F, $B$1, 'Data nguồn'!C:C, P$3)</f>
      </c>
      <c r="Q66" s="3">
        <f>SUMIFS('Data nguồn'!J:J, 'Data nguồn'!D:D, $D66, 'Data nguồn'!F:F, $B$1, 'Data nguồn'!C:C, Q$3)</f>
      </c>
      <c r="R66" s="3">
        <f>SUMIFS('Data nguồn'!J:J, 'Data nguồn'!D:D, $D66, 'Data nguồn'!F:F, $B$1, 'Data nguồn'!C:C, R$3)</f>
      </c>
      <c r="S66" s="3">
        <f>SUMIFS('Data nguồn'!J:J, 'Data nguồn'!D:D, $D66, 'Data nguồn'!F:F, $B$1, 'Data nguồn'!C:C, S$3)</f>
      </c>
      <c r="T66" s="3">
        <f>SUMIFS('Data nguồn'!J:J, 'Data nguồn'!D:D, $D66, 'Data nguồn'!F:F, $B$1, 'Data nguồn'!C:C, T$3)</f>
      </c>
      <c r="V66" s="3">
        <f>SUM(E66:P66)</f>
      </c>
      <c r="W66" s="3">
        <f>SUM(Q66:T66)</f>
      </c>
      <c r="X66" s="3">
        <f>AVERAGE(R66:T66)</f>
      </c>
      <c r="Y66" s="3">
        <f>AVERAGE(O66:T66)</f>
      </c>
      <c r="Z66" s="3">
        <f>AVERAGE(L66:T66)</f>
      </c>
      <c r="AA66" s="4">
        <f>IFERROR((X66*2)/(Y66+Z66), 0)</f>
      </c>
      <c r="AB66" s="4">
        <f>IFERROR(W66/SUM(E66:H66), 0)</f>
      </c>
      <c r="AC66" s="4">
        <f>IFERROR(W66/SUM(E66:H66), 0)</f>
      </c>
      <c r="AD66" s="4">
        <f>IFERROR(T66/H66, 0)</f>
      </c>
    </row>
    <row r="67" ht="20" customHeight="1" spans="1:30" x14ac:dyDescent="0.25">
      <c r="A67">
        <v>64</v>
      </c>
      <c r="B67" t="s">
        <v>131</v>
      </c>
      <c r="C67" t="s">
        <v>367</v>
      </c>
      <c r="D67" s="2" t="s">
        <v>131</v>
      </c>
      <c r="E67" s="3">
        <f>SUMIFS('Data nguồn'!J:J, 'Data nguồn'!D:D, $D67, 'Data nguồn'!F:F, $B$1, 'Data nguồn'!C:C, E$3)</f>
      </c>
      <c r="F67" s="3">
        <f>SUMIFS('Data nguồn'!J:J, 'Data nguồn'!D:D, $D67, 'Data nguồn'!F:F, $B$1, 'Data nguồn'!C:C, F$3)</f>
      </c>
      <c r="G67" s="3">
        <f>SUMIFS('Data nguồn'!J:J, 'Data nguồn'!D:D, $D67, 'Data nguồn'!F:F, $B$1, 'Data nguồn'!C:C, G$3)</f>
      </c>
      <c r="H67" s="3">
        <f>SUMIFS('Data nguồn'!J:J, 'Data nguồn'!D:D, $D67, 'Data nguồn'!F:F, $B$1, 'Data nguồn'!C:C, H$3)</f>
      </c>
      <c r="I67" s="3">
        <f>SUMIFS('Data nguồn'!J:J, 'Data nguồn'!D:D, $D67, 'Data nguồn'!F:F, $B$1, 'Data nguồn'!C:C, I$3)</f>
      </c>
      <c r="J67" s="3">
        <f>SUMIFS('Data nguồn'!J:J, 'Data nguồn'!D:D, $D67, 'Data nguồn'!F:F, $B$1, 'Data nguồn'!C:C, J$3)</f>
      </c>
      <c r="K67" s="3">
        <f>SUMIFS('Data nguồn'!J:J, 'Data nguồn'!D:D, $D67, 'Data nguồn'!F:F, $B$1, 'Data nguồn'!C:C, K$3)</f>
      </c>
      <c r="L67" s="3">
        <f>SUMIFS('Data nguồn'!J:J, 'Data nguồn'!D:D, $D67, 'Data nguồn'!F:F, $B$1, 'Data nguồn'!C:C, L$3)</f>
      </c>
      <c r="M67" s="3">
        <f>SUMIFS('Data nguồn'!J:J, 'Data nguồn'!D:D, $D67, 'Data nguồn'!F:F, $B$1, 'Data nguồn'!C:C, M$3)</f>
      </c>
      <c r="N67" s="3">
        <f>SUMIFS('Data nguồn'!J:J, 'Data nguồn'!D:D, $D67, 'Data nguồn'!F:F, $B$1, 'Data nguồn'!C:C, N$3)</f>
      </c>
      <c r="O67" s="3">
        <f>SUMIFS('Data nguồn'!J:J, 'Data nguồn'!D:D, $D67, 'Data nguồn'!F:F, $B$1, 'Data nguồn'!C:C, O$3)</f>
      </c>
      <c r="P67" s="3">
        <f>SUMIFS('Data nguồn'!J:J, 'Data nguồn'!D:D, $D67, 'Data nguồn'!F:F, $B$1, 'Data nguồn'!C:C, P$3)</f>
      </c>
      <c r="Q67" s="3">
        <f>SUMIFS('Data nguồn'!J:J, 'Data nguồn'!D:D, $D67, 'Data nguồn'!F:F, $B$1, 'Data nguồn'!C:C, Q$3)</f>
      </c>
      <c r="R67" s="3">
        <f>SUMIFS('Data nguồn'!J:J, 'Data nguồn'!D:D, $D67, 'Data nguồn'!F:F, $B$1, 'Data nguồn'!C:C, R$3)</f>
      </c>
      <c r="S67" s="3">
        <f>SUMIFS('Data nguồn'!J:J, 'Data nguồn'!D:D, $D67, 'Data nguồn'!F:F, $B$1, 'Data nguồn'!C:C, S$3)</f>
      </c>
      <c r="T67" s="3">
        <f>SUMIFS('Data nguồn'!J:J, 'Data nguồn'!D:D, $D67, 'Data nguồn'!F:F, $B$1, 'Data nguồn'!C:C, T$3)</f>
      </c>
      <c r="V67" s="3">
        <f>SUM(E67:P67)</f>
      </c>
      <c r="W67" s="3">
        <f>SUM(Q67:T67)</f>
      </c>
      <c r="X67" s="3">
        <f>AVERAGE(R67:T67)</f>
      </c>
      <c r="Y67" s="3">
        <f>AVERAGE(O67:T67)</f>
      </c>
      <c r="Z67" s="3">
        <f>AVERAGE(L67:T67)</f>
      </c>
      <c r="AA67" s="4">
        <f>IFERROR((X67*2)/(Y67+Z67), 0)</f>
      </c>
      <c r="AB67" s="4">
        <f>IFERROR(W67/SUM(E67:H67), 0)</f>
      </c>
      <c r="AC67" s="4">
        <f>IFERROR(W67/SUM(E67:H67), 0)</f>
      </c>
      <c r="AD67" s="4">
        <f>IFERROR(T67/H67, 0)</f>
      </c>
    </row>
    <row r="68" ht="20" customHeight="1" spans="1:30" x14ac:dyDescent="0.25">
      <c r="A68">
        <v>65</v>
      </c>
      <c r="B68" t="s">
        <v>227</v>
      </c>
      <c r="C68" t="s">
        <v>367</v>
      </c>
      <c r="D68" s="2" t="s">
        <v>227</v>
      </c>
      <c r="E68" s="3">
        <f>SUMIFS('Data nguồn'!J:J, 'Data nguồn'!D:D, $D68, 'Data nguồn'!F:F, $B$1, 'Data nguồn'!C:C, E$3)</f>
      </c>
      <c r="F68" s="3">
        <f>SUMIFS('Data nguồn'!J:J, 'Data nguồn'!D:D, $D68, 'Data nguồn'!F:F, $B$1, 'Data nguồn'!C:C, F$3)</f>
      </c>
      <c r="G68" s="3">
        <f>SUMIFS('Data nguồn'!J:J, 'Data nguồn'!D:D, $D68, 'Data nguồn'!F:F, $B$1, 'Data nguồn'!C:C, G$3)</f>
      </c>
      <c r="H68" s="3">
        <f>SUMIFS('Data nguồn'!J:J, 'Data nguồn'!D:D, $D68, 'Data nguồn'!F:F, $B$1, 'Data nguồn'!C:C, H$3)</f>
      </c>
      <c r="I68" s="3">
        <f>SUMIFS('Data nguồn'!J:J, 'Data nguồn'!D:D, $D68, 'Data nguồn'!F:F, $B$1, 'Data nguồn'!C:C, I$3)</f>
      </c>
      <c r="J68" s="3">
        <f>SUMIFS('Data nguồn'!J:J, 'Data nguồn'!D:D, $D68, 'Data nguồn'!F:F, $B$1, 'Data nguồn'!C:C, J$3)</f>
      </c>
      <c r="K68" s="3">
        <f>SUMIFS('Data nguồn'!J:J, 'Data nguồn'!D:D, $D68, 'Data nguồn'!F:F, $B$1, 'Data nguồn'!C:C, K$3)</f>
      </c>
      <c r="L68" s="3">
        <f>SUMIFS('Data nguồn'!J:J, 'Data nguồn'!D:D, $D68, 'Data nguồn'!F:F, $B$1, 'Data nguồn'!C:C, L$3)</f>
      </c>
      <c r="M68" s="3">
        <f>SUMIFS('Data nguồn'!J:J, 'Data nguồn'!D:D, $D68, 'Data nguồn'!F:F, $B$1, 'Data nguồn'!C:C, M$3)</f>
      </c>
      <c r="N68" s="3">
        <f>SUMIFS('Data nguồn'!J:J, 'Data nguồn'!D:D, $D68, 'Data nguồn'!F:F, $B$1, 'Data nguồn'!C:C, N$3)</f>
      </c>
      <c r="O68" s="3">
        <f>SUMIFS('Data nguồn'!J:J, 'Data nguồn'!D:D, $D68, 'Data nguồn'!F:F, $B$1, 'Data nguồn'!C:C, O$3)</f>
      </c>
      <c r="P68" s="3">
        <f>SUMIFS('Data nguồn'!J:J, 'Data nguồn'!D:D, $D68, 'Data nguồn'!F:F, $B$1, 'Data nguồn'!C:C, P$3)</f>
      </c>
      <c r="Q68" s="3">
        <f>SUMIFS('Data nguồn'!J:J, 'Data nguồn'!D:D, $D68, 'Data nguồn'!F:F, $B$1, 'Data nguồn'!C:C, Q$3)</f>
      </c>
      <c r="R68" s="3">
        <f>SUMIFS('Data nguồn'!J:J, 'Data nguồn'!D:D, $D68, 'Data nguồn'!F:F, $B$1, 'Data nguồn'!C:C, R$3)</f>
      </c>
      <c r="S68" s="3">
        <f>SUMIFS('Data nguồn'!J:J, 'Data nguồn'!D:D, $D68, 'Data nguồn'!F:F, $B$1, 'Data nguồn'!C:C, S$3)</f>
      </c>
      <c r="T68" s="3">
        <f>SUMIFS('Data nguồn'!J:J, 'Data nguồn'!D:D, $D68, 'Data nguồn'!F:F, $B$1, 'Data nguồn'!C:C, T$3)</f>
      </c>
      <c r="V68" s="3">
        <f>SUM(E68:P68)</f>
      </c>
      <c r="W68" s="3">
        <f>SUM(Q68:T68)</f>
      </c>
      <c r="X68" s="3">
        <f>AVERAGE(R68:T68)</f>
      </c>
      <c r="Y68" s="3">
        <f>AVERAGE(O68:T68)</f>
      </c>
      <c r="Z68" s="3">
        <f>AVERAGE(L68:T68)</f>
      </c>
      <c r="AA68" s="4">
        <f>IFERROR((X68*2)/(Y68+Z68), 0)</f>
      </c>
      <c r="AB68" s="4">
        <f>IFERROR(W68/SUM(E68:H68), 0)</f>
      </c>
      <c r="AC68" s="4">
        <f>IFERROR(W68/SUM(E68:H68), 0)</f>
      </c>
      <c r="AD68" s="4">
        <f>IFERROR(T68/H68, 0)</f>
      </c>
    </row>
    <row r="69" ht="20" customHeight="1" spans="1:30" x14ac:dyDescent="0.25">
      <c r="A69">
        <v>66</v>
      </c>
      <c r="B69" t="s">
        <v>228</v>
      </c>
      <c r="C69" t="s">
        <v>367</v>
      </c>
      <c r="D69" s="2" t="s">
        <v>228</v>
      </c>
      <c r="E69" s="3">
        <f>SUMIFS('Data nguồn'!J:J, 'Data nguồn'!D:D, $D69, 'Data nguồn'!F:F, $B$1, 'Data nguồn'!C:C, E$3)</f>
      </c>
      <c r="F69" s="3">
        <f>SUMIFS('Data nguồn'!J:J, 'Data nguồn'!D:D, $D69, 'Data nguồn'!F:F, $B$1, 'Data nguồn'!C:C, F$3)</f>
      </c>
      <c r="G69" s="3">
        <f>SUMIFS('Data nguồn'!J:J, 'Data nguồn'!D:D, $D69, 'Data nguồn'!F:F, $B$1, 'Data nguồn'!C:C, G$3)</f>
      </c>
      <c r="H69" s="3">
        <f>SUMIFS('Data nguồn'!J:J, 'Data nguồn'!D:D, $D69, 'Data nguồn'!F:F, $B$1, 'Data nguồn'!C:C, H$3)</f>
      </c>
      <c r="I69" s="3">
        <f>SUMIFS('Data nguồn'!J:J, 'Data nguồn'!D:D, $D69, 'Data nguồn'!F:F, $B$1, 'Data nguồn'!C:C, I$3)</f>
      </c>
      <c r="J69" s="3">
        <f>SUMIFS('Data nguồn'!J:J, 'Data nguồn'!D:D, $D69, 'Data nguồn'!F:F, $B$1, 'Data nguồn'!C:C, J$3)</f>
      </c>
      <c r="K69" s="3">
        <f>SUMIFS('Data nguồn'!J:J, 'Data nguồn'!D:D, $D69, 'Data nguồn'!F:F, $B$1, 'Data nguồn'!C:C, K$3)</f>
      </c>
      <c r="L69" s="3">
        <f>SUMIFS('Data nguồn'!J:J, 'Data nguồn'!D:D, $D69, 'Data nguồn'!F:F, $B$1, 'Data nguồn'!C:C, L$3)</f>
      </c>
      <c r="M69" s="3">
        <f>SUMIFS('Data nguồn'!J:J, 'Data nguồn'!D:D, $D69, 'Data nguồn'!F:F, $B$1, 'Data nguồn'!C:C, M$3)</f>
      </c>
      <c r="N69" s="3">
        <f>SUMIFS('Data nguồn'!J:J, 'Data nguồn'!D:D, $D69, 'Data nguồn'!F:F, $B$1, 'Data nguồn'!C:C, N$3)</f>
      </c>
      <c r="O69" s="3">
        <f>SUMIFS('Data nguồn'!J:J, 'Data nguồn'!D:D, $D69, 'Data nguồn'!F:F, $B$1, 'Data nguồn'!C:C, O$3)</f>
      </c>
      <c r="P69" s="3">
        <f>SUMIFS('Data nguồn'!J:J, 'Data nguồn'!D:D, $D69, 'Data nguồn'!F:F, $B$1, 'Data nguồn'!C:C, P$3)</f>
      </c>
      <c r="Q69" s="3">
        <f>SUMIFS('Data nguồn'!J:J, 'Data nguồn'!D:D, $D69, 'Data nguồn'!F:F, $B$1, 'Data nguồn'!C:C, Q$3)</f>
      </c>
      <c r="R69" s="3">
        <f>SUMIFS('Data nguồn'!J:J, 'Data nguồn'!D:D, $D69, 'Data nguồn'!F:F, $B$1, 'Data nguồn'!C:C, R$3)</f>
      </c>
      <c r="S69" s="3">
        <f>SUMIFS('Data nguồn'!J:J, 'Data nguồn'!D:D, $D69, 'Data nguồn'!F:F, $B$1, 'Data nguồn'!C:C, S$3)</f>
      </c>
      <c r="T69" s="3">
        <f>SUMIFS('Data nguồn'!J:J, 'Data nguồn'!D:D, $D69, 'Data nguồn'!F:F, $B$1, 'Data nguồn'!C:C, T$3)</f>
      </c>
      <c r="V69" s="3">
        <f>SUM(E69:P69)</f>
      </c>
      <c r="W69" s="3">
        <f>SUM(Q69:T69)</f>
      </c>
      <c r="X69" s="3">
        <f>AVERAGE(R69:T69)</f>
      </c>
      <c r="Y69" s="3">
        <f>AVERAGE(O69:T69)</f>
      </c>
      <c r="Z69" s="3">
        <f>AVERAGE(L69:T69)</f>
      </c>
      <c r="AA69" s="4">
        <f>IFERROR((X69*2)/(Y69+Z69), 0)</f>
      </c>
      <c r="AB69" s="4">
        <f>IFERROR(W69/SUM(E69:H69), 0)</f>
      </c>
      <c r="AC69" s="4">
        <f>IFERROR(W69/SUM(E69:H69), 0)</f>
      </c>
      <c r="AD69" s="4">
        <f>IFERROR(T69/H69, 0)</f>
      </c>
    </row>
    <row r="70" ht="20" customHeight="1" spans="1:30" x14ac:dyDescent="0.25">
      <c r="A70">
        <v>67</v>
      </c>
      <c r="B70" t="s">
        <v>229</v>
      </c>
      <c r="C70" t="s">
        <v>367</v>
      </c>
      <c r="D70" s="2" t="s">
        <v>229</v>
      </c>
      <c r="E70" s="3">
        <f>SUMIFS('Data nguồn'!J:J, 'Data nguồn'!D:D, $D70, 'Data nguồn'!F:F, $B$1, 'Data nguồn'!C:C, E$3)</f>
      </c>
      <c r="F70" s="3">
        <f>SUMIFS('Data nguồn'!J:J, 'Data nguồn'!D:D, $D70, 'Data nguồn'!F:F, $B$1, 'Data nguồn'!C:C, F$3)</f>
      </c>
      <c r="G70" s="3">
        <f>SUMIFS('Data nguồn'!J:J, 'Data nguồn'!D:D, $D70, 'Data nguồn'!F:F, $B$1, 'Data nguồn'!C:C, G$3)</f>
      </c>
      <c r="H70" s="3">
        <f>SUMIFS('Data nguồn'!J:J, 'Data nguồn'!D:D, $D70, 'Data nguồn'!F:F, $B$1, 'Data nguồn'!C:C, H$3)</f>
      </c>
      <c r="I70" s="3">
        <f>SUMIFS('Data nguồn'!J:J, 'Data nguồn'!D:D, $D70, 'Data nguồn'!F:F, $B$1, 'Data nguồn'!C:C, I$3)</f>
      </c>
      <c r="J70" s="3">
        <f>SUMIFS('Data nguồn'!J:J, 'Data nguồn'!D:D, $D70, 'Data nguồn'!F:F, $B$1, 'Data nguồn'!C:C, J$3)</f>
      </c>
      <c r="K70" s="3">
        <f>SUMIFS('Data nguồn'!J:J, 'Data nguồn'!D:D, $D70, 'Data nguồn'!F:F, $B$1, 'Data nguồn'!C:C, K$3)</f>
      </c>
      <c r="L70" s="3">
        <f>SUMIFS('Data nguồn'!J:J, 'Data nguồn'!D:D, $D70, 'Data nguồn'!F:F, $B$1, 'Data nguồn'!C:C, L$3)</f>
      </c>
      <c r="M70" s="3">
        <f>SUMIFS('Data nguồn'!J:J, 'Data nguồn'!D:D, $D70, 'Data nguồn'!F:F, $B$1, 'Data nguồn'!C:C, M$3)</f>
      </c>
      <c r="N70" s="3">
        <f>SUMIFS('Data nguồn'!J:J, 'Data nguồn'!D:D, $D70, 'Data nguồn'!F:F, $B$1, 'Data nguồn'!C:C, N$3)</f>
      </c>
      <c r="O70" s="3">
        <f>SUMIFS('Data nguồn'!J:J, 'Data nguồn'!D:D, $D70, 'Data nguồn'!F:F, $B$1, 'Data nguồn'!C:C, O$3)</f>
      </c>
      <c r="P70" s="3">
        <f>SUMIFS('Data nguồn'!J:J, 'Data nguồn'!D:D, $D70, 'Data nguồn'!F:F, $B$1, 'Data nguồn'!C:C, P$3)</f>
      </c>
      <c r="Q70" s="3">
        <f>SUMIFS('Data nguồn'!J:J, 'Data nguồn'!D:D, $D70, 'Data nguồn'!F:F, $B$1, 'Data nguồn'!C:C, Q$3)</f>
      </c>
      <c r="R70" s="3">
        <f>SUMIFS('Data nguồn'!J:J, 'Data nguồn'!D:D, $D70, 'Data nguồn'!F:F, $B$1, 'Data nguồn'!C:C, R$3)</f>
      </c>
      <c r="S70" s="3">
        <f>SUMIFS('Data nguồn'!J:J, 'Data nguồn'!D:D, $D70, 'Data nguồn'!F:F, $B$1, 'Data nguồn'!C:C, S$3)</f>
      </c>
      <c r="T70" s="3">
        <f>SUMIFS('Data nguồn'!J:J, 'Data nguồn'!D:D, $D70, 'Data nguồn'!F:F, $B$1, 'Data nguồn'!C:C, T$3)</f>
      </c>
      <c r="V70" s="3">
        <f>SUM(E70:P70)</f>
      </c>
      <c r="W70" s="3">
        <f>SUM(Q70:T70)</f>
      </c>
      <c r="X70" s="3">
        <f>AVERAGE(R70:T70)</f>
      </c>
      <c r="Y70" s="3">
        <f>AVERAGE(O70:T70)</f>
      </c>
      <c r="Z70" s="3">
        <f>AVERAGE(L70:T70)</f>
      </c>
      <c r="AA70" s="4">
        <f>IFERROR((X70*2)/(Y70+Z70), 0)</f>
      </c>
      <c r="AB70" s="4">
        <f>IFERROR(W70/SUM(E70:H70), 0)</f>
      </c>
      <c r="AC70" s="4">
        <f>IFERROR(W70/SUM(E70:H70), 0)</f>
      </c>
      <c r="AD70" s="4">
        <f>IFERROR(T70/H70, 0)</f>
      </c>
    </row>
    <row r="71" ht="20" customHeight="1" spans="1:30" x14ac:dyDescent="0.25">
      <c r="A71">
        <v>68</v>
      </c>
      <c r="B71" t="s">
        <v>230</v>
      </c>
      <c r="C71" t="s">
        <v>367</v>
      </c>
      <c r="D71" s="2" t="s">
        <v>230</v>
      </c>
      <c r="E71" s="3">
        <f>SUMIFS('Data nguồn'!J:J, 'Data nguồn'!D:D, $D71, 'Data nguồn'!F:F, $B$1, 'Data nguồn'!C:C, E$3)</f>
      </c>
      <c r="F71" s="3">
        <f>SUMIFS('Data nguồn'!J:J, 'Data nguồn'!D:D, $D71, 'Data nguồn'!F:F, $B$1, 'Data nguồn'!C:C, F$3)</f>
      </c>
      <c r="G71" s="3">
        <f>SUMIFS('Data nguồn'!J:J, 'Data nguồn'!D:D, $D71, 'Data nguồn'!F:F, $B$1, 'Data nguồn'!C:C, G$3)</f>
      </c>
      <c r="H71" s="3">
        <f>SUMIFS('Data nguồn'!J:J, 'Data nguồn'!D:D, $D71, 'Data nguồn'!F:F, $B$1, 'Data nguồn'!C:C, H$3)</f>
      </c>
      <c r="I71" s="3">
        <f>SUMIFS('Data nguồn'!J:J, 'Data nguồn'!D:D, $D71, 'Data nguồn'!F:F, $B$1, 'Data nguồn'!C:C, I$3)</f>
      </c>
      <c r="J71" s="3">
        <f>SUMIFS('Data nguồn'!J:J, 'Data nguồn'!D:D, $D71, 'Data nguồn'!F:F, $B$1, 'Data nguồn'!C:C, J$3)</f>
      </c>
      <c r="K71" s="3">
        <f>SUMIFS('Data nguồn'!J:J, 'Data nguồn'!D:D, $D71, 'Data nguồn'!F:F, $B$1, 'Data nguồn'!C:C, K$3)</f>
      </c>
      <c r="L71" s="3">
        <f>SUMIFS('Data nguồn'!J:J, 'Data nguồn'!D:D, $D71, 'Data nguồn'!F:F, $B$1, 'Data nguồn'!C:C, L$3)</f>
      </c>
      <c r="M71" s="3">
        <f>SUMIFS('Data nguồn'!J:J, 'Data nguồn'!D:D, $D71, 'Data nguồn'!F:F, $B$1, 'Data nguồn'!C:C, M$3)</f>
      </c>
      <c r="N71" s="3">
        <f>SUMIFS('Data nguồn'!J:J, 'Data nguồn'!D:D, $D71, 'Data nguồn'!F:F, $B$1, 'Data nguồn'!C:C, N$3)</f>
      </c>
      <c r="O71" s="3">
        <f>SUMIFS('Data nguồn'!J:J, 'Data nguồn'!D:D, $D71, 'Data nguồn'!F:F, $B$1, 'Data nguồn'!C:C, O$3)</f>
      </c>
      <c r="P71" s="3">
        <f>SUMIFS('Data nguồn'!J:J, 'Data nguồn'!D:D, $D71, 'Data nguồn'!F:F, $B$1, 'Data nguồn'!C:C, P$3)</f>
      </c>
      <c r="Q71" s="3">
        <f>SUMIFS('Data nguồn'!J:J, 'Data nguồn'!D:D, $D71, 'Data nguồn'!F:F, $B$1, 'Data nguồn'!C:C, Q$3)</f>
      </c>
      <c r="R71" s="3">
        <f>SUMIFS('Data nguồn'!J:J, 'Data nguồn'!D:D, $D71, 'Data nguồn'!F:F, $B$1, 'Data nguồn'!C:C, R$3)</f>
      </c>
      <c r="S71" s="3">
        <f>SUMIFS('Data nguồn'!J:J, 'Data nguồn'!D:D, $D71, 'Data nguồn'!F:F, $B$1, 'Data nguồn'!C:C, S$3)</f>
      </c>
      <c r="T71" s="3">
        <f>SUMIFS('Data nguồn'!J:J, 'Data nguồn'!D:D, $D71, 'Data nguồn'!F:F, $B$1, 'Data nguồn'!C:C, T$3)</f>
      </c>
      <c r="V71" s="3">
        <f>SUM(E71:P71)</f>
      </c>
      <c r="W71" s="3">
        <f>SUM(Q71:T71)</f>
      </c>
      <c r="X71" s="3">
        <f>AVERAGE(R71:T71)</f>
      </c>
      <c r="Y71" s="3">
        <f>AVERAGE(O71:T71)</f>
      </c>
      <c r="Z71" s="3">
        <f>AVERAGE(L71:T71)</f>
      </c>
      <c r="AA71" s="4">
        <f>IFERROR((X71*2)/(Y71+Z71), 0)</f>
      </c>
      <c r="AB71" s="4">
        <f>IFERROR(W71/SUM(E71:H71), 0)</f>
      </c>
      <c r="AC71" s="4">
        <f>IFERROR(W71/SUM(E71:H71), 0)</f>
      </c>
      <c r="AD71" s="4">
        <f>IFERROR(T71/H71, 0)</f>
      </c>
    </row>
    <row r="72" ht="20" customHeight="1" spans="1:30" x14ac:dyDescent="0.25">
      <c r="A72">
        <v>69</v>
      </c>
      <c r="B72" t="s">
        <v>231</v>
      </c>
      <c r="C72" t="s">
        <v>367</v>
      </c>
      <c r="D72" s="2" t="s">
        <v>231</v>
      </c>
      <c r="E72" s="3">
        <f>SUMIFS('Data nguồn'!J:J, 'Data nguồn'!D:D, $D72, 'Data nguồn'!F:F, $B$1, 'Data nguồn'!C:C, E$3)</f>
      </c>
      <c r="F72" s="3">
        <f>SUMIFS('Data nguồn'!J:J, 'Data nguồn'!D:D, $D72, 'Data nguồn'!F:F, $B$1, 'Data nguồn'!C:C, F$3)</f>
      </c>
      <c r="G72" s="3">
        <f>SUMIFS('Data nguồn'!J:J, 'Data nguồn'!D:D, $D72, 'Data nguồn'!F:F, $B$1, 'Data nguồn'!C:C, G$3)</f>
      </c>
      <c r="H72" s="3">
        <f>SUMIFS('Data nguồn'!J:J, 'Data nguồn'!D:D, $D72, 'Data nguồn'!F:F, $B$1, 'Data nguồn'!C:C, H$3)</f>
      </c>
      <c r="I72" s="3">
        <f>SUMIFS('Data nguồn'!J:J, 'Data nguồn'!D:D, $D72, 'Data nguồn'!F:F, $B$1, 'Data nguồn'!C:C, I$3)</f>
      </c>
      <c r="J72" s="3">
        <f>SUMIFS('Data nguồn'!J:J, 'Data nguồn'!D:D, $D72, 'Data nguồn'!F:F, $B$1, 'Data nguồn'!C:C, J$3)</f>
      </c>
      <c r="K72" s="3">
        <f>SUMIFS('Data nguồn'!J:J, 'Data nguồn'!D:D, $D72, 'Data nguồn'!F:F, $B$1, 'Data nguồn'!C:C, K$3)</f>
      </c>
      <c r="L72" s="3">
        <f>SUMIFS('Data nguồn'!J:J, 'Data nguồn'!D:D, $D72, 'Data nguồn'!F:F, $B$1, 'Data nguồn'!C:C, L$3)</f>
      </c>
      <c r="M72" s="3">
        <f>SUMIFS('Data nguồn'!J:J, 'Data nguồn'!D:D, $D72, 'Data nguồn'!F:F, $B$1, 'Data nguồn'!C:C, M$3)</f>
      </c>
      <c r="N72" s="3">
        <f>SUMIFS('Data nguồn'!J:J, 'Data nguồn'!D:D, $D72, 'Data nguồn'!F:F, $B$1, 'Data nguồn'!C:C, N$3)</f>
      </c>
      <c r="O72" s="3">
        <f>SUMIFS('Data nguồn'!J:J, 'Data nguồn'!D:D, $D72, 'Data nguồn'!F:F, $B$1, 'Data nguồn'!C:C, O$3)</f>
      </c>
      <c r="P72" s="3">
        <f>SUMIFS('Data nguồn'!J:J, 'Data nguồn'!D:D, $D72, 'Data nguồn'!F:F, $B$1, 'Data nguồn'!C:C, P$3)</f>
      </c>
      <c r="Q72" s="3">
        <f>SUMIFS('Data nguồn'!J:J, 'Data nguồn'!D:D, $D72, 'Data nguồn'!F:F, $B$1, 'Data nguồn'!C:C, Q$3)</f>
      </c>
      <c r="R72" s="3">
        <f>SUMIFS('Data nguồn'!J:J, 'Data nguồn'!D:D, $D72, 'Data nguồn'!F:F, $B$1, 'Data nguồn'!C:C, R$3)</f>
      </c>
      <c r="S72" s="3">
        <f>SUMIFS('Data nguồn'!J:J, 'Data nguồn'!D:D, $D72, 'Data nguồn'!F:F, $B$1, 'Data nguồn'!C:C, S$3)</f>
      </c>
      <c r="T72" s="3">
        <f>SUMIFS('Data nguồn'!J:J, 'Data nguồn'!D:D, $D72, 'Data nguồn'!F:F, $B$1, 'Data nguồn'!C:C, T$3)</f>
      </c>
      <c r="V72" s="3">
        <f>SUM(E72:P72)</f>
      </c>
      <c r="W72" s="3">
        <f>SUM(Q72:T72)</f>
      </c>
      <c r="X72" s="3">
        <f>AVERAGE(R72:T72)</f>
      </c>
      <c r="Y72" s="3">
        <f>AVERAGE(O72:T72)</f>
      </c>
      <c r="Z72" s="3">
        <f>AVERAGE(L72:T72)</f>
      </c>
      <c r="AA72" s="4">
        <f>IFERROR((X72*2)/(Y72+Z72), 0)</f>
      </c>
      <c r="AB72" s="4">
        <f>IFERROR(W72/SUM(E72:H72), 0)</f>
      </c>
      <c r="AC72" s="4">
        <f>IFERROR(W72/SUM(E72:H72), 0)</f>
      </c>
      <c r="AD72" s="4">
        <f>IFERROR(T72/H72, 0)</f>
      </c>
    </row>
    <row r="73" ht="20" customHeight="1" spans="1:30" x14ac:dyDescent="0.25">
      <c r="A73">
        <v>70</v>
      </c>
      <c r="B73" t="s">
        <v>232</v>
      </c>
      <c r="C73" t="s">
        <v>367</v>
      </c>
      <c r="D73" s="2" t="s">
        <v>232</v>
      </c>
      <c r="E73" s="3">
        <f>SUMIFS('Data nguồn'!J:J, 'Data nguồn'!D:D, $D73, 'Data nguồn'!F:F, $B$1, 'Data nguồn'!C:C, E$3)</f>
      </c>
      <c r="F73" s="3">
        <f>SUMIFS('Data nguồn'!J:J, 'Data nguồn'!D:D, $D73, 'Data nguồn'!F:F, $B$1, 'Data nguồn'!C:C, F$3)</f>
      </c>
      <c r="G73" s="3">
        <f>SUMIFS('Data nguồn'!J:J, 'Data nguồn'!D:D, $D73, 'Data nguồn'!F:F, $B$1, 'Data nguồn'!C:C, G$3)</f>
      </c>
      <c r="H73" s="3">
        <f>SUMIFS('Data nguồn'!J:J, 'Data nguồn'!D:D, $D73, 'Data nguồn'!F:F, $B$1, 'Data nguồn'!C:C, H$3)</f>
      </c>
      <c r="I73" s="3">
        <f>SUMIFS('Data nguồn'!J:J, 'Data nguồn'!D:D, $D73, 'Data nguồn'!F:F, $B$1, 'Data nguồn'!C:C, I$3)</f>
      </c>
      <c r="J73" s="3">
        <f>SUMIFS('Data nguồn'!J:J, 'Data nguồn'!D:D, $D73, 'Data nguồn'!F:F, $B$1, 'Data nguồn'!C:C, J$3)</f>
      </c>
      <c r="K73" s="3">
        <f>SUMIFS('Data nguồn'!J:J, 'Data nguồn'!D:D, $D73, 'Data nguồn'!F:F, $B$1, 'Data nguồn'!C:C, K$3)</f>
      </c>
      <c r="L73" s="3">
        <f>SUMIFS('Data nguồn'!J:J, 'Data nguồn'!D:D, $D73, 'Data nguồn'!F:F, $B$1, 'Data nguồn'!C:C, L$3)</f>
      </c>
      <c r="M73" s="3">
        <f>SUMIFS('Data nguồn'!J:J, 'Data nguồn'!D:D, $D73, 'Data nguồn'!F:F, $B$1, 'Data nguồn'!C:C, M$3)</f>
      </c>
      <c r="N73" s="3">
        <f>SUMIFS('Data nguồn'!J:J, 'Data nguồn'!D:D, $D73, 'Data nguồn'!F:F, $B$1, 'Data nguồn'!C:C, N$3)</f>
      </c>
      <c r="O73" s="3">
        <f>SUMIFS('Data nguồn'!J:J, 'Data nguồn'!D:D, $D73, 'Data nguồn'!F:F, $B$1, 'Data nguồn'!C:C, O$3)</f>
      </c>
      <c r="P73" s="3">
        <f>SUMIFS('Data nguồn'!J:J, 'Data nguồn'!D:D, $D73, 'Data nguồn'!F:F, $B$1, 'Data nguồn'!C:C, P$3)</f>
      </c>
      <c r="Q73" s="3">
        <f>SUMIFS('Data nguồn'!J:J, 'Data nguồn'!D:D, $D73, 'Data nguồn'!F:F, $B$1, 'Data nguồn'!C:C, Q$3)</f>
      </c>
      <c r="R73" s="3">
        <f>SUMIFS('Data nguồn'!J:J, 'Data nguồn'!D:D, $D73, 'Data nguồn'!F:F, $B$1, 'Data nguồn'!C:C, R$3)</f>
      </c>
      <c r="S73" s="3">
        <f>SUMIFS('Data nguồn'!J:J, 'Data nguồn'!D:D, $D73, 'Data nguồn'!F:F, $B$1, 'Data nguồn'!C:C, S$3)</f>
      </c>
      <c r="T73" s="3">
        <f>SUMIFS('Data nguồn'!J:J, 'Data nguồn'!D:D, $D73, 'Data nguồn'!F:F, $B$1, 'Data nguồn'!C:C, T$3)</f>
      </c>
      <c r="V73" s="3">
        <f>SUM(E73:P73)</f>
      </c>
      <c r="W73" s="3">
        <f>SUM(Q73:T73)</f>
      </c>
      <c r="X73" s="3">
        <f>AVERAGE(R73:T73)</f>
      </c>
      <c r="Y73" s="3">
        <f>AVERAGE(O73:T73)</f>
      </c>
      <c r="Z73" s="3">
        <f>AVERAGE(L73:T73)</f>
      </c>
      <c r="AA73" s="4">
        <f>IFERROR((X73*2)/(Y73+Z73), 0)</f>
      </c>
      <c r="AB73" s="4">
        <f>IFERROR(W73/SUM(E73:H73), 0)</f>
      </c>
      <c r="AC73" s="4">
        <f>IFERROR(W73/SUM(E73:H73), 0)</f>
      </c>
      <c r="AD73" s="4">
        <f>IFERROR(T73/H73, 0)</f>
      </c>
    </row>
    <row r="74" ht="20" customHeight="1" spans="1:30" x14ac:dyDescent="0.25">
      <c r="A74">
        <v>71</v>
      </c>
      <c r="B74" t="s">
        <v>233</v>
      </c>
      <c r="C74" t="s">
        <v>367</v>
      </c>
      <c r="D74" s="2" t="s">
        <v>233</v>
      </c>
      <c r="E74" s="3">
        <f>SUMIFS('Data nguồn'!J:J, 'Data nguồn'!D:D, $D74, 'Data nguồn'!F:F, $B$1, 'Data nguồn'!C:C, E$3)</f>
      </c>
      <c r="F74" s="3">
        <f>SUMIFS('Data nguồn'!J:J, 'Data nguồn'!D:D, $D74, 'Data nguồn'!F:F, $B$1, 'Data nguồn'!C:C, F$3)</f>
      </c>
      <c r="G74" s="3">
        <f>SUMIFS('Data nguồn'!J:J, 'Data nguồn'!D:D, $D74, 'Data nguồn'!F:F, $B$1, 'Data nguồn'!C:C, G$3)</f>
      </c>
      <c r="H74" s="3">
        <f>SUMIFS('Data nguồn'!J:J, 'Data nguồn'!D:D, $D74, 'Data nguồn'!F:F, $B$1, 'Data nguồn'!C:C, H$3)</f>
      </c>
      <c r="I74" s="3">
        <f>SUMIFS('Data nguồn'!J:J, 'Data nguồn'!D:D, $D74, 'Data nguồn'!F:F, $B$1, 'Data nguồn'!C:C, I$3)</f>
      </c>
      <c r="J74" s="3">
        <f>SUMIFS('Data nguồn'!J:J, 'Data nguồn'!D:D, $D74, 'Data nguồn'!F:F, $B$1, 'Data nguồn'!C:C, J$3)</f>
      </c>
      <c r="K74" s="3">
        <f>SUMIFS('Data nguồn'!J:J, 'Data nguồn'!D:D, $D74, 'Data nguồn'!F:F, $B$1, 'Data nguồn'!C:C, K$3)</f>
      </c>
      <c r="L74" s="3">
        <f>SUMIFS('Data nguồn'!J:J, 'Data nguồn'!D:D, $D74, 'Data nguồn'!F:F, $B$1, 'Data nguồn'!C:C, L$3)</f>
      </c>
      <c r="M74" s="3">
        <f>SUMIFS('Data nguồn'!J:J, 'Data nguồn'!D:D, $D74, 'Data nguồn'!F:F, $B$1, 'Data nguồn'!C:C, M$3)</f>
      </c>
      <c r="N74" s="3">
        <f>SUMIFS('Data nguồn'!J:J, 'Data nguồn'!D:D, $D74, 'Data nguồn'!F:F, $B$1, 'Data nguồn'!C:C, N$3)</f>
      </c>
      <c r="O74" s="3">
        <f>SUMIFS('Data nguồn'!J:J, 'Data nguồn'!D:D, $D74, 'Data nguồn'!F:F, $B$1, 'Data nguồn'!C:C, O$3)</f>
      </c>
      <c r="P74" s="3">
        <f>SUMIFS('Data nguồn'!J:J, 'Data nguồn'!D:D, $D74, 'Data nguồn'!F:F, $B$1, 'Data nguồn'!C:C, P$3)</f>
      </c>
      <c r="Q74" s="3">
        <f>SUMIFS('Data nguồn'!J:J, 'Data nguồn'!D:D, $D74, 'Data nguồn'!F:F, $B$1, 'Data nguồn'!C:C, Q$3)</f>
      </c>
      <c r="R74" s="3">
        <f>SUMIFS('Data nguồn'!J:J, 'Data nguồn'!D:D, $D74, 'Data nguồn'!F:F, $B$1, 'Data nguồn'!C:C, R$3)</f>
      </c>
      <c r="S74" s="3">
        <f>SUMIFS('Data nguồn'!J:J, 'Data nguồn'!D:D, $D74, 'Data nguồn'!F:F, $B$1, 'Data nguồn'!C:C, S$3)</f>
      </c>
      <c r="T74" s="3">
        <f>SUMIFS('Data nguồn'!J:J, 'Data nguồn'!D:D, $D74, 'Data nguồn'!F:F, $B$1, 'Data nguồn'!C:C, T$3)</f>
      </c>
      <c r="V74" s="3">
        <f>SUM(E74:P74)</f>
      </c>
      <c r="W74" s="3">
        <f>SUM(Q74:T74)</f>
      </c>
      <c r="X74" s="3">
        <f>AVERAGE(R74:T74)</f>
      </c>
      <c r="Y74" s="3">
        <f>AVERAGE(O74:T74)</f>
      </c>
      <c r="Z74" s="3">
        <f>AVERAGE(L74:T74)</f>
      </c>
      <c r="AA74" s="4">
        <f>IFERROR((X74*2)/(Y74+Z74), 0)</f>
      </c>
      <c r="AB74" s="4">
        <f>IFERROR(W74/SUM(E74:H74), 0)</f>
      </c>
      <c r="AC74" s="4">
        <f>IFERROR(W74/SUM(E74:H74), 0)</f>
      </c>
      <c r="AD74" s="4">
        <f>IFERROR(T74/H74, 0)</f>
      </c>
    </row>
    <row r="75" ht="20" customHeight="1" spans="1:30" x14ac:dyDescent="0.25">
      <c r="A75">
        <v>72</v>
      </c>
      <c r="B75" t="s">
        <v>234</v>
      </c>
      <c r="C75" t="s">
        <v>367</v>
      </c>
      <c r="D75" s="2" t="s">
        <v>234</v>
      </c>
      <c r="E75" s="3">
        <f>SUMIFS('Data nguồn'!J:J, 'Data nguồn'!D:D, $D75, 'Data nguồn'!F:F, $B$1, 'Data nguồn'!C:C, E$3)</f>
      </c>
      <c r="F75" s="3">
        <f>SUMIFS('Data nguồn'!J:J, 'Data nguồn'!D:D, $D75, 'Data nguồn'!F:F, $B$1, 'Data nguồn'!C:C, F$3)</f>
      </c>
      <c r="G75" s="3">
        <f>SUMIFS('Data nguồn'!J:J, 'Data nguồn'!D:D, $D75, 'Data nguồn'!F:F, $B$1, 'Data nguồn'!C:C, G$3)</f>
      </c>
      <c r="H75" s="3">
        <f>SUMIFS('Data nguồn'!J:J, 'Data nguồn'!D:D, $D75, 'Data nguồn'!F:F, $B$1, 'Data nguồn'!C:C, H$3)</f>
      </c>
      <c r="I75" s="3">
        <f>SUMIFS('Data nguồn'!J:J, 'Data nguồn'!D:D, $D75, 'Data nguồn'!F:F, $B$1, 'Data nguồn'!C:C, I$3)</f>
      </c>
      <c r="J75" s="3">
        <f>SUMIFS('Data nguồn'!J:J, 'Data nguồn'!D:D, $D75, 'Data nguồn'!F:F, $B$1, 'Data nguồn'!C:C, J$3)</f>
      </c>
      <c r="K75" s="3">
        <f>SUMIFS('Data nguồn'!J:J, 'Data nguồn'!D:D, $D75, 'Data nguồn'!F:F, $B$1, 'Data nguồn'!C:C, K$3)</f>
      </c>
      <c r="L75" s="3">
        <f>SUMIFS('Data nguồn'!J:J, 'Data nguồn'!D:D, $D75, 'Data nguồn'!F:F, $B$1, 'Data nguồn'!C:C, L$3)</f>
      </c>
      <c r="M75" s="3">
        <f>SUMIFS('Data nguồn'!J:J, 'Data nguồn'!D:D, $D75, 'Data nguồn'!F:F, $B$1, 'Data nguồn'!C:C, M$3)</f>
      </c>
      <c r="N75" s="3">
        <f>SUMIFS('Data nguồn'!J:J, 'Data nguồn'!D:D, $D75, 'Data nguồn'!F:F, $B$1, 'Data nguồn'!C:C, N$3)</f>
      </c>
      <c r="O75" s="3">
        <f>SUMIFS('Data nguồn'!J:J, 'Data nguồn'!D:D, $D75, 'Data nguồn'!F:F, $B$1, 'Data nguồn'!C:C, O$3)</f>
      </c>
      <c r="P75" s="3">
        <f>SUMIFS('Data nguồn'!J:J, 'Data nguồn'!D:D, $D75, 'Data nguồn'!F:F, $B$1, 'Data nguồn'!C:C, P$3)</f>
      </c>
      <c r="Q75" s="3">
        <f>SUMIFS('Data nguồn'!J:J, 'Data nguồn'!D:D, $D75, 'Data nguồn'!F:F, $B$1, 'Data nguồn'!C:C, Q$3)</f>
      </c>
      <c r="R75" s="3">
        <f>SUMIFS('Data nguồn'!J:J, 'Data nguồn'!D:D, $D75, 'Data nguồn'!F:F, $B$1, 'Data nguồn'!C:C, R$3)</f>
      </c>
      <c r="S75" s="3">
        <f>SUMIFS('Data nguồn'!J:J, 'Data nguồn'!D:D, $D75, 'Data nguồn'!F:F, $B$1, 'Data nguồn'!C:C, S$3)</f>
      </c>
      <c r="T75" s="3">
        <f>SUMIFS('Data nguồn'!J:J, 'Data nguồn'!D:D, $D75, 'Data nguồn'!F:F, $B$1, 'Data nguồn'!C:C, T$3)</f>
      </c>
      <c r="V75" s="3">
        <f>SUM(E75:P75)</f>
      </c>
      <c r="W75" s="3">
        <f>SUM(Q75:T75)</f>
      </c>
      <c r="X75" s="3">
        <f>AVERAGE(R75:T75)</f>
      </c>
      <c r="Y75" s="3">
        <f>AVERAGE(O75:T75)</f>
      </c>
      <c r="Z75" s="3">
        <f>AVERAGE(L75:T75)</f>
      </c>
      <c r="AA75" s="4">
        <f>IFERROR((X75*2)/(Y75+Z75), 0)</f>
      </c>
      <c r="AB75" s="4">
        <f>IFERROR(W75/SUM(E75:H75), 0)</f>
      </c>
      <c r="AC75" s="4">
        <f>IFERROR(W75/SUM(E75:H75), 0)</f>
      </c>
      <c r="AD75" s="4">
        <f>IFERROR(T75/H75, 0)</f>
      </c>
    </row>
    <row r="76" ht="20" customHeight="1" spans="1:30" x14ac:dyDescent="0.25">
      <c r="A76">
        <v>73</v>
      </c>
      <c r="B76" t="s">
        <v>235</v>
      </c>
      <c r="C76" t="s">
        <v>367</v>
      </c>
      <c r="D76" s="2" t="s">
        <v>235</v>
      </c>
      <c r="E76" s="3">
        <f>SUMIFS('Data nguồn'!J:J, 'Data nguồn'!D:D, $D76, 'Data nguồn'!F:F, $B$1, 'Data nguồn'!C:C, E$3)</f>
      </c>
      <c r="F76" s="3">
        <f>SUMIFS('Data nguồn'!J:J, 'Data nguồn'!D:D, $D76, 'Data nguồn'!F:F, $B$1, 'Data nguồn'!C:C, F$3)</f>
      </c>
      <c r="G76" s="3">
        <f>SUMIFS('Data nguồn'!J:J, 'Data nguồn'!D:D, $D76, 'Data nguồn'!F:F, $B$1, 'Data nguồn'!C:C, G$3)</f>
      </c>
      <c r="H76" s="3">
        <f>SUMIFS('Data nguồn'!J:J, 'Data nguồn'!D:D, $D76, 'Data nguồn'!F:F, $B$1, 'Data nguồn'!C:C, H$3)</f>
      </c>
      <c r="I76" s="3">
        <f>SUMIFS('Data nguồn'!J:J, 'Data nguồn'!D:D, $D76, 'Data nguồn'!F:F, $B$1, 'Data nguồn'!C:C, I$3)</f>
      </c>
      <c r="J76" s="3">
        <f>SUMIFS('Data nguồn'!J:J, 'Data nguồn'!D:D, $D76, 'Data nguồn'!F:F, $B$1, 'Data nguồn'!C:C, J$3)</f>
      </c>
      <c r="K76" s="3">
        <f>SUMIFS('Data nguồn'!J:J, 'Data nguồn'!D:D, $D76, 'Data nguồn'!F:F, $B$1, 'Data nguồn'!C:C, K$3)</f>
      </c>
      <c r="L76" s="3">
        <f>SUMIFS('Data nguồn'!J:J, 'Data nguồn'!D:D, $D76, 'Data nguồn'!F:F, $B$1, 'Data nguồn'!C:C, L$3)</f>
      </c>
      <c r="M76" s="3">
        <f>SUMIFS('Data nguồn'!J:J, 'Data nguồn'!D:D, $D76, 'Data nguồn'!F:F, $B$1, 'Data nguồn'!C:C, M$3)</f>
      </c>
      <c r="N76" s="3">
        <f>SUMIFS('Data nguồn'!J:J, 'Data nguồn'!D:D, $D76, 'Data nguồn'!F:F, $B$1, 'Data nguồn'!C:C, N$3)</f>
      </c>
      <c r="O76" s="3">
        <f>SUMIFS('Data nguồn'!J:J, 'Data nguồn'!D:D, $D76, 'Data nguồn'!F:F, $B$1, 'Data nguồn'!C:C, O$3)</f>
      </c>
      <c r="P76" s="3">
        <f>SUMIFS('Data nguồn'!J:J, 'Data nguồn'!D:D, $D76, 'Data nguồn'!F:F, $B$1, 'Data nguồn'!C:C, P$3)</f>
      </c>
      <c r="Q76" s="3">
        <f>SUMIFS('Data nguồn'!J:J, 'Data nguồn'!D:D, $D76, 'Data nguồn'!F:F, $B$1, 'Data nguồn'!C:C, Q$3)</f>
      </c>
      <c r="R76" s="3">
        <f>SUMIFS('Data nguồn'!J:J, 'Data nguồn'!D:D, $D76, 'Data nguồn'!F:F, $B$1, 'Data nguồn'!C:C, R$3)</f>
      </c>
      <c r="S76" s="3">
        <f>SUMIFS('Data nguồn'!J:J, 'Data nguồn'!D:D, $D76, 'Data nguồn'!F:F, $B$1, 'Data nguồn'!C:C, S$3)</f>
      </c>
      <c r="T76" s="3">
        <f>SUMIFS('Data nguồn'!J:J, 'Data nguồn'!D:D, $D76, 'Data nguồn'!F:F, $B$1, 'Data nguồn'!C:C, T$3)</f>
      </c>
      <c r="V76" s="3">
        <f>SUM(E76:P76)</f>
      </c>
      <c r="W76" s="3">
        <f>SUM(Q76:T76)</f>
      </c>
      <c r="X76" s="3">
        <f>AVERAGE(R76:T76)</f>
      </c>
      <c r="Y76" s="3">
        <f>AVERAGE(O76:T76)</f>
      </c>
      <c r="Z76" s="3">
        <f>AVERAGE(L76:T76)</f>
      </c>
      <c r="AA76" s="4">
        <f>IFERROR((X76*2)/(Y76+Z76), 0)</f>
      </c>
      <c r="AB76" s="4">
        <f>IFERROR(W76/SUM(E76:H76), 0)</f>
      </c>
      <c r="AC76" s="4">
        <f>IFERROR(W76/SUM(E76:H76), 0)</f>
      </c>
      <c r="AD76" s="4">
        <f>IFERROR(T76/H76, 0)</f>
      </c>
    </row>
    <row r="77" ht="20" customHeight="1" spans="1:30" x14ac:dyDescent="0.25">
      <c r="A77">
        <v>74</v>
      </c>
      <c r="B77" t="s">
        <v>236</v>
      </c>
      <c r="C77" t="s">
        <v>367</v>
      </c>
      <c r="D77" s="2" t="s">
        <v>236</v>
      </c>
      <c r="E77" s="3">
        <f>SUMIFS('Data nguồn'!J:J, 'Data nguồn'!D:D, $D77, 'Data nguồn'!F:F, $B$1, 'Data nguồn'!C:C, E$3)</f>
      </c>
      <c r="F77" s="3">
        <f>SUMIFS('Data nguồn'!J:J, 'Data nguồn'!D:D, $D77, 'Data nguồn'!F:F, $B$1, 'Data nguồn'!C:C, F$3)</f>
      </c>
      <c r="G77" s="3">
        <f>SUMIFS('Data nguồn'!J:J, 'Data nguồn'!D:D, $D77, 'Data nguồn'!F:F, $B$1, 'Data nguồn'!C:C, G$3)</f>
      </c>
      <c r="H77" s="3">
        <f>SUMIFS('Data nguồn'!J:J, 'Data nguồn'!D:D, $D77, 'Data nguồn'!F:F, $B$1, 'Data nguồn'!C:C, H$3)</f>
      </c>
      <c r="I77" s="3">
        <f>SUMIFS('Data nguồn'!J:J, 'Data nguồn'!D:D, $D77, 'Data nguồn'!F:F, $B$1, 'Data nguồn'!C:C, I$3)</f>
      </c>
      <c r="J77" s="3">
        <f>SUMIFS('Data nguồn'!J:J, 'Data nguồn'!D:D, $D77, 'Data nguồn'!F:F, $B$1, 'Data nguồn'!C:C, J$3)</f>
      </c>
      <c r="K77" s="3">
        <f>SUMIFS('Data nguồn'!J:J, 'Data nguồn'!D:D, $D77, 'Data nguồn'!F:F, $B$1, 'Data nguồn'!C:C, K$3)</f>
      </c>
      <c r="L77" s="3">
        <f>SUMIFS('Data nguồn'!J:J, 'Data nguồn'!D:D, $D77, 'Data nguồn'!F:F, $B$1, 'Data nguồn'!C:C, L$3)</f>
      </c>
      <c r="M77" s="3">
        <f>SUMIFS('Data nguồn'!J:J, 'Data nguồn'!D:D, $D77, 'Data nguồn'!F:F, $B$1, 'Data nguồn'!C:C, M$3)</f>
      </c>
      <c r="N77" s="3">
        <f>SUMIFS('Data nguồn'!J:J, 'Data nguồn'!D:D, $D77, 'Data nguồn'!F:F, $B$1, 'Data nguồn'!C:C, N$3)</f>
      </c>
      <c r="O77" s="3">
        <f>SUMIFS('Data nguồn'!J:J, 'Data nguồn'!D:D, $D77, 'Data nguồn'!F:F, $B$1, 'Data nguồn'!C:C, O$3)</f>
      </c>
      <c r="P77" s="3">
        <f>SUMIFS('Data nguồn'!J:J, 'Data nguồn'!D:D, $D77, 'Data nguồn'!F:F, $B$1, 'Data nguồn'!C:C, P$3)</f>
      </c>
      <c r="Q77" s="3">
        <f>SUMIFS('Data nguồn'!J:J, 'Data nguồn'!D:D, $D77, 'Data nguồn'!F:F, $B$1, 'Data nguồn'!C:C, Q$3)</f>
      </c>
      <c r="R77" s="3">
        <f>SUMIFS('Data nguồn'!J:J, 'Data nguồn'!D:D, $D77, 'Data nguồn'!F:F, $B$1, 'Data nguồn'!C:C, R$3)</f>
      </c>
      <c r="S77" s="3">
        <f>SUMIFS('Data nguồn'!J:J, 'Data nguồn'!D:D, $D77, 'Data nguồn'!F:F, $B$1, 'Data nguồn'!C:C, S$3)</f>
      </c>
      <c r="T77" s="3">
        <f>SUMIFS('Data nguồn'!J:J, 'Data nguồn'!D:D, $D77, 'Data nguồn'!F:F, $B$1, 'Data nguồn'!C:C, T$3)</f>
      </c>
      <c r="V77" s="3">
        <f>SUM(E77:P77)</f>
      </c>
      <c r="W77" s="3">
        <f>SUM(Q77:T77)</f>
      </c>
      <c r="X77" s="3">
        <f>AVERAGE(R77:T77)</f>
      </c>
      <c r="Y77" s="3">
        <f>AVERAGE(O77:T77)</f>
      </c>
      <c r="Z77" s="3">
        <f>AVERAGE(L77:T77)</f>
      </c>
      <c r="AA77" s="4">
        <f>IFERROR((X77*2)/(Y77+Z77), 0)</f>
      </c>
      <c r="AB77" s="4">
        <f>IFERROR(W77/SUM(E77:H77), 0)</f>
      </c>
      <c r="AC77" s="4">
        <f>IFERROR(W77/SUM(E77:H77), 0)</f>
      </c>
      <c r="AD77" s="4">
        <f>IFERROR(T77/H77, 0)</f>
      </c>
    </row>
    <row r="78" ht="20" customHeight="1" spans="1:30" x14ac:dyDescent="0.25">
      <c r="A78">
        <v>75</v>
      </c>
      <c r="B78" t="s">
        <v>237</v>
      </c>
      <c r="C78" t="s">
        <v>363</v>
      </c>
      <c r="D78" s="2" t="s">
        <v>237</v>
      </c>
      <c r="E78" s="3">
        <f>SUMIFS('Data nguồn'!J:J, 'Data nguồn'!D:D, $D78, 'Data nguồn'!F:F, $B$1, 'Data nguồn'!C:C, E$3)</f>
      </c>
      <c r="F78" s="3">
        <f>SUMIFS('Data nguồn'!J:J, 'Data nguồn'!D:D, $D78, 'Data nguồn'!F:F, $B$1, 'Data nguồn'!C:C, F$3)</f>
      </c>
      <c r="G78" s="3">
        <f>SUMIFS('Data nguồn'!J:J, 'Data nguồn'!D:D, $D78, 'Data nguồn'!F:F, $B$1, 'Data nguồn'!C:C, G$3)</f>
      </c>
      <c r="H78" s="3">
        <f>SUMIFS('Data nguồn'!J:J, 'Data nguồn'!D:D, $D78, 'Data nguồn'!F:F, $B$1, 'Data nguồn'!C:C, H$3)</f>
      </c>
      <c r="I78" s="3">
        <f>SUMIFS('Data nguồn'!J:J, 'Data nguồn'!D:D, $D78, 'Data nguồn'!F:F, $B$1, 'Data nguồn'!C:C, I$3)</f>
      </c>
      <c r="J78" s="3">
        <f>SUMIFS('Data nguồn'!J:J, 'Data nguồn'!D:D, $D78, 'Data nguồn'!F:F, $B$1, 'Data nguồn'!C:C, J$3)</f>
      </c>
      <c r="K78" s="3">
        <f>SUMIFS('Data nguồn'!J:J, 'Data nguồn'!D:D, $D78, 'Data nguồn'!F:F, $B$1, 'Data nguồn'!C:C, K$3)</f>
      </c>
      <c r="L78" s="3">
        <f>SUMIFS('Data nguồn'!J:J, 'Data nguồn'!D:D, $D78, 'Data nguồn'!F:F, $B$1, 'Data nguồn'!C:C, L$3)</f>
      </c>
      <c r="M78" s="3">
        <f>SUMIFS('Data nguồn'!J:J, 'Data nguồn'!D:D, $D78, 'Data nguồn'!F:F, $B$1, 'Data nguồn'!C:C, M$3)</f>
      </c>
      <c r="N78" s="3">
        <f>SUMIFS('Data nguồn'!J:J, 'Data nguồn'!D:D, $D78, 'Data nguồn'!F:F, $B$1, 'Data nguồn'!C:C, N$3)</f>
      </c>
      <c r="O78" s="3">
        <f>SUMIFS('Data nguồn'!J:J, 'Data nguồn'!D:D, $D78, 'Data nguồn'!F:F, $B$1, 'Data nguồn'!C:C, O$3)</f>
      </c>
      <c r="P78" s="3">
        <f>SUMIFS('Data nguồn'!J:J, 'Data nguồn'!D:D, $D78, 'Data nguồn'!F:F, $B$1, 'Data nguồn'!C:C, P$3)</f>
      </c>
      <c r="Q78" s="3">
        <f>SUMIFS('Data nguồn'!J:J, 'Data nguồn'!D:D, $D78, 'Data nguồn'!F:F, $B$1, 'Data nguồn'!C:C, Q$3)</f>
      </c>
      <c r="R78" s="3">
        <f>SUMIFS('Data nguồn'!J:J, 'Data nguồn'!D:D, $D78, 'Data nguồn'!F:F, $B$1, 'Data nguồn'!C:C, R$3)</f>
      </c>
      <c r="S78" s="3">
        <f>SUMIFS('Data nguồn'!J:J, 'Data nguồn'!D:D, $D78, 'Data nguồn'!F:F, $B$1, 'Data nguồn'!C:C, S$3)</f>
      </c>
      <c r="T78" s="3">
        <f>SUMIFS('Data nguồn'!J:J, 'Data nguồn'!D:D, $D78, 'Data nguồn'!F:F, $B$1, 'Data nguồn'!C:C, T$3)</f>
      </c>
      <c r="V78" s="3">
        <f>SUM(E78:P78)</f>
      </c>
      <c r="W78" s="3">
        <f>SUM(Q78:T78)</f>
      </c>
      <c r="X78" s="3">
        <f>AVERAGE(R78:T78)</f>
      </c>
      <c r="Y78" s="3">
        <f>AVERAGE(O78:T78)</f>
      </c>
      <c r="Z78" s="3">
        <f>AVERAGE(L78:T78)</f>
      </c>
      <c r="AA78" s="4">
        <f>IFERROR((X78*2)/(Y78+Z78), 0)</f>
      </c>
      <c r="AB78" s="4">
        <f>IFERROR(W78/SUM(E78:H78), 0)</f>
      </c>
      <c r="AC78" s="4">
        <f>IFERROR(W78/SUM(E78:H78), 0)</f>
      </c>
      <c r="AD78" s="4">
        <f>IFERROR(T78/H78, 0)</f>
      </c>
    </row>
    <row r="79" ht="20" customHeight="1" spans="1:30" x14ac:dyDescent="0.25">
      <c r="A79">
        <v>76</v>
      </c>
      <c r="B79" t="s">
        <v>238</v>
      </c>
      <c r="C79" t="s">
        <v>367</v>
      </c>
      <c r="D79" s="2" t="s">
        <v>238</v>
      </c>
      <c r="E79" s="3">
        <f>SUMIFS('Data nguồn'!J:J, 'Data nguồn'!D:D, $D79, 'Data nguồn'!F:F, $B$1, 'Data nguồn'!C:C, E$3)</f>
      </c>
      <c r="F79" s="3">
        <f>SUMIFS('Data nguồn'!J:J, 'Data nguồn'!D:D, $D79, 'Data nguồn'!F:F, $B$1, 'Data nguồn'!C:C, F$3)</f>
      </c>
      <c r="G79" s="3">
        <f>SUMIFS('Data nguồn'!J:J, 'Data nguồn'!D:D, $D79, 'Data nguồn'!F:F, $B$1, 'Data nguồn'!C:C, G$3)</f>
      </c>
      <c r="H79" s="3">
        <f>SUMIFS('Data nguồn'!J:J, 'Data nguồn'!D:D, $D79, 'Data nguồn'!F:F, $B$1, 'Data nguồn'!C:C, H$3)</f>
      </c>
      <c r="I79" s="3">
        <f>SUMIFS('Data nguồn'!J:J, 'Data nguồn'!D:D, $D79, 'Data nguồn'!F:F, $B$1, 'Data nguồn'!C:C, I$3)</f>
      </c>
      <c r="J79" s="3">
        <f>SUMIFS('Data nguồn'!J:J, 'Data nguồn'!D:D, $D79, 'Data nguồn'!F:F, $B$1, 'Data nguồn'!C:C, J$3)</f>
      </c>
      <c r="K79" s="3">
        <f>SUMIFS('Data nguồn'!J:J, 'Data nguồn'!D:D, $D79, 'Data nguồn'!F:F, $B$1, 'Data nguồn'!C:C, K$3)</f>
      </c>
      <c r="L79" s="3">
        <f>SUMIFS('Data nguồn'!J:J, 'Data nguồn'!D:D, $D79, 'Data nguồn'!F:F, $B$1, 'Data nguồn'!C:C, L$3)</f>
      </c>
      <c r="M79" s="3">
        <f>SUMIFS('Data nguồn'!J:J, 'Data nguồn'!D:D, $D79, 'Data nguồn'!F:F, $B$1, 'Data nguồn'!C:C, M$3)</f>
      </c>
      <c r="N79" s="3">
        <f>SUMIFS('Data nguồn'!J:J, 'Data nguồn'!D:D, $D79, 'Data nguồn'!F:F, $B$1, 'Data nguồn'!C:C, N$3)</f>
      </c>
      <c r="O79" s="3">
        <f>SUMIFS('Data nguồn'!J:J, 'Data nguồn'!D:D, $D79, 'Data nguồn'!F:F, $B$1, 'Data nguồn'!C:C, O$3)</f>
      </c>
      <c r="P79" s="3">
        <f>SUMIFS('Data nguồn'!J:J, 'Data nguồn'!D:D, $D79, 'Data nguồn'!F:F, $B$1, 'Data nguồn'!C:C, P$3)</f>
      </c>
      <c r="Q79" s="3">
        <f>SUMIFS('Data nguồn'!J:J, 'Data nguồn'!D:D, $D79, 'Data nguồn'!F:F, $B$1, 'Data nguồn'!C:C, Q$3)</f>
      </c>
      <c r="R79" s="3">
        <f>SUMIFS('Data nguồn'!J:J, 'Data nguồn'!D:D, $D79, 'Data nguồn'!F:F, $B$1, 'Data nguồn'!C:C, R$3)</f>
      </c>
      <c r="S79" s="3">
        <f>SUMIFS('Data nguồn'!J:J, 'Data nguồn'!D:D, $D79, 'Data nguồn'!F:F, $B$1, 'Data nguồn'!C:C, S$3)</f>
      </c>
      <c r="T79" s="3">
        <f>SUMIFS('Data nguồn'!J:J, 'Data nguồn'!D:D, $D79, 'Data nguồn'!F:F, $B$1, 'Data nguồn'!C:C, T$3)</f>
      </c>
      <c r="V79" s="3">
        <f>SUM(E79:P79)</f>
      </c>
      <c r="W79" s="3">
        <f>SUM(Q79:T79)</f>
      </c>
      <c r="X79" s="3">
        <f>AVERAGE(R79:T79)</f>
      </c>
      <c r="Y79" s="3">
        <f>AVERAGE(O79:T79)</f>
      </c>
      <c r="Z79" s="3">
        <f>AVERAGE(L79:T79)</f>
      </c>
      <c r="AA79" s="4">
        <f>IFERROR((X79*2)/(Y79+Z79), 0)</f>
      </c>
      <c r="AB79" s="4">
        <f>IFERROR(W79/SUM(E79:H79), 0)</f>
      </c>
      <c r="AC79" s="4">
        <f>IFERROR(W79/SUM(E79:H79), 0)</f>
      </c>
      <c r="AD79" s="4">
        <f>IFERROR(T79/H79, 0)</f>
      </c>
    </row>
    <row r="80" ht="20" customHeight="1" spans="1:30" x14ac:dyDescent="0.25">
      <c r="A80">
        <v>77</v>
      </c>
      <c r="B80" t="s">
        <v>239</v>
      </c>
      <c r="C80" t="s">
        <v>367</v>
      </c>
      <c r="D80" s="2" t="s">
        <v>239</v>
      </c>
      <c r="E80" s="3">
        <f>SUMIFS('Data nguồn'!J:J, 'Data nguồn'!D:D, $D80, 'Data nguồn'!F:F, $B$1, 'Data nguồn'!C:C, E$3)</f>
      </c>
      <c r="F80" s="3">
        <f>SUMIFS('Data nguồn'!J:J, 'Data nguồn'!D:D, $D80, 'Data nguồn'!F:F, $B$1, 'Data nguồn'!C:C, F$3)</f>
      </c>
      <c r="G80" s="3">
        <f>SUMIFS('Data nguồn'!J:J, 'Data nguồn'!D:D, $D80, 'Data nguồn'!F:F, $B$1, 'Data nguồn'!C:C, G$3)</f>
      </c>
      <c r="H80" s="3">
        <f>SUMIFS('Data nguồn'!J:J, 'Data nguồn'!D:D, $D80, 'Data nguồn'!F:F, $B$1, 'Data nguồn'!C:C, H$3)</f>
      </c>
      <c r="I80" s="3">
        <f>SUMIFS('Data nguồn'!J:J, 'Data nguồn'!D:D, $D80, 'Data nguồn'!F:F, $B$1, 'Data nguồn'!C:C, I$3)</f>
      </c>
      <c r="J80" s="3">
        <f>SUMIFS('Data nguồn'!J:J, 'Data nguồn'!D:D, $D80, 'Data nguồn'!F:F, $B$1, 'Data nguồn'!C:C, J$3)</f>
      </c>
      <c r="K80" s="3">
        <f>SUMIFS('Data nguồn'!J:J, 'Data nguồn'!D:D, $D80, 'Data nguồn'!F:F, $B$1, 'Data nguồn'!C:C, K$3)</f>
      </c>
      <c r="L80" s="3">
        <f>SUMIFS('Data nguồn'!J:J, 'Data nguồn'!D:D, $D80, 'Data nguồn'!F:F, $B$1, 'Data nguồn'!C:C, L$3)</f>
      </c>
      <c r="M80" s="3">
        <f>SUMIFS('Data nguồn'!J:J, 'Data nguồn'!D:D, $D80, 'Data nguồn'!F:F, $B$1, 'Data nguồn'!C:C, M$3)</f>
      </c>
      <c r="N80" s="3">
        <f>SUMIFS('Data nguồn'!J:J, 'Data nguồn'!D:D, $D80, 'Data nguồn'!F:F, $B$1, 'Data nguồn'!C:C, N$3)</f>
      </c>
      <c r="O80" s="3">
        <f>SUMIFS('Data nguồn'!J:J, 'Data nguồn'!D:D, $D80, 'Data nguồn'!F:F, $B$1, 'Data nguồn'!C:C, O$3)</f>
      </c>
      <c r="P80" s="3">
        <f>SUMIFS('Data nguồn'!J:J, 'Data nguồn'!D:D, $D80, 'Data nguồn'!F:F, $B$1, 'Data nguồn'!C:C, P$3)</f>
      </c>
      <c r="Q80" s="3">
        <f>SUMIFS('Data nguồn'!J:J, 'Data nguồn'!D:D, $D80, 'Data nguồn'!F:F, $B$1, 'Data nguồn'!C:C, Q$3)</f>
      </c>
      <c r="R80" s="3">
        <f>SUMIFS('Data nguồn'!J:J, 'Data nguồn'!D:D, $D80, 'Data nguồn'!F:F, $B$1, 'Data nguồn'!C:C, R$3)</f>
      </c>
      <c r="S80" s="3">
        <f>SUMIFS('Data nguồn'!J:J, 'Data nguồn'!D:D, $D80, 'Data nguồn'!F:F, $B$1, 'Data nguồn'!C:C, S$3)</f>
      </c>
      <c r="T80" s="3">
        <f>SUMIFS('Data nguồn'!J:J, 'Data nguồn'!D:D, $D80, 'Data nguồn'!F:F, $B$1, 'Data nguồn'!C:C, T$3)</f>
      </c>
      <c r="V80" s="3">
        <f>SUM(E80:P80)</f>
      </c>
      <c r="W80" s="3">
        <f>SUM(Q80:T80)</f>
      </c>
      <c r="X80" s="3">
        <f>AVERAGE(R80:T80)</f>
      </c>
      <c r="Y80" s="3">
        <f>AVERAGE(O80:T80)</f>
      </c>
      <c r="Z80" s="3">
        <f>AVERAGE(L80:T80)</f>
      </c>
      <c r="AA80" s="4">
        <f>IFERROR((X80*2)/(Y80+Z80), 0)</f>
      </c>
      <c r="AB80" s="4">
        <f>IFERROR(W80/SUM(E80:H80), 0)</f>
      </c>
      <c r="AC80" s="4">
        <f>IFERROR(W80/SUM(E80:H80), 0)</f>
      </c>
      <c r="AD80" s="4">
        <f>IFERROR(T80/H80, 0)</f>
      </c>
    </row>
    <row r="81" ht="20" customHeight="1" spans="1:30" x14ac:dyDescent="0.25">
      <c r="A81">
        <v>78</v>
      </c>
      <c r="B81" t="s">
        <v>240</v>
      </c>
      <c r="C81" t="s">
        <v>367</v>
      </c>
      <c r="D81" s="2" t="s">
        <v>240</v>
      </c>
      <c r="E81" s="3">
        <f>SUMIFS('Data nguồn'!J:J, 'Data nguồn'!D:D, $D81, 'Data nguồn'!F:F, $B$1, 'Data nguồn'!C:C, E$3)</f>
      </c>
      <c r="F81" s="3">
        <f>SUMIFS('Data nguồn'!J:J, 'Data nguồn'!D:D, $D81, 'Data nguồn'!F:F, $B$1, 'Data nguồn'!C:C, F$3)</f>
      </c>
      <c r="G81" s="3">
        <f>SUMIFS('Data nguồn'!J:J, 'Data nguồn'!D:D, $D81, 'Data nguồn'!F:F, $B$1, 'Data nguồn'!C:C, G$3)</f>
      </c>
      <c r="H81" s="3">
        <f>SUMIFS('Data nguồn'!J:J, 'Data nguồn'!D:D, $D81, 'Data nguồn'!F:F, $B$1, 'Data nguồn'!C:C, H$3)</f>
      </c>
      <c r="I81" s="3">
        <f>SUMIFS('Data nguồn'!J:J, 'Data nguồn'!D:D, $D81, 'Data nguồn'!F:F, $B$1, 'Data nguồn'!C:C, I$3)</f>
      </c>
      <c r="J81" s="3">
        <f>SUMIFS('Data nguồn'!J:J, 'Data nguồn'!D:D, $D81, 'Data nguồn'!F:F, $B$1, 'Data nguồn'!C:C, J$3)</f>
      </c>
      <c r="K81" s="3">
        <f>SUMIFS('Data nguồn'!J:J, 'Data nguồn'!D:D, $D81, 'Data nguồn'!F:F, $B$1, 'Data nguồn'!C:C, K$3)</f>
      </c>
      <c r="L81" s="3">
        <f>SUMIFS('Data nguồn'!J:J, 'Data nguồn'!D:D, $D81, 'Data nguồn'!F:F, $B$1, 'Data nguồn'!C:C, L$3)</f>
      </c>
      <c r="M81" s="3">
        <f>SUMIFS('Data nguồn'!J:J, 'Data nguồn'!D:D, $D81, 'Data nguồn'!F:F, $B$1, 'Data nguồn'!C:C, M$3)</f>
      </c>
      <c r="N81" s="3">
        <f>SUMIFS('Data nguồn'!J:J, 'Data nguồn'!D:D, $D81, 'Data nguồn'!F:F, $B$1, 'Data nguồn'!C:C, N$3)</f>
      </c>
      <c r="O81" s="3">
        <f>SUMIFS('Data nguồn'!J:J, 'Data nguồn'!D:D, $D81, 'Data nguồn'!F:F, $B$1, 'Data nguồn'!C:C, O$3)</f>
      </c>
      <c r="P81" s="3">
        <f>SUMIFS('Data nguồn'!J:J, 'Data nguồn'!D:D, $D81, 'Data nguồn'!F:F, $B$1, 'Data nguồn'!C:C, P$3)</f>
      </c>
      <c r="Q81" s="3">
        <f>SUMIFS('Data nguồn'!J:J, 'Data nguồn'!D:D, $D81, 'Data nguồn'!F:F, $B$1, 'Data nguồn'!C:C, Q$3)</f>
      </c>
      <c r="R81" s="3">
        <f>SUMIFS('Data nguồn'!J:J, 'Data nguồn'!D:D, $D81, 'Data nguồn'!F:F, $B$1, 'Data nguồn'!C:C, R$3)</f>
      </c>
      <c r="S81" s="3">
        <f>SUMIFS('Data nguồn'!J:J, 'Data nguồn'!D:D, $D81, 'Data nguồn'!F:F, $B$1, 'Data nguồn'!C:C, S$3)</f>
      </c>
      <c r="T81" s="3">
        <f>SUMIFS('Data nguồn'!J:J, 'Data nguồn'!D:D, $D81, 'Data nguồn'!F:F, $B$1, 'Data nguồn'!C:C, T$3)</f>
      </c>
      <c r="V81" s="3">
        <f>SUM(E81:P81)</f>
      </c>
      <c r="W81" s="3">
        <f>SUM(Q81:T81)</f>
      </c>
      <c r="X81" s="3">
        <f>AVERAGE(R81:T81)</f>
      </c>
      <c r="Y81" s="3">
        <f>AVERAGE(O81:T81)</f>
      </c>
      <c r="Z81" s="3">
        <f>AVERAGE(L81:T81)</f>
      </c>
      <c r="AA81" s="4">
        <f>IFERROR((X81*2)/(Y81+Z81), 0)</f>
      </c>
      <c r="AB81" s="4">
        <f>IFERROR(W81/SUM(E81:H81), 0)</f>
      </c>
      <c r="AC81" s="4">
        <f>IFERROR(W81/SUM(E81:H81), 0)</f>
      </c>
      <c r="AD81" s="4">
        <f>IFERROR(T81/H81, 0)</f>
      </c>
    </row>
    <row r="82" ht="20" customHeight="1" spans="1:30" x14ac:dyDescent="0.25">
      <c r="A82">
        <v>79</v>
      </c>
      <c r="B82" t="s">
        <v>241</v>
      </c>
      <c r="C82" t="s">
        <v>367</v>
      </c>
      <c r="D82" s="2" t="s">
        <v>241</v>
      </c>
      <c r="E82" s="3">
        <f>SUMIFS('Data nguồn'!J:J, 'Data nguồn'!D:D, $D82, 'Data nguồn'!F:F, $B$1, 'Data nguồn'!C:C, E$3)</f>
      </c>
      <c r="F82" s="3">
        <f>SUMIFS('Data nguồn'!J:J, 'Data nguồn'!D:D, $D82, 'Data nguồn'!F:F, $B$1, 'Data nguồn'!C:C, F$3)</f>
      </c>
      <c r="G82" s="3">
        <f>SUMIFS('Data nguồn'!J:J, 'Data nguồn'!D:D, $D82, 'Data nguồn'!F:F, $B$1, 'Data nguồn'!C:C, G$3)</f>
      </c>
      <c r="H82" s="3">
        <f>SUMIFS('Data nguồn'!J:J, 'Data nguồn'!D:D, $D82, 'Data nguồn'!F:F, $B$1, 'Data nguồn'!C:C, H$3)</f>
      </c>
      <c r="I82" s="3">
        <f>SUMIFS('Data nguồn'!J:J, 'Data nguồn'!D:D, $D82, 'Data nguồn'!F:F, $B$1, 'Data nguồn'!C:C, I$3)</f>
      </c>
      <c r="J82" s="3">
        <f>SUMIFS('Data nguồn'!J:J, 'Data nguồn'!D:D, $D82, 'Data nguồn'!F:F, $B$1, 'Data nguồn'!C:C, J$3)</f>
      </c>
      <c r="K82" s="3">
        <f>SUMIFS('Data nguồn'!J:J, 'Data nguồn'!D:D, $D82, 'Data nguồn'!F:F, $B$1, 'Data nguồn'!C:C, K$3)</f>
      </c>
      <c r="L82" s="3">
        <f>SUMIFS('Data nguồn'!J:J, 'Data nguồn'!D:D, $D82, 'Data nguồn'!F:F, $B$1, 'Data nguồn'!C:C, L$3)</f>
      </c>
      <c r="M82" s="3">
        <f>SUMIFS('Data nguồn'!J:J, 'Data nguồn'!D:D, $D82, 'Data nguồn'!F:F, $B$1, 'Data nguồn'!C:C, M$3)</f>
      </c>
      <c r="N82" s="3">
        <f>SUMIFS('Data nguồn'!J:J, 'Data nguồn'!D:D, $D82, 'Data nguồn'!F:F, $B$1, 'Data nguồn'!C:C, N$3)</f>
      </c>
      <c r="O82" s="3">
        <f>SUMIFS('Data nguồn'!J:J, 'Data nguồn'!D:D, $D82, 'Data nguồn'!F:F, $B$1, 'Data nguồn'!C:C, O$3)</f>
      </c>
      <c r="P82" s="3">
        <f>SUMIFS('Data nguồn'!J:J, 'Data nguồn'!D:D, $D82, 'Data nguồn'!F:F, $B$1, 'Data nguồn'!C:C, P$3)</f>
      </c>
      <c r="Q82" s="3">
        <f>SUMIFS('Data nguồn'!J:J, 'Data nguồn'!D:D, $D82, 'Data nguồn'!F:F, $B$1, 'Data nguồn'!C:C, Q$3)</f>
      </c>
      <c r="R82" s="3">
        <f>SUMIFS('Data nguồn'!J:J, 'Data nguồn'!D:D, $D82, 'Data nguồn'!F:F, $B$1, 'Data nguồn'!C:C, R$3)</f>
      </c>
      <c r="S82" s="3">
        <f>SUMIFS('Data nguồn'!J:J, 'Data nguồn'!D:D, $D82, 'Data nguồn'!F:F, $B$1, 'Data nguồn'!C:C, S$3)</f>
      </c>
      <c r="T82" s="3">
        <f>SUMIFS('Data nguồn'!J:J, 'Data nguồn'!D:D, $D82, 'Data nguồn'!F:F, $B$1, 'Data nguồn'!C:C, T$3)</f>
      </c>
      <c r="V82" s="3">
        <f>SUM(E82:P82)</f>
      </c>
      <c r="W82" s="3">
        <f>SUM(Q82:T82)</f>
      </c>
      <c r="X82" s="3">
        <f>AVERAGE(R82:T82)</f>
      </c>
      <c r="Y82" s="3">
        <f>AVERAGE(O82:T82)</f>
      </c>
      <c r="Z82" s="3">
        <f>AVERAGE(L82:T82)</f>
      </c>
      <c r="AA82" s="4">
        <f>IFERROR((X82*2)/(Y82+Z82), 0)</f>
      </c>
      <c r="AB82" s="4">
        <f>IFERROR(W82/SUM(E82:H82), 0)</f>
      </c>
      <c r="AC82" s="4">
        <f>IFERROR(W82/SUM(E82:H82), 0)</f>
      </c>
      <c r="AD82" s="4">
        <f>IFERROR(T82/H82, 0)</f>
      </c>
    </row>
    <row r="83" ht="20" customHeight="1" spans="1:30" x14ac:dyDescent="0.25">
      <c r="A83">
        <v>80</v>
      </c>
      <c r="B83" t="s">
        <v>242</v>
      </c>
      <c r="C83" t="s">
        <v>367</v>
      </c>
      <c r="D83" s="2" t="s">
        <v>242</v>
      </c>
      <c r="E83" s="3">
        <f>SUMIFS('Data nguồn'!J:J, 'Data nguồn'!D:D, $D83, 'Data nguồn'!F:F, $B$1, 'Data nguồn'!C:C, E$3)</f>
      </c>
      <c r="F83" s="3">
        <f>SUMIFS('Data nguồn'!J:J, 'Data nguồn'!D:D, $D83, 'Data nguồn'!F:F, $B$1, 'Data nguồn'!C:C, F$3)</f>
      </c>
      <c r="G83" s="3">
        <f>SUMIFS('Data nguồn'!J:J, 'Data nguồn'!D:D, $D83, 'Data nguồn'!F:F, $B$1, 'Data nguồn'!C:C, G$3)</f>
      </c>
      <c r="H83" s="3">
        <f>SUMIFS('Data nguồn'!J:J, 'Data nguồn'!D:D, $D83, 'Data nguồn'!F:F, $B$1, 'Data nguồn'!C:C, H$3)</f>
      </c>
      <c r="I83" s="3">
        <f>SUMIFS('Data nguồn'!J:J, 'Data nguồn'!D:D, $D83, 'Data nguồn'!F:F, $B$1, 'Data nguồn'!C:C, I$3)</f>
      </c>
      <c r="J83" s="3">
        <f>SUMIFS('Data nguồn'!J:J, 'Data nguồn'!D:D, $D83, 'Data nguồn'!F:F, $B$1, 'Data nguồn'!C:C, J$3)</f>
      </c>
      <c r="K83" s="3">
        <f>SUMIFS('Data nguồn'!J:J, 'Data nguồn'!D:D, $D83, 'Data nguồn'!F:F, $B$1, 'Data nguồn'!C:C, K$3)</f>
      </c>
      <c r="L83" s="3">
        <f>SUMIFS('Data nguồn'!J:J, 'Data nguồn'!D:D, $D83, 'Data nguồn'!F:F, $B$1, 'Data nguồn'!C:C, L$3)</f>
      </c>
      <c r="M83" s="3">
        <f>SUMIFS('Data nguồn'!J:J, 'Data nguồn'!D:D, $D83, 'Data nguồn'!F:F, $B$1, 'Data nguồn'!C:C, M$3)</f>
      </c>
      <c r="N83" s="3">
        <f>SUMIFS('Data nguồn'!J:J, 'Data nguồn'!D:D, $D83, 'Data nguồn'!F:F, $B$1, 'Data nguồn'!C:C, N$3)</f>
      </c>
      <c r="O83" s="3">
        <f>SUMIFS('Data nguồn'!J:J, 'Data nguồn'!D:D, $D83, 'Data nguồn'!F:F, $B$1, 'Data nguồn'!C:C, O$3)</f>
      </c>
      <c r="P83" s="3">
        <f>SUMIFS('Data nguồn'!J:J, 'Data nguồn'!D:D, $D83, 'Data nguồn'!F:F, $B$1, 'Data nguồn'!C:C, P$3)</f>
      </c>
      <c r="Q83" s="3">
        <f>SUMIFS('Data nguồn'!J:J, 'Data nguồn'!D:D, $D83, 'Data nguồn'!F:F, $B$1, 'Data nguồn'!C:C, Q$3)</f>
      </c>
      <c r="R83" s="3">
        <f>SUMIFS('Data nguồn'!J:J, 'Data nguồn'!D:D, $D83, 'Data nguồn'!F:F, $B$1, 'Data nguồn'!C:C, R$3)</f>
      </c>
      <c r="S83" s="3">
        <f>SUMIFS('Data nguồn'!J:J, 'Data nguồn'!D:D, $D83, 'Data nguồn'!F:F, $B$1, 'Data nguồn'!C:C, S$3)</f>
      </c>
      <c r="T83" s="3">
        <f>SUMIFS('Data nguồn'!J:J, 'Data nguồn'!D:D, $D83, 'Data nguồn'!F:F, $B$1, 'Data nguồn'!C:C, T$3)</f>
      </c>
      <c r="V83" s="3">
        <f>SUM(E83:P83)</f>
      </c>
      <c r="W83" s="3">
        <f>SUM(Q83:T83)</f>
      </c>
      <c r="X83" s="3">
        <f>AVERAGE(R83:T83)</f>
      </c>
      <c r="Y83" s="3">
        <f>AVERAGE(O83:T83)</f>
      </c>
      <c r="Z83" s="3">
        <f>AVERAGE(L83:T83)</f>
      </c>
      <c r="AA83" s="4">
        <f>IFERROR((X83*2)/(Y83+Z83), 0)</f>
      </c>
      <c r="AB83" s="4">
        <f>IFERROR(W83/SUM(E83:H83), 0)</f>
      </c>
      <c r="AC83" s="4">
        <f>IFERROR(W83/SUM(E83:H83), 0)</f>
      </c>
      <c r="AD83" s="4">
        <f>IFERROR(T83/H83, 0)</f>
      </c>
    </row>
    <row r="84" ht="20" customHeight="1" spans="1:30" x14ac:dyDescent="0.25">
      <c r="A84">
        <v>81</v>
      </c>
      <c r="B84" t="s">
        <v>243</v>
      </c>
      <c r="C84" t="s">
        <v>367</v>
      </c>
      <c r="D84" s="2" t="s">
        <v>243</v>
      </c>
      <c r="E84" s="3">
        <f>SUMIFS('Data nguồn'!J:J, 'Data nguồn'!D:D, $D84, 'Data nguồn'!F:F, $B$1, 'Data nguồn'!C:C, E$3)</f>
      </c>
      <c r="F84" s="3">
        <f>SUMIFS('Data nguồn'!J:J, 'Data nguồn'!D:D, $D84, 'Data nguồn'!F:F, $B$1, 'Data nguồn'!C:C, F$3)</f>
      </c>
      <c r="G84" s="3">
        <f>SUMIFS('Data nguồn'!J:J, 'Data nguồn'!D:D, $D84, 'Data nguồn'!F:F, $B$1, 'Data nguồn'!C:C, G$3)</f>
      </c>
      <c r="H84" s="3">
        <f>SUMIFS('Data nguồn'!J:J, 'Data nguồn'!D:D, $D84, 'Data nguồn'!F:F, $B$1, 'Data nguồn'!C:C, H$3)</f>
      </c>
      <c r="I84" s="3">
        <f>SUMIFS('Data nguồn'!J:J, 'Data nguồn'!D:D, $D84, 'Data nguồn'!F:F, $B$1, 'Data nguồn'!C:C, I$3)</f>
      </c>
      <c r="J84" s="3">
        <f>SUMIFS('Data nguồn'!J:J, 'Data nguồn'!D:D, $D84, 'Data nguồn'!F:F, $B$1, 'Data nguồn'!C:C, J$3)</f>
      </c>
      <c r="K84" s="3">
        <f>SUMIFS('Data nguồn'!J:J, 'Data nguồn'!D:D, $D84, 'Data nguồn'!F:F, $B$1, 'Data nguồn'!C:C, K$3)</f>
      </c>
      <c r="L84" s="3">
        <f>SUMIFS('Data nguồn'!J:J, 'Data nguồn'!D:D, $D84, 'Data nguồn'!F:F, $B$1, 'Data nguồn'!C:C, L$3)</f>
      </c>
      <c r="M84" s="3">
        <f>SUMIFS('Data nguồn'!J:J, 'Data nguồn'!D:D, $D84, 'Data nguồn'!F:F, $B$1, 'Data nguồn'!C:C, M$3)</f>
      </c>
      <c r="N84" s="3">
        <f>SUMIFS('Data nguồn'!J:J, 'Data nguồn'!D:D, $D84, 'Data nguồn'!F:F, $B$1, 'Data nguồn'!C:C, N$3)</f>
      </c>
      <c r="O84" s="3">
        <f>SUMIFS('Data nguồn'!J:J, 'Data nguồn'!D:D, $D84, 'Data nguồn'!F:F, $B$1, 'Data nguồn'!C:C, O$3)</f>
      </c>
      <c r="P84" s="3">
        <f>SUMIFS('Data nguồn'!J:J, 'Data nguồn'!D:D, $D84, 'Data nguồn'!F:F, $B$1, 'Data nguồn'!C:C, P$3)</f>
      </c>
      <c r="Q84" s="3">
        <f>SUMIFS('Data nguồn'!J:J, 'Data nguồn'!D:D, $D84, 'Data nguồn'!F:F, $B$1, 'Data nguồn'!C:C, Q$3)</f>
      </c>
      <c r="R84" s="3">
        <f>SUMIFS('Data nguồn'!J:J, 'Data nguồn'!D:D, $D84, 'Data nguồn'!F:F, $B$1, 'Data nguồn'!C:C, R$3)</f>
      </c>
      <c r="S84" s="3">
        <f>SUMIFS('Data nguồn'!J:J, 'Data nguồn'!D:D, $D84, 'Data nguồn'!F:F, $B$1, 'Data nguồn'!C:C, S$3)</f>
      </c>
      <c r="T84" s="3">
        <f>SUMIFS('Data nguồn'!J:J, 'Data nguồn'!D:D, $D84, 'Data nguồn'!F:F, $B$1, 'Data nguồn'!C:C, T$3)</f>
      </c>
      <c r="V84" s="3">
        <f>SUM(E84:P84)</f>
      </c>
      <c r="W84" s="3">
        <f>SUM(Q84:T84)</f>
      </c>
      <c r="X84" s="3">
        <f>AVERAGE(R84:T84)</f>
      </c>
      <c r="Y84" s="3">
        <f>AVERAGE(O84:T84)</f>
      </c>
      <c r="Z84" s="3">
        <f>AVERAGE(L84:T84)</f>
      </c>
      <c r="AA84" s="4">
        <f>IFERROR((X84*2)/(Y84+Z84), 0)</f>
      </c>
      <c r="AB84" s="4">
        <f>IFERROR(W84/SUM(E84:H84), 0)</f>
      </c>
      <c r="AC84" s="4">
        <f>IFERROR(W84/SUM(E84:H84), 0)</f>
      </c>
      <c r="AD84" s="4">
        <f>IFERROR(T84/H84, 0)</f>
      </c>
    </row>
    <row r="85" ht="20" customHeight="1" spans="1:30" x14ac:dyDescent="0.25">
      <c r="A85">
        <v>82</v>
      </c>
      <c r="B85" t="s">
        <v>244</v>
      </c>
      <c r="C85" t="s">
        <v>367</v>
      </c>
      <c r="D85" s="2" t="s">
        <v>244</v>
      </c>
      <c r="E85" s="3">
        <f>SUMIFS('Data nguồn'!J:J, 'Data nguồn'!D:D, $D85, 'Data nguồn'!F:F, $B$1, 'Data nguồn'!C:C, E$3)</f>
      </c>
      <c r="F85" s="3">
        <f>SUMIFS('Data nguồn'!J:J, 'Data nguồn'!D:D, $D85, 'Data nguồn'!F:F, $B$1, 'Data nguồn'!C:C, F$3)</f>
      </c>
      <c r="G85" s="3">
        <f>SUMIFS('Data nguồn'!J:J, 'Data nguồn'!D:D, $D85, 'Data nguồn'!F:F, $B$1, 'Data nguồn'!C:C, G$3)</f>
      </c>
      <c r="H85" s="3">
        <f>SUMIFS('Data nguồn'!J:J, 'Data nguồn'!D:D, $D85, 'Data nguồn'!F:F, $B$1, 'Data nguồn'!C:C, H$3)</f>
      </c>
      <c r="I85" s="3">
        <f>SUMIFS('Data nguồn'!J:J, 'Data nguồn'!D:D, $D85, 'Data nguồn'!F:F, $B$1, 'Data nguồn'!C:C, I$3)</f>
      </c>
      <c r="J85" s="3">
        <f>SUMIFS('Data nguồn'!J:J, 'Data nguồn'!D:D, $D85, 'Data nguồn'!F:F, $B$1, 'Data nguồn'!C:C, J$3)</f>
      </c>
      <c r="K85" s="3">
        <f>SUMIFS('Data nguồn'!J:J, 'Data nguồn'!D:D, $D85, 'Data nguồn'!F:F, $B$1, 'Data nguồn'!C:C, K$3)</f>
      </c>
      <c r="L85" s="3">
        <f>SUMIFS('Data nguồn'!J:J, 'Data nguồn'!D:D, $D85, 'Data nguồn'!F:F, $B$1, 'Data nguồn'!C:C, L$3)</f>
      </c>
      <c r="M85" s="3">
        <f>SUMIFS('Data nguồn'!J:J, 'Data nguồn'!D:D, $D85, 'Data nguồn'!F:F, $B$1, 'Data nguồn'!C:C, M$3)</f>
      </c>
      <c r="N85" s="3">
        <f>SUMIFS('Data nguồn'!J:J, 'Data nguồn'!D:D, $D85, 'Data nguồn'!F:F, $B$1, 'Data nguồn'!C:C, N$3)</f>
      </c>
      <c r="O85" s="3">
        <f>SUMIFS('Data nguồn'!J:J, 'Data nguồn'!D:D, $D85, 'Data nguồn'!F:F, $B$1, 'Data nguồn'!C:C, O$3)</f>
      </c>
      <c r="P85" s="3">
        <f>SUMIFS('Data nguồn'!J:J, 'Data nguồn'!D:D, $D85, 'Data nguồn'!F:F, $B$1, 'Data nguồn'!C:C, P$3)</f>
      </c>
      <c r="Q85" s="3">
        <f>SUMIFS('Data nguồn'!J:J, 'Data nguồn'!D:D, $D85, 'Data nguồn'!F:F, $B$1, 'Data nguồn'!C:C, Q$3)</f>
      </c>
      <c r="R85" s="3">
        <f>SUMIFS('Data nguồn'!J:J, 'Data nguồn'!D:D, $D85, 'Data nguồn'!F:F, $B$1, 'Data nguồn'!C:C, R$3)</f>
      </c>
      <c r="S85" s="3">
        <f>SUMIFS('Data nguồn'!J:J, 'Data nguồn'!D:D, $D85, 'Data nguồn'!F:F, $B$1, 'Data nguồn'!C:C, S$3)</f>
      </c>
      <c r="T85" s="3">
        <f>SUMIFS('Data nguồn'!J:J, 'Data nguồn'!D:D, $D85, 'Data nguồn'!F:F, $B$1, 'Data nguồn'!C:C, T$3)</f>
      </c>
      <c r="V85" s="3">
        <f>SUM(E85:P85)</f>
      </c>
      <c r="W85" s="3">
        <f>SUM(Q85:T85)</f>
      </c>
      <c r="X85" s="3">
        <f>AVERAGE(R85:T85)</f>
      </c>
      <c r="Y85" s="3">
        <f>AVERAGE(O85:T85)</f>
      </c>
      <c r="Z85" s="3">
        <f>AVERAGE(L85:T85)</f>
      </c>
      <c r="AA85" s="4">
        <f>IFERROR((X85*2)/(Y85+Z85), 0)</f>
      </c>
      <c r="AB85" s="4">
        <f>IFERROR(W85/SUM(E85:H85), 0)</f>
      </c>
      <c r="AC85" s="4">
        <f>IFERROR(W85/SUM(E85:H85), 0)</f>
      </c>
      <c r="AD85" s="4">
        <f>IFERROR(T85/H85, 0)</f>
      </c>
    </row>
    <row r="86" ht="20" customHeight="1" spans="1:30" x14ac:dyDescent="0.25">
      <c r="A86">
        <v>83</v>
      </c>
      <c r="B86" t="s">
        <v>245</v>
      </c>
      <c r="C86" t="s">
        <v>367</v>
      </c>
      <c r="D86" s="2" t="s">
        <v>245</v>
      </c>
      <c r="E86" s="3">
        <f>SUMIFS('Data nguồn'!J:J, 'Data nguồn'!D:D, $D86, 'Data nguồn'!F:F, $B$1, 'Data nguồn'!C:C, E$3)</f>
      </c>
      <c r="F86" s="3">
        <f>SUMIFS('Data nguồn'!J:J, 'Data nguồn'!D:D, $D86, 'Data nguồn'!F:F, $B$1, 'Data nguồn'!C:C, F$3)</f>
      </c>
      <c r="G86" s="3">
        <f>SUMIFS('Data nguồn'!J:J, 'Data nguồn'!D:D, $D86, 'Data nguồn'!F:F, $B$1, 'Data nguồn'!C:C, G$3)</f>
      </c>
      <c r="H86" s="3">
        <f>SUMIFS('Data nguồn'!J:J, 'Data nguồn'!D:D, $D86, 'Data nguồn'!F:F, $B$1, 'Data nguồn'!C:C, H$3)</f>
      </c>
      <c r="I86" s="3">
        <f>SUMIFS('Data nguồn'!J:J, 'Data nguồn'!D:D, $D86, 'Data nguồn'!F:F, $B$1, 'Data nguồn'!C:C, I$3)</f>
      </c>
      <c r="J86" s="3">
        <f>SUMIFS('Data nguồn'!J:J, 'Data nguồn'!D:D, $D86, 'Data nguồn'!F:F, $B$1, 'Data nguồn'!C:C, J$3)</f>
      </c>
      <c r="K86" s="3">
        <f>SUMIFS('Data nguồn'!J:J, 'Data nguồn'!D:D, $D86, 'Data nguồn'!F:F, $B$1, 'Data nguồn'!C:C, K$3)</f>
      </c>
      <c r="L86" s="3">
        <f>SUMIFS('Data nguồn'!J:J, 'Data nguồn'!D:D, $D86, 'Data nguồn'!F:F, $B$1, 'Data nguồn'!C:C, L$3)</f>
      </c>
      <c r="M86" s="3">
        <f>SUMIFS('Data nguồn'!J:J, 'Data nguồn'!D:D, $D86, 'Data nguồn'!F:F, $B$1, 'Data nguồn'!C:C, M$3)</f>
      </c>
      <c r="N86" s="3">
        <f>SUMIFS('Data nguồn'!J:J, 'Data nguồn'!D:D, $D86, 'Data nguồn'!F:F, $B$1, 'Data nguồn'!C:C, N$3)</f>
      </c>
      <c r="O86" s="3">
        <f>SUMIFS('Data nguồn'!J:J, 'Data nguồn'!D:D, $D86, 'Data nguồn'!F:F, $B$1, 'Data nguồn'!C:C, O$3)</f>
      </c>
      <c r="P86" s="3">
        <f>SUMIFS('Data nguồn'!J:J, 'Data nguồn'!D:D, $D86, 'Data nguồn'!F:F, $B$1, 'Data nguồn'!C:C, P$3)</f>
      </c>
      <c r="Q86" s="3">
        <f>SUMIFS('Data nguồn'!J:J, 'Data nguồn'!D:D, $D86, 'Data nguồn'!F:F, $B$1, 'Data nguồn'!C:C, Q$3)</f>
      </c>
      <c r="R86" s="3">
        <f>SUMIFS('Data nguồn'!J:J, 'Data nguồn'!D:D, $D86, 'Data nguồn'!F:F, $B$1, 'Data nguồn'!C:C, R$3)</f>
      </c>
      <c r="S86" s="3">
        <f>SUMIFS('Data nguồn'!J:J, 'Data nguồn'!D:D, $D86, 'Data nguồn'!F:F, $B$1, 'Data nguồn'!C:C, S$3)</f>
      </c>
      <c r="T86" s="3">
        <f>SUMIFS('Data nguồn'!J:J, 'Data nguồn'!D:D, $D86, 'Data nguồn'!F:F, $B$1, 'Data nguồn'!C:C, T$3)</f>
      </c>
      <c r="V86" s="3">
        <f>SUM(E86:P86)</f>
      </c>
      <c r="W86" s="3">
        <f>SUM(Q86:T86)</f>
      </c>
      <c r="X86" s="3">
        <f>AVERAGE(R86:T86)</f>
      </c>
      <c r="Y86" s="3">
        <f>AVERAGE(O86:T86)</f>
      </c>
      <c r="Z86" s="3">
        <f>AVERAGE(L86:T86)</f>
      </c>
      <c r="AA86" s="4">
        <f>IFERROR((X86*2)/(Y86+Z86), 0)</f>
      </c>
      <c r="AB86" s="4">
        <f>IFERROR(W86/SUM(E86:H86), 0)</f>
      </c>
      <c r="AC86" s="4">
        <f>IFERROR(W86/SUM(E86:H86), 0)</f>
      </c>
      <c r="AD86" s="4">
        <f>IFERROR(T86/H86, 0)</f>
      </c>
    </row>
    <row r="87" ht="20" customHeight="1" spans="1:30" x14ac:dyDescent="0.25">
      <c r="A87">
        <v>84</v>
      </c>
      <c r="B87" t="s">
        <v>246</v>
      </c>
      <c r="C87" t="s">
        <v>367</v>
      </c>
      <c r="D87" s="2" t="s">
        <v>246</v>
      </c>
      <c r="E87" s="3">
        <f>SUMIFS('Data nguồn'!J:J, 'Data nguồn'!D:D, $D87, 'Data nguồn'!F:F, $B$1, 'Data nguồn'!C:C, E$3)</f>
      </c>
      <c r="F87" s="3">
        <f>SUMIFS('Data nguồn'!J:J, 'Data nguồn'!D:D, $D87, 'Data nguồn'!F:F, $B$1, 'Data nguồn'!C:C, F$3)</f>
      </c>
      <c r="G87" s="3">
        <f>SUMIFS('Data nguồn'!J:J, 'Data nguồn'!D:D, $D87, 'Data nguồn'!F:F, $B$1, 'Data nguồn'!C:C, G$3)</f>
      </c>
      <c r="H87" s="3">
        <f>SUMIFS('Data nguồn'!J:J, 'Data nguồn'!D:D, $D87, 'Data nguồn'!F:F, $B$1, 'Data nguồn'!C:C, H$3)</f>
      </c>
      <c r="I87" s="3">
        <f>SUMIFS('Data nguồn'!J:J, 'Data nguồn'!D:D, $D87, 'Data nguồn'!F:F, $B$1, 'Data nguồn'!C:C, I$3)</f>
      </c>
      <c r="J87" s="3">
        <f>SUMIFS('Data nguồn'!J:J, 'Data nguồn'!D:D, $D87, 'Data nguồn'!F:F, $B$1, 'Data nguồn'!C:C, J$3)</f>
      </c>
      <c r="K87" s="3">
        <f>SUMIFS('Data nguồn'!J:J, 'Data nguồn'!D:D, $D87, 'Data nguồn'!F:F, $B$1, 'Data nguồn'!C:C, K$3)</f>
      </c>
      <c r="L87" s="3">
        <f>SUMIFS('Data nguồn'!J:J, 'Data nguồn'!D:D, $D87, 'Data nguồn'!F:F, $B$1, 'Data nguồn'!C:C, L$3)</f>
      </c>
      <c r="M87" s="3">
        <f>SUMIFS('Data nguồn'!J:J, 'Data nguồn'!D:D, $D87, 'Data nguồn'!F:F, $B$1, 'Data nguồn'!C:C, M$3)</f>
      </c>
      <c r="N87" s="3">
        <f>SUMIFS('Data nguồn'!J:J, 'Data nguồn'!D:D, $D87, 'Data nguồn'!F:F, $B$1, 'Data nguồn'!C:C, N$3)</f>
      </c>
      <c r="O87" s="3">
        <f>SUMIFS('Data nguồn'!J:J, 'Data nguồn'!D:D, $D87, 'Data nguồn'!F:F, $B$1, 'Data nguồn'!C:C, O$3)</f>
      </c>
      <c r="P87" s="3">
        <f>SUMIFS('Data nguồn'!J:J, 'Data nguồn'!D:D, $D87, 'Data nguồn'!F:F, $B$1, 'Data nguồn'!C:C, P$3)</f>
      </c>
      <c r="Q87" s="3">
        <f>SUMIFS('Data nguồn'!J:J, 'Data nguồn'!D:D, $D87, 'Data nguồn'!F:F, $B$1, 'Data nguồn'!C:C, Q$3)</f>
      </c>
      <c r="R87" s="3">
        <f>SUMIFS('Data nguồn'!J:J, 'Data nguồn'!D:D, $D87, 'Data nguồn'!F:F, $B$1, 'Data nguồn'!C:C, R$3)</f>
      </c>
      <c r="S87" s="3">
        <f>SUMIFS('Data nguồn'!J:J, 'Data nguồn'!D:D, $D87, 'Data nguồn'!F:F, $B$1, 'Data nguồn'!C:C, S$3)</f>
      </c>
      <c r="T87" s="3">
        <f>SUMIFS('Data nguồn'!J:J, 'Data nguồn'!D:D, $D87, 'Data nguồn'!F:F, $B$1, 'Data nguồn'!C:C, T$3)</f>
      </c>
      <c r="V87" s="3">
        <f>SUM(E87:P87)</f>
      </c>
      <c r="W87" s="3">
        <f>SUM(Q87:T87)</f>
      </c>
      <c r="X87" s="3">
        <f>AVERAGE(R87:T87)</f>
      </c>
      <c r="Y87" s="3">
        <f>AVERAGE(O87:T87)</f>
      </c>
      <c r="Z87" s="3">
        <f>AVERAGE(L87:T87)</f>
      </c>
      <c r="AA87" s="4">
        <f>IFERROR((X87*2)/(Y87+Z87), 0)</f>
      </c>
      <c r="AB87" s="4">
        <f>IFERROR(W87/SUM(E87:H87), 0)</f>
      </c>
      <c r="AC87" s="4">
        <f>IFERROR(W87/SUM(E87:H87), 0)</f>
      </c>
      <c r="AD87" s="4">
        <f>IFERROR(T87/H87, 0)</f>
      </c>
    </row>
    <row r="88" ht="20" customHeight="1" spans="1:30" x14ac:dyDescent="0.25">
      <c r="A88">
        <v>85</v>
      </c>
      <c r="B88" t="s">
        <v>247</v>
      </c>
      <c r="C88" t="s">
        <v>367</v>
      </c>
      <c r="D88" s="2" t="s">
        <v>247</v>
      </c>
      <c r="E88" s="3">
        <f>SUMIFS('Data nguồn'!J:J, 'Data nguồn'!D:D, $D88, 'Data nguồn'!F:F, $B$1, 'Data nguồn'!C:C, E$3)</f>
      </c>
      <c r="F88" s="3">
        <f>SUMIFS('Data nguồn'!J:J, 'Data nguồn'!D:D, $D88, 'Data nguồn'!F:F, $B$1, 'Data nguồn'!C:C, F$3)</f>
      </c>
      <c r="G88" s="3">
        <f>SUMIFS('Data nguồn'!J:J, 'Data nguồn'!D:D, $D88, 'Data nguồn'!F:F, $B$1, 'Data nguồn'!C:C, G$3)</f>
      </c>
      <c r="H88" s="3">
        <f>SUMIFS('Data nguồn'!J:J, 'Data nguồn'!D:D, $D88, 'Data nguồn'!F:F, $B$1, 'Data nguồn'!C:C, H$3)</f>
      </c>
      <c r="I88" s="3">
        <f>SUMIFS('Data nguồn'!J:J, 'Data nguồn'!D:D, $D88, 'Data nguồn'!F:F, $B$1, 'Data nguồn'!C:C, I$3)</f>
      </c>
      <c r="J88" s="3">
        <f>SUMIFS('Data nguồn'!J:J, 'Data nguồn'!D:D, $D88, 'Data nguồn'!F:F, $B$1, 'Data nguồn'!C:C, J$3)</f>
      </c>
      <c r="K88" s="3">
        <f>SUMIFS('Data nguồn'!J:J, 'Data nguồn'!D:D, $D88, 'Data nguồn'!F:F, $B$1, 'Data nguồn'!C:C, K$3)</f>
      </c>
      <c r="L88" s="3">
        <f>SUMIFS('Data nguồn'!J:J, 'Data nguồn'!D:D, $D88, 'Data nguồn'!F:F, $B$1, 'Data nguồn'!C:C, L$3)</f>
      </c>
      <c r="M88" s="3">
        <f>SUMIFS('Data nguồn'!J:J, 'Data nguồn'!D:D, $D88, 'Data nguồn'!F:F, $B$1, 'Data nguồn'!C:C, M$3)</f>
      </c>
      <c r="N88" s="3">
        <f>SUMIFS('Data nguồn'!J:J, 'Data nguồn'!D:D, $D88, 'Data nguồn'!F:F, $B$1, 'Data nguồn'!C:C, N$3)</f>
      </c>
      <c r="O88" s="3">
        <f>SUMIFS('Data nguồn'!J:J, 'Data nguồn'!D:D, $D88, 'Data nguồn'!F:F, $B$1, 'Data nguồn'!C:C, O$3)</f>
      </c>
      <c r="P88" s="3">
        <f>SUMIFS('Data nguồn'!J:J, 'Data nguồn'!D:D, $D88, 'Data nguồn'!F:F, $B$1, 'Data nguồn'!C:C, P$3)</f>
      </c>
      <c r="Q88" s="3">
        <f>SUMIFS('Data nguồn'!J:J, 'Data nguồn'!D:D, $D88, 'Data nguồn'!F:F, $B$1, 'Data nguồn'!C:C, Q$3)</f>
      </c>
      <c r="R88" s="3">
        <f>SUMIFS('Data nguồn'!J:J, 'Data nguồn'!D:D, $D88, 'Data nguồn'!F:F, $B$1, 'Data nguồn'!C:C, R$3)</f>
      </c>
      <c r="S88" s="3">
        <f>SUMIFS('Data nguồn'!J:J, 'Data nguồn'!D:D, $D88, 'Data nguồn'!F:F, $B$1, 'Data nguồn'!C:C, S$3)</f>
      </c>
      <c r="T88" s="3">
        <f>SUMIFS('Data nguồn'!J:J, 'Data nguồn'!D:D, $D88, 'Data nguồn'!F:F, $B$1, 'Data nguồn'!C:C, T$3)</f>
      </c>
      <c r="V88" s="3">
        <f>SUM(E88:P88)</f>
      </c>
      <c r="W88" s="3">
        <f>SUM(Q88:T88)</f>
      </c>
      <c r="X88" s="3">
        <f>AVERAGE(R88:T88)</f>
      </c>
      <c r="Y88" s="3">
        <f>AVERAGE(O88:T88)</f>
      </c>
      <c r="Z88" s="3">
        <f>AVERAGE(L88:T88)</f>
      </c>
      <c r="AA88" s="4">
        <f>IFERROR((X88*2)/(Y88+Z88), 0)</f>
      </c>
      <c r="AB88" s="4">
        <f>IFERROR(W88/SUM(E88:H88), 0)</f>
      </c>
      <c r="AC88" s="4">
        <f>IFERROR(W88/SUM(E88:H88), 0)</f>
      </c>
      <c r="AD88" s="4">
        <f>IFERROR(T88/H88, 0)</f>
      </c>
    </row>
    <row r="89" ht="20" customHeight="1" spans="1:30" x14ac:dyDescent="0.25">
      <c r="A89">
        <v>86</v>
      </c>
      <c r="B89" t="s">
        <v>249</v>
      </c>
      <c r="C89" t="s">
        <v>363</v>
      </c>
      <c r="D89" s="2" t="s">
        <v>249</v>
      </c>
      <c r="E89" s="3">
        <f>SUMIFS('Data nguồn'!J:J, 'Data nguồn'!D:D, $D89, 'Data nguồn'!F:F, $B$1, 'Data nguồn'!C:C, E$3)</f>
      </c>
      <c r="F89" s="3">
        <f>SUMIFS('Data nguồn'!J:J, 'Data nguồn'!D:D, $D89, 'Data nguồn'!F:F, $B$1, 'Data nguồn'!C:C, F$3)</f>
      </c>
      <c r="G89" s="3">
        <f>SUMIFS('Data nguồn'!J:J, 'Data nguồn'!D:D, $D89, 'Data nguồn'!F:F, $B$1, 'Data nguồn'!C:C, G$3)</f>
      </c>
      <c r="H89" s="3">
        <f>SUMIFS('Data nguồn'!J:J, 'Data nguồn'!D:D, $D89, 'Data nguồn'!F:F, $B$1, 'Data nguồn'!C:C, H$3)</f>
      </c>
      <c r="I89" s="3">
        <f>SUMIFS('Data nguồn'!J:J, 'Data nguồn'!D:D, $D89, 'Data nguồn'!F:F, $B$1, 'Data nguồn'!C:C, I$3)</f>
      </c>
      <c r="J89" s="3">
        <f>SUMIFS('Data nguồn'!J:J, 'Data nguồn'!D:D, $D89, 'Data nguồn'!F:F, $B$1, 'Data nguồn'!C:C, J$3)</f>
      </c>
      <c r="K89" s="3">
        <f>SUMIFS('Data nguồn'!J:J, 'Data nguồn'!D:D, $D89, 'Data nguồn'!F:F, $B$1, 'Data nguồn'!C:C, K$3)</f>
      </c>
      <c r="L89" s="3">
        <f>SUMIFS('Data nguồn'!J:J, 'Data nguồn'!D:D, $D89, 'Data nguồn'!F:F, $B$1, 'Data nguồn'!C:C, L$3)</f>
      </c>
      <c r="M89" s="3">
        <f>SUMIFS('Data nguồn'!J:J, 'Data nguồn'!D:D, $D89, 'Data nguồn'!F:F, $B$1, 'Data nguồn'!C:C, M$3)</f>
      </c>
      <c r="N89" s="3">
        <f>SUMIFS('Data nguồn'!J:J, 'Data nguồn'!D:D, $D89, 'Data nguồn'!F:F, $B$1, 'Data nguồn'!C:C, N$3)</f>
      </c>
      <c r="O89" s="3">
        <f>SUMIFS('Data nguồn'!J:J, 'Data nguồn'!D:D, $D89, 'Data nguồn'!F:F, $B$1, 'Data nguồn'!C:C, O$3)</f>
      </c>
      <c r="P89" s="3">
        <f>SUMIFS('Data nguồn'!J:J, 'Data nguồn'!D:D, $D89, 'Data nguồn'!F:F, $B$1, 'Data nguồn'!C:C, P$3)</f>
      </c>
      <c r="Q89" s="3">
        <f>SUMIFS('Data nguồn'!J:J, 'Data nguồn'!D:D, $D89, 'Data nguồn'!F:F, $B$1, 'Data nguồn'!C:C, Q$3)</f>
      </c>
      <c r="R89" s="3">
        <f>SUMIFS('Data nguồn'!J:J, 'Data nguồn'!D:D, $D89, 'Data nguồn'!F:F, $B$1, 'Data nguồn'!C:C, R$3)</f>
      </c>
      <c r="S89" s="3">
        <f>SUMIFS('Data nguồn'!J:J, 'Data nguồn'!D:D, $D89, 'Data nguồn'!F:F, $B$1, 'Data nguồn'!C:C, S$3)</f>
      </c>
      <c r="T89" s="3">
        <f>SUMIFS('Data nguồn'!J:J, 'Data nguồn'!D:D, $D89, 'Data nguồn'!F:F, $B$1, 'Data nguồn'!C:C, T$3)</f>
      </c>
      <c r="V89" s="3">
        <f>SUM(E89:P89)</f>
      </c>
      <c r="W89" s="3">
        <f>SUM(Q89:T89)</f>
      </c>
      <c r="X89" s="3">
        <f>AVERAGE(R89:T89)</f>
      </c>
      <c r="Y89" s="3">
        <f>AVERAGE(O89:T89)</f>
      </c>
      <c r="Z89" s="3">
        <f>AVERAGE(L89:T89)</f>
      </c>
      <c r="AA89" s="4">
        <f>IFERROR((X89*2)/(Y89+Z89), 0)</f>
      </c>
      <c r="AB89" s="4">
        <f>IFERROR(W89/SUM(E89:H89), 0)</f>
      </c>
      <c r="AC89" s="4">
        <f>IFERROR(W89/SUM(E89:H89), 0)</f>
      </c>
      <c r="AD89" s="4">
        <f>IFERROR(T89/H89, 0)</f>
      </c>
    </row>
    <row r="90" ht="20" customHeight="1" spans="1:30" x14ac:dyDescent="0.25">
      <c r="A90">
        <v>87</v>
      </c>
      <c r="B90" t="s">
        <v>250</v>
      </c>
      <c r="C90" t="s">
        <v>368</v>
      </c>
      <c r="D90" s="2" t="s">
        <v>250</v>
      </c>
      <c r="E90" s="3">
        <f>SUMIFS('Data nguồn'!J:J, 'Data nguồn'!D:D, $D90, 'Data nguồn'!F:F, $B$1, 'Data nguồn'!C:C, E$3)</f>
      </c>
      <c r="F90" s="3">
        <f>SUMIFS('Data nguồn'!J:J, 'Data nguồn'!D:D, $D90, 'Data nguồn'!F:F, $B$1, 'Data nguồn'!C:C, F$3)</f>
      </c>
      <c r="G90" s="3">
        <f>SUMIFS('Data nguồn'!J:J, 'Data nguồn'!D:D, $D90, 'Data nguồn'!F:F, $B$1, 'Data nguồn'!C:C, G$3)</f>
      </c>
      <c r="H90" s="3">
        <f>SUMIFS('Data nguồn'!J:J, 'Data nguồn'!D:D, $D90, 'Data nguồn'!F:F, $B$1, 'Data nguồn'!C:C, H$3)</f>
      </c>
      <c r="I90" s="3">
        <f>SUMIFS('Data nguồn'!J:J, 'Data nguồn'!D:D, $D90, 'Data nguồn'!F:F, $B$1, 'Data nguồn'!C:C, I$3)</f>
      </c>
      <c r="J90" s="3">
        <f>SUMIFS('Data nguồn'!J:J, 'Data nguồn'!D:D, $D90, 'Data nguồn'!F:F, $B$1, 'Data nguồn'!C:C, J$3)</f>
      </c>
      <c r="K90" s="3">
        <f>SUMIFS('Data nguồn'!J:J, 'Data nguồn'!D:D, $D90, 'Data nguồn'!F:F, $B$1, 'Data nguồn'!C:C, K$3)</f>
      </c>
      <c r="L90" s="3">
        <f>SUMIFS('Data nguồn'!J:J, 'Data nguồn'!D:D, $D90, 'Data nguồn'!F:F, $B$1, 'Data nguồn'!C:C, L$3)</f>
      </c>
      <c r="M90" s="3">
        <f>SUMIFS('Data nguồn'!J:J, 'Data nguồn'!D:D, $D90, 'Data nguồn'!F:F, $B$1, 'Data nguồn'!C:C, M$3)</f>
      </c>
      <c r="N90" s="3">
        <f>SUMIFS('Data nguồn'!J:J, 'Data nguồn'!D:D, $D90, 'Data nguồn'!F:F, $B$1, 'Data nguồn'!C:C, N$3)</f>
      </c>
      <c r="O90" s="3">
        <f>SUMIFS('Data nguồn'!J:J, 'Data nguồn'!D:D, $D90, 'Data nguồn'!F:F, $B$1, 'Data nguồn'!C:C, O$3)</f>
      </c>
      <c r="P90" s="3">
        <f>SUMIFS('Data nguồn'!J:J, 'Data nguồn'!D:D, $D90, 'Data nguồn'!F:F, $B$1, 'Data nguồn'!C:C, P$3)</f>
      </c>
      <c r="Q90" s="3">
        <f>SUMIFS('Data nguồn'!J:J, 'Data nguồn'!D:D, $D90, 'Data nguồn'!F:F, $B$1, 'Data nguồn'!C:C, Q$3)</f>
      </c>
      <c r="R90" s="3">
        <f>SUMIFS('Data nguồn'!J:J, 'Data nguồn'!D:D, $D90, 'Data nguồn'!F:F, $B$1, 'Data nguồn'!C:C, R$3)</f>
      </c>
      <c r="S90" s="3">
        <f>SUMIFS('Data nguồn'!J:J, 'Data nguồn'!D:D, $D90, 'Data nguồn'!F:F, $B$1, 'Data nguồn'!C:C, S$3)</f>
      </c>
      <c r="T90" s="3">
        <f>SUMIFS('Data nguồn'!J:J, 'Data nguồn'!D:D, $D90, 'Data nguồn'!F:F, $B$1, 'Data nguồn'!C:C, T$3)</f>
      </c>
      <c r="V90" s="3">
        <f>SUM(E90:P90)</f>
      </c>
      <c r="W90" s="3">
        <f>SUM(Q90:T90)</f>
      </c>
      <c r="X90" s="3">
        <f>AVERAGE(R90:T90)</f>
      </c>
      <c r="Y90" s="3">
        <f>AVERAGE(O90:T90)</f>
      </c>
      <c r="Z90" s="3">
        <f>AVERAGE(L90:T90)</f>
      </c>
      <c r="AA90" s="4">
        <f>IFERROR((X90*2)/(Y90+Z90), 0)</f>
      </c>
      <c r="AB90" s="4">
        <f>IFERROR(W90/SUM(E90:H90), 0)</f>
      </c>
      <c r="AC90" s="4">
        <f>IFERROR(W90/SUM(E90:H90), 0)</f>
      </c>
      <c r="AD90" s="4">
        <f>IFERROR(T90/H90, 0)</f>
      </c>
    </row>
    <row r="91" ht="20" customHeight="1" spans="1:30" x14ac:dyDescent="0.25">
      <c r="A91">
        <v>88</v>
      </c>
      <c r="B91" t="s">
        <v>251</v>
      </c>
      <c r="C91" t="s">
        <v>365</v>
      </c>
      <c r="D91" s="2" t="s">
        <v>251</v>
      </c>
      <c r="E91" s="3">
        <f>SUMIFS('Data nguồn'!J:J, 'Data nguồn'!D:D, $D91, 'Data nguồn'!F:F, $B$1, 'Data nguồn'!C:C, E$3)</f>
      </c>
      <c r="F91" s="3">
        <f>SUMIFS('Data nguồn'!J:J, 'Data nguồn'!D:D, $D91, 'Data nguồn'!F:F, $B$1, 'Data nguồn'!C:C, F$3)</f>
      </c>
      <c r="G91" s="3">
        <f>SUMIFS('Data nguồn'!J:J, 'Data nguồn'!D:D, $D91, 'Data nguồn'!F:F, $B$1, 'Data nguồn'!C:C, G$3)</f>
      </c>
      <c r="H91" s="3">
        <f>SUMIFS('Data nguồn'!J:J, 'Data nguồn'!D:D, $D91, 'Data nguồn'!F:F, $B$1, 'Data nguồn'!C:C, H$3)</f>
      </c>
      <c r="I91" s="3">
        <f>SUMIFS('Data nguồn'!J:J, 'Data nguồn'!D:D, $D91, 'Data nguồn'!F:F, $B$1, 'Data nguồn'!C:C, I$3)</f>
      </c>
      <c r="J91" s="3">
        <f>SUMIFS('Data nguồn'!J:J, 'Data nguồn'!D:D, $D91, 'Data nguồn'!F:F, $B$1, 'Data nguồn'!C:C, J$3)</f>
      </c>
      <c r="K91" s="3">
        <f>SUMIFS('Data nguồn'!J:J, 'Data nguồn'!D:D, $D91, 'Data nguồn'!F:F, $B$1, 'Data nguồn'!C:C, K$3)</f>
      </c>
      <c r="L91" s="3">
        <f>SUMIFS('Data nguồn'!J:J, 'Data nguồn'!D:D, $D91, 'Data nguồn'!F:F, $B$1, 'Data nguồn'!C:C, L$3)</f>
      </c>
      <c r="M91" s="3">
        <f>SUMIFS('Data nguồn'!J:J, 'Data nguồn'!D:D, $D91, 'Data nguồn'!F:F, $B$1, 'Data nguồn'!C:C, M$3)</f>
      </c>
      <c r="N91" s="3">
        <f>SUMIFS('Data nguồn'!J:J, 'Data nguồn'!D:D, $D91, 'Data nguồn'!F:F, $B$1, 'Data nguồn'!C:C, N$3)</f>
      </c>
      <c r="O91" s="3">
        <f>SUMIFS('Data nguồn'!J:J, 'Data nguồn'!D:D, $D91, 'Data nguồn'!F:F, $B$1, 'Data nguồn'!C:C, O$3)</f>
      </c>
      <c r="P91" s="3">
        <f>SUMIFS('Data nguồn'!J:J, 'Data nguồn'!D:D, $D91, 'Data nguồn'!F:F, $B$1, 'Data nguồn'!C:C, P$3)</f>
      </c>
      <c r="Q91" s="3">
        <f>SUMIFS('Data nguồn'!J:J, 'Data nguồn'!D:D, $D91, 'Data nguồn'!F:F, $B$1, 'Data nguồn'!C:C, Q$3)</f>
      </c>
      <c r="R91" s="3">
        <f>SUMIFS('Data nguồn'!J:J, 'Data nguồn'!D:D, $D91, 'Data nguồn'!F:F, $B$1, 'Data nguồn'!C:C, R$3)</f>
      </c>
      <c r="S91" s="3">
        <f>SUMIFS('Data nguồn'!J:J, 'Data nguồn'!D:D, $D91, 'Data nguồn'!F:F, $B$1, 'Data nguồn'!C:C, S$3)</f>
      </c>
      <c r="T91" s="3">
        <f>SUMIFS('Data nguồn'!J:J, 'Data nguồn'!D:D, $D91, 'Data nguồn'!F:F, $B$1, 'Data nguồn'!C:C, T$3)</f>
      </c>
      <c r="V91" s="3">
        <f>SUM(E91:P91)</f>
      </c>
      <c r="W91" s="3">
        <f>SUM(Q91:T91)</f>
      </c>
      <c r="X91" s="3">
        <f>AVERAGE(R91:T91)</f>
      </c>
      <c r="Y91" s="3">
        <f>AVERAGE(O91:T91)</f>
      </c>
      <c r="Z91" s="3">
        <f>AVERAGE(L91:T91)</f>
      </c>
      <c r="AA91" s="4">
        <f>IFERROR((X91*2)/(Y91+Z91), 0)</f>
      </c>
      <c r="AB91" s="4">
        <f>IFERROR(W91/SUM(E91:H91), 0)</f>
      </c>
      <c r="AC91" s="4">
        <f>IFERROR(W91/SUM(E91:H91), 0)</f>
      </c>
      <c r="AD91" s="4">
        <f>IFERROR(T91/H91, 0)</f>
      </c>
    </row>
    <row r="92" ht="20" customHeight="1" spans="1:30" x14ac:dyDescent="0.25">
      <c r="A92">
        <v>89</v>
      </c>
      <c r="B92" t="s">
        <v>252</v>
      </c>
      <c r="C92" t="s">
        <v>366</v>
      </c>
      <c r="D92" s="2" t="s">
        <v>252</v>
      </c>
      <c r="E92" s="3">
        <f>SUMIFS('Data nguồn'!J:J, 'Data nguồn'!D:D, $D92, 'Data nguồn'!F:F, $B$1, 'Data nguồn'!C:C, E$3)</f>
      </c>
      <c r="F92" s="3">
        <f>SUMIFS('Data nguồn'!J:J, 'Data nguồn'!D:D, $D92, 'Data nguồn'!F:F, $B$1, 'Data nguồn'!C:C, F$3)</f>
      </c>
      <c r="G92" s="3">
        <f>SUMIFS('Data nguồn'!J:J, 'Data nguồn'!D:D, $D92, 'Data nguồn'!F:F, $B$1, 'Data nguồn'!C:C, G$3)</f>
      </c>
      <c r="H92" s="3">
        <f>SUMIFS('Data nguồn'!J:J, 'Data nguồn'!D:D, $D92, 'Data nguồn'!F:F, $B$1, 'Data nguồn'!C:C, H$3)</f>
      </c>
      <c r="I92" s="3">
        <f>SUMIFS('Data nguồn'!J:J, 'Data nguồn'!D:D, $D92, 'Data nguồn'!F:F, $B$1, 'Data nguồn'!C:C, I$3)</f>
      </c>
      <c r="J92" s="3">
        <f>SUMIFS('Data nguồn'!J:J, 'Data nguồn'!D:D, $D92, 'Data nguồn'!F:F, $B$1, 'Data nguồn'!C:C, J$3)</f>
      </c>
      <c r="K92" s="3">
        <f>SUMIFS('Data nguồn'!J:J, 'Data nguồn'!D:D, $D92, 'Data nguồn'!F:F, $B$1, 'Data nguồn'!C:C, K$3)</f>
      </c>
      <c r="L92" s="3">
        <f>SUMIFS('Data nguồn'!J:J, 'Data nguồn'!D:D, $D92, 'Data nguồn'!F:F, $B$1, 'Data nguồn'!C:C, L$3)</f>
      </c>
      <c r="M92" s="3">
        <f>SUMIFS('Data nguồn'!J:J, 'Data nguồn'!D:D, $D92, 'Data nguồn'!F:F, $B$1, 'Data nguồn'!C:C, M$3)</f>
      </c>
      <c r="N92" s="3">
        <f>SUMIFS('Data nguồn'!J:J, 'Data nguồn'!D:D, $D92, 'Data nguồn'!F:F, $B$1, 'Data nguồn'!C:C, N$3)</f>
      </c>
      <c r="O92" s="3">
        <f>SUMIFS('Data nguồn'!J:J, 'Data nguồn'!D:D, $D92, 'Data nguồn'!F:F, $B$1, 'Data nguồn'!C:C, O$3)</f>
      </c>
      <c r="P92" s="3">
        <f>SUMIFS('Data nguồn'!J:J, 'Data nguồn'!D:D, $D92, 'Data nguồn'!F:F, $B$1, 'Data nguồn'!C:C, P$3)</f>
      </c>
      <c r="Q92" s="3">
        <f>SUMIFS('Data nguồn'!J:J, 'Data nguồn'!D:D, $D92, 'Data nguồn'!F:F, $B$1, 'Data nguồn'!C:C, Q$3)</f>
      </c>
      <c r="R92" s="3">
        <f>SUMIFS('Data nguồn'!J:J, 'Data nguồn'!D:D, $D92, 'Data nguồn'!F:F, $B$1, 'Data nguồn'!C:C, R$3)</f>
      </c>
      <c r="S92" s="3">
        <f>SUMIFS('Data nguồn'!J:J, 'Data nguồn'!D:D, $D92, 'Data nguồn'!F:F, $B$1, 'Data nguồn'!C:C, S$3)</f>
      </c>
      <c r="T92" s="3">
        <f>SUMIFS('Data nguồn'!J:J, 'Data nguồn'!D:D, $D92, 'Data nguồn'!F:F, $B$1, 'Data nguồn'!C:C, T$3)</f>
      </c>
      <c r="V92" s="3">
        <f>SUM(E92:P92)</f>
      </c>
      <c r="W92" s="3">
        <f>SUM(Q92:T92)</f>
      </c>
      <c r="X92" s="3">
        <f>AVERAGE(R92:T92)</f>
      </c>
      <c r="Y92" s="3">
        <f>AVERAGE(O92:T92)</f>
      </c>
      <c r="Z92" s="3">
        <f>AVERAGE(L92:T92)</f>
      </c>
      <c r="AA92" s="4">
        <f>IFERROR((X92*2)/(Y92+Z92), 0)</f>
      </c>
      <c r="AB92" s="4">
        <f>IFERROR(W92/SUM(E92:H92), 0)</f>
      </c>
      <c r="AC92" s="4">
        <f>IFERROR(W92/SUM(E92:H92), 0)</f>
      </c>
      <c r="AD92" s="4">
        <f>IFERROR(T92/H92, 0)</f>
      </c>
    </row>
    <row r="93" ht="20" customHeight="1" spans="1:30" x14ac:dyDescent="0.25">
      <c r="A93">
        <v>90</v>
      </c>
      <c r="B93" t="s">
        <v>253</v>
      </c>
      <c r="C93" t="s">
        <v>370</v>
      </c>
      <c r="D93" s="2" t="s">
        <v>253</v>
      </c>
      <c r="E93" s="3">
        <f>SUMIFS('Data nguồn'!J:J, 'Data nguồn'!D:D, $D93, 'Data nguồn'!F:F, $B$1, 'Data nguồn'!C:C, E$3)</f>
      </c>
      <c r="F93" s="3">
        <f>SUMIFS('Data nguồn'!J:J, 'Data nguồn'!D:D, $D93, 'Data nguồn'!F:F, $B$1, 'Data nguồn'!C:C, F$3)</f>
      </c>
      <c r="G93" s="3">
        <f>SUMIFS('Data nguồn'!J:J, 'Data nguồn'!D:D, $D93, 'Data nguồn'!F:F, $B$1, 'Data nguồn'!C:C, G$3)</f>
      </c>
      <c r="H93" s="3">
        <f>SUMIFS('Data nguồn'!J:J, 'Data nguồn'!D:D, $D93, 'Data nguồn'!F:F, $B$1, 'Data nguồn'!C:C, H$3)</f>
      </c>
      <c r="I93" s="3">
        <f>SUMIFS('Data nguồn'!J:J, 'Data nguồn'!D:D, $D93, 'Data nguồn'!F:F, $B$1, 'Data nguồn'!C:C, I$3)</f>
      </c>
      <c r="J93" s="3">
        <f>SUMIFS('Data nguồn'!J:J, 'Data nguồn'!D:D, $D93, 'Data nguồn'!F:F, $B$1, 'Data nguồn'!C:C, J$3)</f>
      </c>
      <c r="K93" s="3">
        <f>SUMIFS('Data nguồn'!J:J, 'Data nguồn'!D:D, $D93, 'Data nguồn'!F:F, $B$1, 'Data nguồn'!C:C, K$3)</f>
      </c>
      <c r="L93" s="3">
        <f>SUMIFS('Data nguồn'!J:J, 'Data nguồn'!D:D, $D93, 'Data nguồn'!F:F, $B$1, 'Data nguồn'!C:C, L$3)</f>
      </c>
      <c r="M93" s="3">
        <f>SUMIFS('Data nguồn'!J:J, 'Data nguồn'!D:D, $D93, 'Data nguồn'!F:F, $B$1, 'Data nguồn'!C:C, M$3)</f>
      </c>
      <c r="N93" s="3">
        <f>SUMIFS('Data nguồn'!J:J, 'Data nguồn'!D:D, $D93, 'Data nguồn'!F:F, $B$1, 'Data nguồn'!C:C, N$3)</f>
      </c>
      <c r="O93" s="3">
        <f>SUMIFS('Data nguồn'!J:J, 'Data nguồn'!D:D, $D93, 'Data nguồn'!F:F, $B$1, 'Data nguồn'!C:C, O$3)</f>
      </c>
      <c r="P93" s="3">
        <f>SUMIFS('Data nguồn'!J:J, 'Data nguồn'!D:D, $D93, 'Data nguồn'!F:F, $B$1, 'Data nguồn'!C:C, P$3)</f>
      </c>
      <c r="Q93" s="3">
        <f>SUMIFS('Data nguồn'!J:J, 'Data nguồn'!D:D, $D93, 'Data nguồn'!F:F, $B$1, 'Data nguồn'!C:C, Q$3)</f>
      </c>
      <c r="R93" s="3">
        <f>SUMIFS('Data nguồn'!J:J, 'Data nguồn'!D:D, $D93, 'Data nguồn'!F:F, $B$1, 'Data nguồn'!C:C, R$3)</f>
      </c>
      <c r="S93" s="3">
        <f>SUMIFS('Data nguồn'!J:J, 'Data nguồn'!D:D, $D93, 'Data nguồn'!F:F, $B$1, 'Data nguồn'!C:C, S$3)</f>
      </c>
      <c r="T93" s="3">
        <f>SUMIFS('Data nguồn'!J:J, 'Data nguồn'!D:D, $D93, 'Data nguồn'!F:F, $B$1, 'Data nguồn'!C:C, T$3)</f>
      </c>
      <c r="V93" s="3">
        <f>SUM(E93:P93)</f>
      </c>
      <c r="W93" s="3">
        <f>SUM(Q93:T93)</f>
      </c>
      <c r="X93" s="3">
        <f>AVERAGE(R93:T93)</f>
      </c>
      <c r="Y93" s="3">
        <f>AVERAGE(O93:T93)</f>
      </c>
      <c r="Z93" s="3">
        <f>AVERAGE(L93:T93)</f>
      </c>
      <c r="AA93" s="4">
        <f>IFERROR((X93*2)/(Y93+Z93), 0)</f>
      </c>
      <c r="AB93" s="4">
        <f>IFERROR(W93/SUM(E93:H93), 0)</f>
      </c>
      <c r="AC93" s="4">
        <f>IFERROR(W93/SUM(E93:H93), 0)</f>
      </c>
      <c r="AD93" s="4">
        <f>IFERROR(T93/H93, 0)</f>
      </c>
    </row>
    <row r="94" ht="20" customHeight="1" spans="1:30" x14ac:dyDescent="0.25">
      <c r="A94">
        <v>91</v>
      </c>
      <c r="B94" t="s">
        <v>254</v>
      </c>
      <c r="C94" t="s">
        <v>367</v>
      </c>
      <c r="D94" s="2" t="s">
        <v>254</v>
      </c>
      <c r="E94" s="3">
        <f>SUMIFS('Data nguồn'!J:J, 'Data nguồn'!D:D, $D94, 'Data nguồn'!F:F, $B$1, 'Data nguồn'!C:C, E$3)</f>
      </c>
      <c r="F94" s="3">
        <f>SUMIFS('Data nguồn'!J:J, 'Data nguồn'!D:D, $D94, 'Data nguồn'!F:F, $B$1, 'Data nguồn'!C:C, F$3)</f>
      </c>
      <c r="G94" s="3">
        <f>SUMIFS('Data nguồn'!J:J, 'Data nguồn'!D:D, $D94, 'Data nguồn'!F:F, $B$1, 'Data nguồn'!C:C, G$3)</f>
      </c>
      <c r="H94" s="3">
        <f>SUMIFS('Data nguồn'!J:J, 'Data nguồn'!D:D, $D94, 'Data nguồn'!F:F, $B$1, 'Data nguồn'!C:C, H$3)</f>
      </c>
      <c r="I94" s="3">
        <f>SUMIFS('Data nguồn'!J:J, 'Data nguồn'!D:D, $D94, 'Data nguồn'!F:F, $B$1, 'Data nguồn'!C:C, I$3)</f>
      </c>
      <c r="J94" s="3">
        <f>SUMIFS('Data nguồn'!J:J, 'Data nguồn'!D:D, $D94, 'Data nguồn'!F:F, $B$1, 'Data nguồn'!C:C, J$3)</f>
      </c>
      <c r="K94" s="3">
        <f>SUMIFS('Data nguồn'!J:J, 'Data nguồn'!D:D, $D94, 'Data nguồn'!F:F, $B$1, 'Data nguồn'!C:C, K$3)</f>
      </c>
      <c r="L94" s="3">
        <f>SUMIFS('Data nguồn'!J:J, 'Data nguồn'!D:D, $D94, 'Data nguồn'!F:F, $B$1, 'Data nguồn'!C:C, L$3)</f>
      </c>
      <c r="M94" s="3">
        <f>SUMIFS('Data nguồn'!J:J, 'Data nguồn'!D:D, $D94, 'Data nguồn'!F:F, $B$1, 'Data nguồn'!C:C, M$3)</f>
      </c>
      <c r="N94" s="3">
        <f>SUMIFS('Data nguồn'!J:J, 'Data nguồn'!D:D, $D94, 'Data nguồn'!F:F, $B$1, 'Data nguồn'!C:C, N$3)</f>
      </c>
      <c r="O94" s="3">
        <f>SUMIFS('Data nguồn'!J:J, 'Data nguồn'!D:D, $D94, 'Data nguồn'!F:F, $B$1, 'Data nguồn'!C:C, O$3)</f>
      </c>
      <c r="P94" s="3">
        <f>SUMIFS('Data nguồn'!J:J, 'Data nguồn'!D:D, $D94, 'Data nguồn'!F:F, $B$1, 'Data nguồn'!C:C, P$3)</f>
      </c>
      <c r="Q94" s="3">
        <f>SUMIFS('Data nguồn'!J:J, 'Data nguồn'!D:D, $D94, 'Data nguồn'!F:F, $B$1, 'Data nguồn'!C:C, Q$3)</f>
      </c>
      <c r="R94" s="3">
        <f>SUMIFS('Data nguồn'!J:J, 'Data nguồn'!D:D, $D94, 'Data nguồn'!F:F, $B$1, 'Data nguồn'!C:C, R$3)</f>
      </c>
      <c r="S94" s="3">
        <f>SUMIFS('Data nguồn'!J:J, 'Data nguồn'!D:D, $D94, 'Data nguồn'!F:F, $B$1, 'Data nguồn'!C:C, S$3)</f>
      </c>
      <c r="T94" s="3">
        <f>SUMIFS('Data nguồn'!J:J, 'Data nguồn'!D:D, $D94, 'Data nguồn'!F:F, $B$1, 'Data nguồn'!C:C, T$3)</f>
      </c>
      <c r="V94" s="3">
        <f>SUM(E94:P94)</f>
      </c>
      <c r="W94" s="3">
        <f>SUM(Q94:T94)</f>
      </c>
      <c r="X94" s="3">
        <f>AVERAGE(R94:T94)</f>
      </c>
      <c r="Y94" s="3">
        <f>AVERAGE(O94:T94)</f>
      </c>
      <c r="Z94" s="3">
        <f>AVERAGE(L94:T94)</f>
      </c>
      <c r="AA94" s="4">
        <f>IFERROR((X94*2)/(Y94+Z94), 0)</f>
      </c>
      <c r="AB94" s="4">
        <f>IFERROR(W94/SUM(E94:H94), 0)</f>
      </c>
      <c r="AC94" s="4">
        <f>IFERROR(W94/SUM(E94:H94), 0)</f>
      </c>
      <c r="AD94" s="4">
        <f>IFERROR(T94/H94, 0)</f>
      </c>
    </row>
    <row r="95" ht="20" customHeight="1" spans="1:30" x14ac:dyDescent="0.25">
      <c r="A95">
        <v>92</v>
      </c>
      <c r="B95" t="s">
        <v>257</v>
      </c>
      <c r="C95" t="s">
        <v>367</v>
      </c>
      <c r="D95" s="2" t="s">
        <v>257</v>
      </c>
      <c r="E95" s="3">
        <f>SUMIFS('Data nguồn'!J:J, 'Data nguồn'!D:D, $D95, 'Data nguồn'!F:F, $B$1, 'Data nguồn'!C:C, E$3)</f>
      </c>
      <c r="F95" s="3">
        <f>SUMIFS('Data nguồn'!J:J, 'Data nguồn'!D:D, $D95, 'Data nguồn'!F:F, $B$1, 'Data nguồn'!C:C, F$3)</f>
      </c>
      <c r="G95" s="3">
        <f>SUMIFS('Data nguồn'!J:J, 'Data nguồn'!D:D, $D95, 'Data nguồn'!F:F, $B$1, 'Data nguồn'!C:C, G$3)</f>
      </c>
      <c r="H95" s="3">
        <f>SUMIFS('Data nguồn'!J:J, 'Data nguồn'!D:D, $D95, 'Data nguồn'!F:F, $B$1, 'Data nguồn'!C:C, H$3)</f>
      </c>
      <c r="I95" s="3">
        <f>SUMIFS('Data nguồn'!J:J, 'Data nguồn'!D:D, $D95, 'Data nguồn'!F:F, $B$1, 'Data nguồn'!C:C, I$3)</f>
      </c>
      <c r="J95" s="3">
        <f>SUMIFS('Data nguồn'!J:J, 'Data nguồn'!D:D, $D95, 'Data nguồn'!F:F, $B$1, 'Data nguồn'!C:C, J$3)</f>
      </c>
      <c r="K95" s="3">
        <f>SUMIFS('Data nguồn'!J:J, 'Data nguồn'!D:D, $D95, 'Data nguồn'!F:F, $B$1, 'Data nguồn'!C:C, K$3)</f>
      </c>
      <c r="L95" s="3">
        <f>SUMIFS('Data nguồn'!J:J, 'Data nguồn'!D:D, $D95, 'Data nguồn'!F:F, $B$1, 'Data nguồn'!C:C, L$3)</f>
      </c>
      <c r="M95" s="3">
        <f>SUMIFS('Data nguồn'!J:J, 'Data nguồn'!D:D, $D95, 'Data nguồn'!F:F, $B$1, 'Data nguồn'!C:C, M$3)</f>
      </c>
      <c r="N95" s="3">
        <f>SUMIFS('Data nguồn'!J:J, 'Data nguồn'!D:D, $D95, 'Data nguồn'!F:F, $B$1, 'Data nguồn'!C:C, N$3)</f>
      </c>
      <c r="O95" s="3">
        <f>SUMIFS('Data nguồn'!J:J, 'Data nguồn'!D:D, $D95, 'Data nguồn'!F:F, $B$1, 'Data nguồn'!C:C, O$3)</f>
      </c>
      <c r="P95" s="3">
        <f>SUMIFS('Data nguồn'!J:J, 'Data nguồn'!D:D, $D95, 'Data nguồn'!F:F, $B$1, 'Data nguồn'!C:C, P$3)</f>
      </c>
      <c r="Q95" s="3">
        <f>SUMIFS('Data nguồn'!J:J, 'Data nguồn'!D:D, $D95, 'Data nguồn'!F:F, $B$1, 'Data nguồn'!C:C, Q$3)</f>
      </c>
      <c r="R95" s="3">
        <f>SUMIFS('Data nguồn'!J:J, 'Data nguồn'!D:D, $D95, 'Data nguồn'!F:F, $B$1, 'Data nguồn'!C:C, R$3)</f>
      </c>
      <c r="S95" s="3">
        <f>SUMIFS('Data nguồn'!J:J, 'Data nguồn'!D:D, $D95, 'Data nguồn'!F:F, $B$1, 'Data nguồn'!C:C, S$3)</f>
      </c>
      <c r="T95" s="3">
        <f>SUMIFS('Data nguồn'!J:J, 'Data nguồn'!D:D, $D95, 'Data nguồn'!F:F, $B$1, 'Data nguồn'!C:C, T$3)</f>
      </c>
      <c r="V95" s="3">
        <f>SUM(E95:P95)</f>
      </c>
      <c r="W95" s="3">
        <f>SUM(Q95:T95)</f>
      </c>
      <c r="X95" s="3">
        <f>AVERAGE(R95:T95)</f>
      </c>
      <c r="Y95" s="3">
        <f>AVERAGE(O95:T95)</f>
      </c>
      <c r="Z95" s="3">
        <f>AVERAGE(L95:T95)</f>
      </c>
      <c r="AA95" s="4">
        <f>IFERROR((X95*2)/(Y95+Z95), 0)</f>
      </c>
      <c r="AB95" s="4">
        <f>IFERROR(W95/SUM(E95:H95), 0)</f>
      </c>
      <c r="AC95" s="4">
        <f>IFERROR(W95/SUM(E95:H95), 0)</f>
      </c>
      <c r="AD95" s="4">
        <f>IFERROR(T95/H95, 0)</f>
      </c>
    </row>
    <row r="96" ht="20" customHeight="1" spans="1:30" x14ac:dyDescent="0.25">
      <c r="A96">
        <v>93</v>
      </c>
      <c r="B96" t="s">
        <v>258</v>
      </c>
      <c r="C96" t="s">
        <v>364</v>
      </c>
      <c r="D96" s="2" t="s">
        <v>258</v>
      </c>
      <c r="E96" s="3">
        <f>SUMIFS('Data nguồn'!J:J, 'Data nguồn'!D:D, $D96, 'Data nguồn'!F:F, $B$1, 'Data nguồn'!C:C, E$3)</f>
      </c>
      <c r="F96" s="3">
        <f>SUMIFS('Data nguồn'!J:J, 'Data nguồn'!D:D, $D96, 'Data nguồn'!F:F, $B$1, 'Data nguồn'!C:C, F$3)</f>
      </c>
      <c r="G96" s="3">
        <f>SUMIFS('Data nguồn'!J:J, 'Data nguồn'!D:D, $D96, 'Data nguồn'!F:F, $B$1, 'Data nguồn'!C:C, G$3)</f>
      </c>
      <c r="H96" s="3">
        <f>SUMIFS('Data nguồn'!J:J, 'Data nguồn'!D:D, $D96, 'Data nguồn'!F:F, $B$1, 'Data nguồn'!C:C, H$3)</f>
      </c>
      <c r="I96" s="3">
        <f>SUMIFS('Data nguồn'!J:J, 'Data nguồn'!D:D, $D96, 'Data nguồn'!F:F, $B$1, 'Data nguồn'!C:C, I$3)</f>
      </c>
      <c r="J96" s="3">
        <f>SUMIFS('Data nguồn'!J:J, 'Data nguồn'!D:D, $D96, 'Data nguồn'!F:F, $B$1, 'Data nguồn'!C:C, J$3)</f>
      </c>
      <c r="K96" s="3">
        <f>SUMIFS('Data nguồn'!J:J, 'Data nguồn'!D:D, $D96, 'Data nguồn'!F:F, $B$1, 'Data nguồn'!C:C, K$3)</f>
      </c>
      <c r="L96" s="3">
        <f>SUMIFS('Data nguồn'!J:J, 'Data nguồn'!D:D, $D96, 'Data nguồn'!F:F, $B$1, 'Data nguồn'!C:C, L$3)</f>
      </c>
      <c r="M96" s="3">
        <f>SUMIFS('Data nguồn'!J:J, 'Data nguồn'!D:D, $D96, 'Data nguồn'!F:F, $B$1, 'Data nguồn'!C:C, M$3)</f>
      </c>
      <c r="N96" s="3">
        <f>SUMIFS('Data nguồn'!J:J, 'Data nguồn'!D:D, $D96, 'Data nguồn'!F:F, $B$1, 'Data nguồn'!C:C, N$3)</f>
      </c>
      <c r="O96" s="3">
        <f>SUMIFS('Data nguồn'!J:J, 'Data nguồn'!D:D, $D96, 'Data nguồn'!F:F, $B$1, 'Data nguồn'!C:C, O$3)</f>
      </c>
      <c r="P96" s="3">
        <f>SUMIFS('Data nguồn'!J:J, 'Data nguồn'!D:D, $D96, 'Data nguồn'!F:F, $B$1, 'Data nguồn'!C:C, P$3)</f>
      </c>
      <c r="Q96" s="3">
        <f>SUMIFS('Data nguồn'!J:J, 'Data nguồn'!D:D, $D96, 'Data nguồn'!F:F, $B$1, 'Data nguồn'!C:C, Q$3)</f>
      </c>
      <c r="R96" s="3">
        <f>SUMIFS('Data nguồn'!J:J, 'Data nguồn'!D:D, $D96, 'Data nguồn'!F:F, $B$1, 'Data nguồn'!C:C, R$3)</f>
      </c>
      <c r="S96" s="3">
        <f>SUMIFS('Data nguồn'!J:J, 'Data nguồn'!D:D, $D96, 'Data nguồn'!F:F, $B$1, 'Data nguồn'!C:C, S$3)</f>
      </c>
      <c r="T96" s="3">
        <f>SUMIFS('Data nguồn'!J:J, 'Data nguồn'!D:D, $D96, 'Data nguồn'!F:F, $B$1, 'Data nguồn'!C:C, T$3)</f>
      </c>
      <c r="V96" s="3">
        <f>SUM(E96:P96)</f>
      </c>
      <c r="W96" s="3">
        <f>SUM(Q96:T96)</f>
      </c>
      <c r="X96" s="3">
        <f>AVERAGE(R96:T96)</f>
      </c>
      <c r="Y96" s="3">
        <f>AVERAGE(O96:T96)</f>
      </c>
      <c r="Z96" s="3">
        <f>AVERAGE(L96:T96)</f>
      </c>
      <c r="AA96" s="4">
        <f>IFERROR((X96*2)/(Y96+Z96), 0)</f>
      </c>
      <c r="AB96" s="4">
        <f>IFERROR(W96/SUM(E96:H96), 0)</f>
      </c>
      <c r="AC96" s="4">
        <f>IFERROR(W96/SUM(E96:H96), 0)</f>
      </c>
      <c r="AD96" s="4">
        <f>IFERROR(T96/H96, 0)</f>
      </c>
    </row>
    <row r="97" ht="20" customHeight="1" spans="1:30" x14ac:dyDescent="0.25">
      <c r="A97">
        <v>94</v>
      </c>
      <c r="B97" t="s">
        <v>260</v>
      </c>
      <c r="C97" t="s">
        <v>364</v>
      </c>
      <c r="D97" s="2" t="s">
        <v>260</v>
      </c>
      <c r="E97" s="3">
        <f>SUMIFS('Data nguồn'!J:J, 'Data nguồn'!D:D, $D97, 'Data nguồn'!F:F, $B$1, 'Data nguồn'!C:C, E$3)</f>
      </c>
      <c r="F97" s="3">
        <f>SUMIFS('Data nguồn'!J:J, 'Data nguồn'!D:D, $D97, 'Data nguồn'!F:F, $B$1, 'Data nguồn'!C:C, F$3)</f>
      </c>
      <c r="G97" s="3">
        <f>SUMIFS('Data nguồn'!J:J, 'Data nguồn'!D:D, $D97, 'Data nguồn'!F:F, $B$1, 'Data nguồn'!C:C, G$3)</f>
      </c>
      <c r="H97" s="3">
        <f>SUMIFS('Data nguồn'!J:J, 'Data nguồn'!D:D, $D97, 'Data nguồn'!F:F, $B$1, 'Data nguồn'!C:C, H$3)</f>
      </c>
      <c r="I97" s="3">
        <f>SUMIFS('Data nguồn'!J:J, 'Data nguồn'!D:D, $D97, 'Data nguồn'!F:F, $B$1, 'Data nguồn'!C:C, I$3)</f>
      </c>
      <c r="J97" s="3">
        <f>SUMIFS('Data nguồn'!J:J, 'Data nguồn'!D:D, $D97, 'Data nguồn'!F:F, $B$1, 'Data nguồn'!C:C, J$3)</f>
      </c>
      <c r="K97" s="3">
        <f>SUMIFS('Data nguồn'!J:J, 'Data nguồn'!D:D, $D97, 'Data nguồn'!F:F, $B$1, 'Data nguồn'!C:C, K$3)</f>
      </c>
      <c r="L97" s="3">
        <f>SUMIFS('Data nguồn'!J:J, 'Data nguồn'!D:D, $D97, 'Data nguồn'!F:F, $B$1, 'Data nguồn'!C:C, L$3)</f>
      </c>
      <c r="M97" s="3">
        <f>SUMIFS('Data nguồn'!J:J, 'Data nguồn'!D:D, $D97, 'Data nguồn'!F:F, $B$1, 'Data nguồn'!C:C, M$3)</f>
      </c>
      <c r="N97" s="3">
        <f>SUMIFS('Data nguồn'!J:J, 'Data nguồn'!D:D, $D97, 'Data nguồn'!F:F, $B$1, 'Data nguồn'!C:C, N$3)</f>
      </c>
      <c r="O97" s="3">
        <f>SUMIFS('Data nguồn'!J:J, 'Data nguồn'!D:D, $D97, 'Data nguồn'!F:F, $B$1, 'Data nguồn'!C:C, O$3)</f>
      </c>
      <c r="P97" s="3">
        <f>SUMIFS('Data nguồn'!J:J, 'Data nguồn'!D:D, $D97, 'Data nguồn'!F:F, $B$1, 'Data nguồn'!C:C, P$3)</f>
      </c>
      <c r="Q97" s="3">
        <f>SUMIFS('Data nguồn'!J:J, 'Data nguồn'!D:D, $D97, 'Data nguồn'!F:F, $B$1, 'Data nguồn'!C:C, Q$3)</f>
      </c>
      <c r="R97" s="3">
        <f>SUMIFS('Data nguồn'!J:J, 'Data nguồn'!D:D, $D97, 'Data nguồn'!F:F, $B$1, 'Data nguồn'!C:C, R$3)</f>
      </c>
      <c r="S97" s="3">
        <f>SUMIFS('Data nguồn'!J:J, 'Data nguồn'!D:D, $D97, 'Data nguồn'!F:F, $B$1, 'Data nguồn'!C:C, S$3)</f>
      </c>
      <c r="T97" s="3">
        <f>SUMIFS('Data nguồn'!J:J, 'Data nguồn'!D:D, $D97, 'Data nguồn'!F:F, $B$1, 'Data nguồn'!C:C, T$3)</f>
      </c>
      <c r="V97" s="3">
        <f>SUM(E97:P97)</f>
      </c>
      <c r="W97" s="3">
        <f>SUM(Q97:T97)</f>
      </c>
      <c r="X97" s="3">
        <f>AVERAGE(R97:T97)</f>
      </c>
      <c r="Y97" s="3">
        <f>AVERAGE(O97:T97)</f>
      </c>
      <c r="Z97" s="3">
        <f>AVERAGE(L97:T97)</f>
      </c>
      <c r="AA97" s="4">
        <f>IFERROR((X97*2)/(Y97+Z97), 0)</f>
      </c>
      <c r="AB97" s="4">
        <f>IFERROR(W97/SUM(E97:H97), 0)</f>
      </c>
      <c r="AC97" s="4">
        <f>IFERROR(W97/SUM(E97:H97), 0)</f>
      </c>
      <c r="AD97" s="4">
        <f>IFERROR(T97/H97, 0)</f>
      </c>
    </row>
    <row r="98" ht="20" customHeight="1" spans="1:30" x14ac:dyDescent="0.25">
      <c r="A98">
        <v>95</v>
      </c>
      <c r="B98" t="s">
        <v>261</v>
      </c>
      <c r="C98" t="s">
        <v>364</v>
      </c>
      <c r="D98" s="2" t="s">
        <v>261</v>
      </c>
      <c r="E98" s="3">
        <f>SUMIFS('Data nguồn'!J:J, 'Data nguồn'!D:D, $D98, 'Data nguồn'!F:F, $B$1, 'Data nguồn'!C:C, E$3)</f>
      </c>
      <c r="F98" s="3">
        <f>SUMIFS('Data nguồn'!J:J, 'Data nguồn'!D:D, $D98, 'Data nguồn'!F:F, $B$1, 'Data nguồn'!C:C, F$3)</f>
      </c>
      <c r="G98" s="3">
        <f>SUMIFS('Data nguồn'!J:J, 'Data nguồn'!D:D, $D98, 'Data nguồn'!F:F, $B$1, 'Data nguồn'!C:C, G$3)</f>
      </c>
      <c r="H98" s="3">
        <f>SUMIFS('Data nguồn'!J:J, 'Data nguồn'!D:D, $D98, 'Data nguồn'!F:F, $B$1, 'Data nguồn'!C:C, H$3)</f>
      </c>
      <c r="I98" s="3">
        <f>SUMIFS('Data nguồn'!J:J, 'Data nguồn'!D:D, $D98, 'Data nguồn'!F:F, $B$1, 'Data nguồn'!C:C, I$3)</f>
      </c>
      <c r="J98" s="3">
        <f>SUMIFS('Data nguồn'!J:J, 'Data nguồn'!D:D, $D98, 'Data nguồn'!F:F, $B$1, 'Data nguồn'!C:C, J$3)</f>
      </c>
      <c r="K98" s="3">
        <f>SUMIFS('Data nguồn'!J:J, 'Data nguồn'!D:D, $D98, 'Data nguồn'!F:F, $B$1, 'Data nguồn'!C:C, K$3)</f>
      </c>
      <c r="L98" s="3">
        <f>SUMIFS('Data nguồn'!J:J, 'Data nguồn'!D:D, $D98, 'Data nguồn'!F:F, $B$1, 'Data nguồn'!C:C, L$3)</f>
      </c>
      <c r="M98" s="3">
        <f>SUMIFS('Data nguồn'!J:J, 'Data nguồn'!D:D, $D98, 'Data nguồn'!F:F, $B$1, 'Data nguồn'!C:C, M$3)</f>
      </c>
      <c r="N98" s="3">
        <f>SUMIFS('Data nguồn'!J:J, 'Data nguồn'!D:D, $D98, 'Data nguồn'!F:F, $B$1, 'Data nguồn'!C:C, N$3)</f>
      </c>
      <c r="O98" s="3">
        <f>SUMIFS('Data nguồn'!J:J, 'Data nguồn'!D:D, $D98, 'Data nguồn'!F:F, $B$1, 'Data nguồn'!C:C, O$3)</f>
      </c>
      <c r="P98" s="3">
        <f>SUMIFS('Data nguồn'!J:J, 'Data nguồn'!D:D, $D98, 'Data nguồn'!F:F, $B$1, 'Data nguồn'!C:C, P$3)</f>
      </c>
      <c r="Q98" s="3">
        <f>SUMIFS('Data nguồn'!J:J, 'Data nguồn'!D:D, $D98, 'Data nguồn'!F:F, $B$1, 'Data nguồn'!C:C, Q$3)</f>
      </c>
      <c r="R98" s="3">
        <f>SUMIFS('Data nguồn'!J:J, 'Data nguồn'!D:D, $D98, 'Data nguồn'!F:F, $B$1, 'Data nguồn'!C:C, R$3)</f>
      </c>
      <c r="S98" s="3">
        <f>SUMIFS('Data nguồn'!J:J, 'Data nguồn'!D:D, $D98, 'Data nguồn'!F:F, $B$1, 'Data nguồn'!C:C, S$3)</f>
      </c>
      <c r="T98" s="3">
        <f>SUMIFS('Data nguồn'!J:J, 'Data nguồn'!D:D, $D98, 'Data nguồn'!F:F, $B$1, 'Data nguồn'!C:C, T$3)</f>
      </c>
      <c r="V98" s="3">
        <f>SUM(E98:P98)</f>
      </c>
      <c r="W98" s="3">
        <f>SUM(Q98:T98)</f>
      </c>
      <c r="X98" s="3">
        <f>AVERAGE(R98:T98)</f>
      </c>
      <c r="Y98" s="3">
        <f>AVERAGE(O98:T98)</f>
      </c>
      <c r="Z98" s="3">
        <f>AVERAGE(L98:T98)</f>
      </c>
      <c r="AA98" s="4">
        <f>IFERROR((X98*2)/(Y98+Z98), 0)</f>
      </c>
      <c r="AB98" s="4">
        <f>IFERROR(W98/SUM(E98:H98), 0)</f>
      </c>
      <c r="AC98" s="4">
        <f>IFERROR(W98/SUM(E98:H98), 0)</f>
      </c>
      <c r="AD98" s="4">
        <f>IFERROR(T98/H98, 0)</f>
      </c>
    </row>
    <row r="99" ht="20" customHeight="1" spans="1:30" x14ac:dyDescent="0.25">
      <c r="A99">
        <v>96</v>
      </c>
      <c r="B99" t="s">
        <v>262</v>
      </c>
      <c r="C99" t="s">
        <v>364</v>
      </c>
      <c r="D99" s="2" t="s">
        <v>262</v>
      </c>
      <c r="E99" s="3">
        <f>SUMIFS('Data nguồn'!J:J, 'Data nguồn'!D:D, $D99, 'Data nguồn'!F:F, $B$1, 'Data nguồn'!C:C, E$3)</f>
      </c>
      <c r="F99" s="3">
        <f>SUMIFS('Data nguồn'!J:J, 'Data nguồn'!D:D, $D99, 'Data nguồn'!F:F, $B$1, 'Data nguồn'!C:C, F$3)</f>
      </c>
      <c r="G99" s="3">
        <f>SUMIFS('Data nguồn'!J:J, 'Data nguồn'!D:D, $D99, 'Data nguồn'!F:F, $B$1, 'Data nguồn'!C:C, G$3)</f>
      </c>
      <c r="H99" s="3">
        <f>SUMIFS('Data nguồn'!J:J, 'Data nguồn'!D:D, $D99, 'Data nguồn'!F:F, $B$1, 'Data nguồn'!C:C, H$3)</f>
      </c>
      <c r="I99" s="3">
        <f>SUMIFS('Data nguồn'!J:J, 'Data nguồn'!D:D, $D99, 'Data nguồn'!F:F, $B$1, 'Data nguồn'!C:C, I$3)</f>
      </c>
      <c r="J99" s="3">
        <f>SUMIFS('Data nguồn'!J:J, 'Data nguồn'!D:D, $D99, 'Data nguồn'!F:F, $B$1, 'Data nguồn'!C:C, J$3)</f>
      </c>
      <c r="K99" s="3">
        <f>SUMIFS('Data nguồn'!J:J, 'Data nguồn'!D:D, $D99, 'Data nguồn'!F:F, $B$1, 'Data nguồn'!C:C, K$3)</f>
      </c>
      <c r="L99" s="3">
        <f>SUMIFS('Data nguồn'!J:J, 'Data nguồn'!D:D, $D99, 'Data nguồn'!F:F, $B$1, 'Data nguồn'!C:C, L$3)</f>
      </c>
      <c r="M99" s="3">
        <f>SUMIFS('Data nguồn'!J:J, 'Data nguồn'!D:D, $D99, 'Data nguồn'!F:F, $B$1, 'Data nguồn'!C:C, M$3)</f>
      </c>
      <c r="N99" s="3">
        <f>SUMIFS('Data nguồn'!J:J, 'Data nguồn'!D:D, $D99, 'Data nguồn'!F:F, $B$1, 'Data nguồn'!C:C, N$3)</f>
      </c>
      <c r="O99" s="3">
        <f>SUMIFS('Data nguồn'!J:J, 'Data nguồn'!D:D, $D99, 'Data nguồn'!F:F, $B$1, 'Data nguồn'!C:C, O$3)</f>
      </c>
      <c r="P99" s="3">
        <f>SUMIFS('Data nguồn'!J:J, 'Data nguồn'!D:D, $D99, 'Data nguồn'!F:F, $B$1, 'Data nguồn'!C:C, P$3)</f>
      </c>
      <c r="Q99" s="3">
        <f>SUMIFS('Data nguồn'!J:J, 'Data nguồn'!D:D, $D99, 'Data nguồn'!F:F, $B$1, 'Data nguồn'!C:C, Q$3)</f>
      </c>
      <c r="R99" s="3">
        <f>SUMIFS('Data nguồn'!J:J, 'Data nguồn'!D:D, $D99, 'Data nguồn'!F:F, $B$1, 'Data nguồn'!C:C, R$3)</f>
      </c>
      <c r="S99" s="3">
        <f>SUMIFS('Data nguồn'!J:J, 'Data nguồn'!D:D, $D99, 'Data nguồn'!F:F, $B$1, 'Data nguồn'!C:C, S$3)</f>
      </c>
      <c r="T99" s="3">
        <f>SUMIFS('Data nguồn'!J:J, 'Data nguồn'!D:D, $D99, 'Data nguồn'!F:F, $B$1, 'Data nguồn'!C:C, T$3)</f>
      </c>
      <c r="V99" s="3">
        <f>SUM(E99:P99)</f>
      </c>
      <c r="W99" s="3">
        <f>SUM(Q99:T99)</f>
      </c>
      <c r="X99" s="3">
        <f>AVERAGE(R99:T99)</f>
      </c>
      <c r="Y99" s="3">
        <f>AVERAGE(O99:T99)</f>
      </c>
      <c r="Z99" s="3">
        <f>AVERAGE(L99:T99)</f>
      </c>
      <c r="AA99" s="4">
        <f>IFERROR((X99*2)/(Y99+Z99), 0)</f>
      </c>
      <c r="AB99" s="4">
        <f>IFERROR(W99/SUM(E99:H99), 0)</f>
      </c>
      <c r="AC99" s="4">
        <f>IFERROR(W99/SUM(E99:H99), 0)</f>
      </c>
      <c r="AD99" s="4">
        <f>IFERROR(T99/H99, 0)</f>
      </c>
    </row>
    <row r="100" ht="20" customHeight="1" spans="1:30" x14ac:dyDescent="0.25">
      <c r="A100">
        <v>97</v>
      </c>
      <c r="B100" t="s">
        <v>263</v>
      </c>
      <c r="C100" t="s">
        <v>369</v>
      </c>
      <c r="D100" s="2" t="s">
        <v>263</v>
      </c>
      <c r="E100" s="3">
        <f>SUMIFS('Data nguồn'!J:J, 'Data nguồn'!D:D, $D100, 'Data nguồn'!F:F, $B$1, 'Data nguồn'!C:C, E$3)</f>
      </c>
      <c r="F100" s="3">
        <f>SUMIFS('Data nguồn'!J:J, 'Data nguồn'!D:D, $D100, 'Data nguồn'!F:F, $B$1, 'Data nguồn'!C:C, F$3)</f>
      </c>
      <c r="G100" s="3">
        <f>SUMIFS('Data nguồn'!J:J, 'Data nguồn'!D:D, $D100, 'Data nguồn'!F:F, $B$1, 'Data nguồn'!C:C, G$3)</f>
      </c>
      <c r="H100" s="3">
        <f>SUMIFS('Data nguồn'!J:J, 'Data nguồn'!D:D, $D100, 'Data nguồn'!F:F, $B$1, 'Data nguồn'!C:C, H$3)</f>
      </c>
      <c r="I100" s="3">
        <f>SUMIFS('Data nguồn'!J:J, 'Data nguồn'!D:D, $D100, 'Data nguồn'!F:F, $B$1, 'Data nguồn'!C:C, I$3)</f>
      </c>
      <c r="J100" s="3">
        <f>SUMIFS('Data nguồn'!J:J, 'Data nguồn'!D:D, $D100, 'Data nguồn'!F:F, $B$1, 'Data nguồn'!C:C, J$3)</f>
      </c>
      <c r="K100" s="3">
        <f>SUMIFS('Data nguồn'!J:J, 'Data nguồn'!D:D, $D100, 'Data nguồn'!F:F, $B$1, 'Data nguồn'!C:C, K$3)</f>
      </c>
      <c r="L100" s="3">
        <f>SUMIFS('Data nguồn'!J:J, 'Data nguồn'!D:D, $D100, 'Data nguồn'!F:F, $B$1, 'Data nguồn'!C:C, L$3)</f>
      </c>
      <c r="M100" s="3">
        <f>SUMIFS('Data nguồn'!J:J, 'Data nguồn'!D:D, $D100, 'Data nguồn'!F:F, $B$1, 'Data nguồn'!C:C, M$3)</f>
      </c>
      <c r="N100" s="3">
        <f>SUMIFS('Data nguồn'!J:J, 'Data nguồn'!D:D, $D100, 'Data nguồn'!F:F, $B$1, 'Data nguồn'!C:C, N$3)</f>
      </c>
      <c r="O100" s="3">
        <f>SUMIFS('Data nguồn'!J:J, 'Data nguồn'!D:D, $D100, 'Data nguồn'!F:F, $B$1, 'Data nguồn'!C:C, O$3)</f>
      </c>
      <c r="P100" s="3">
        <f>SUMIFS('Data nguồn'!J:J, 'Data nguồn'!D:D, $D100, 'Data nguồn'!F:F, $B$1, 'Data nguồn'!C:C, P$3)</f>
      </c>
      <c r="Q100" s="3">
        <f>SUMIFS('Data nguồn'!J:J, 'Data nguồn'!D:D, $D100, 'Data nguồn'!F:F, $B$1, 'Data nguồn'!C:C, Q$3)</f>
      </c>
      <c r="R100" s="3">
        <f>SUMIFS('Data nguồn'!J:J, 'Data nguồn'!D:D, $D100, 'Data nguồn'!F:F, $B$1, 'Data nguồn'!C:C, R$3)</f>
      </c>
      <c r="S100" s="3">
        <f>SUMIFS('Data nguồn'!J:J, 'Data nguồn'!D:D, $D100, 'Data nguồn'!F:F, $B$1, 'Data nguồn'!C:C, S$3)</f>
      </c>
      <c r="T100" s="3">
        <f>SUMIFS('Data nguồn'!J:J, 'Data nguồn'!D:D, $D100, 'Data nguồn'!F:F, $B$1, 'Data nguồn'!C:C, T$3)</f>
      </c>
      <c r="V100" s="3">
        <f>SUM(E100:P100)</f>
      </c>
      <c r="W100" s="3">
        <f>SUM(Q100:T100)</f>
      </c>
      <c r="X100" s="3">
        <f>AVERAGE(R100:T100)</f>
      </c>
      <c r="Y100" s="3">
        <f>AVERAGE(O100:T100)</f>
      </c>
      <c r="Z100" s="3">
        <f>AVERAGE(L100:T100)</f>
      </c>
      <c r="AA100" s="4">
        <f>IFERROR((X100*2)/(Y100+Z100), 0)</f>
      </c>
      <c r="AB100" s="4">
        <f>IFERROR(W100/SUM(E100:H100), 0)</f>
      </c>
      <c r="AC100" s="4">
        <f>IFERROR(W100/SUM(E100:H100), 0)</f>
      </c>
      <c r="AD100" s="4">
        <f>IFERROR(T100/H100, 0)</f>
      </c>
    </row>
    <row r="101" ht="20" customHeight="1" spans="1:30" x14ac:dyDescent="0.25">
      <c r="A101">
        <v>98</v>
      </c>
      <c r="B101" t="s">
        <v>264</v>
      </c>
      <c r="C101" t="s">
        <v>371</v>
      </c>
      <c r="D101" s="2" t="s">
        <v>264</v>
      </c>
      <c r="E101" s="3">
        <f>SUMIFS('Data nguồn'!J:J, 'Data nguồn'!D:D, $D101, 'Data nguồn'!F:F, $B$1, 'Data nguồn'!C:C, E$3)</f>
      </c>
      <c r="F101" s="3">
        <f>SUMIFS('Data nguồn'!J:J, 'Data nguồn'!D:D, $D101, 'Data nguồn'!F:F, $B$1, 'Data nguồn'!C:C, F$3)</f>
      </c>
      <c r="G101" s="3">
        <f>SUMIFS('Data nguồn'!J:J, 'Data nguồn'!D:D, $D101, 'Data nguồn'!F:F, $B$1, 'Data nguồn'!C:C, G$3)</f>
      </c>
      <c r="H101" s="3">
        <f>SUMIFS('Data nguồn'!J:J, 'Data nguồn'!D:D, $D101, 'Data nguồn'!F:F, $B$1, 'Data nguồn'!C:C, H$3)</f>
      </c>
      <c r="I101" s="3">
        <f>SUMIFS('Data nguồn'!J:J, 'Data nguồn'!D:D, $D101, 'Data nguồn'!F:F, $B$1, 'Data nguồn'!C:C, I$3)</f>
      </c>
      <c r="J101" s="3">
        <f>SUMIFS('Data nguồn'!J:J, 'Data nguồn'!D:D, $D101, 'Data nguồn'!F:F, $B$1, 'Data nguồn'!C:C, J$3)</f>
      </c>
      <c r="K101" s="3">
        <f>SUMIFS('Data nguồn'!J:J, 'Data nguồn'!D:D, $D101, 'Data nguồn'!F:F, $B$1, 'Data nguồn'!C:C, K$3)</f>
      </c>
      <c r="L101" s="3">
        <f>SUMIFS('Data nguồn'!J:J, 'Data nguồn'!D:D, $D101, 'Data nguồn'!F:F, $B$1, 'Data nguồn'!C:C, L$3)</f>
      </c>
      <c r="M101" s="3">
        <f>SUMIFS('Data nguồn'!J:J, 'Data nguồn'!D:D, $D101, 'Data nguồn'!F:F, $B$1, 'Data nguồn'!C:C, M$3)</f>
      </c>
      <c r="N101" s="3">
        <f>SUMIFS('Data nguồn'!J:J, 'Data nguồn'!D:D, $D101, 'Data nguồn'!F:F, $B$1, 'Data nguồn'!C:C, N$3)</f>
      </c>
      <c r="O101" s="3">
        <f>SUMIFS('Data nguồn'!J:J, 'Data nguồn'!D:D, $D101, 'Data nguồn'!F:F, $B$1, 'Data nguồn'!C:C, O$3)</f>
      </c>
      <c r="P101" s="3">
        <f>SUMIFS('Data nguồn'!J:J, 'Data nguồn'!D:D, $D101, 'Data nguồn'!F:F, $B$1, 'Data nguồn'!C:C, P$3)</f>
      </c>
      <c r="Q101" s="3">
        <f>SUMIFS('Data nguồn'!J:J, 'Data nguồn'!D:D, $D101, 'Data nguồn'!F:F, $B$1, 'Data nguồn'!C:C, Q$3)</f>
      </c>
      <c r="R101" s="3">
        <f>SUMIFS('Data nguồn'!J:J, 'Data nguồn'!D:D, $D101, 'Data nguồn'!F:F, $B$1, 'Data nguồn'!C:C, R$3)</f>
      </c>
      <c r="S101" s="3">
        <f>SUMIFS('Data nguồn'!J:J, 'Data nguồn'!D:D, $D101, 'Data nguồn'!F:F, $B$1, 'Data nguồn'!C:C, S$3)</f>
      </c>
      <c r="T101" s="3">
        <f>SUMIFS('Data nguồn'!J:J, 'Data nguồn'!D:D, $D101, 'Data nguồn'!F:F, $B$1, 'Data nguồn'!C:C, T$3)</f>
      </c>
      <c r="V101" s="3">
        <f>SUM(E101:P101)</f>
      </c>
      <c r="W101" s="3">
        <f>SUM(Q101:T101)</f>
      </c>
      <c r="X101" s="3">
        <f>AVERAGE(R101:T101)</f>
      </c>
      <c r="Y101" s="3">
        <f>AVERAGE(O101:T101)</f>
      </c>
      <c r="Z101" s="3">
        <f>AVERAGE(L101:T101)</f>
      </c>
      <c r="AA101" s="4">
        <f>IFERROR((X101*2)/(Y101+Z101), 0)</f>
      </c>
      <c r="AB101" s="4">
        <f>IFERROR(W101/SUM(E101:H101), 0)</f>
      </c>
      <c r="AC101" s="4">
        <f>IFERROR(W101/SUM(E101:H101), 0)</f>
      </c>
      <c r="AD101" s="4">
        <f>IFERROR(T101/H101, 0)</f>
      </c>
    </row>
    <row r="102" ht="20" customHeight="1" spans="1:30" x14ac:dyDescent="0.25">
      <c r="A102">
        <v>99</v>
      </c>
      <c r="B102" t="s">
        <v>265</v>
      </c>
      <c r="C102" t="s">
        <v>371</v>
      </c>
      <c r="D102" s="2" t="s">
        <v>265</v>
      </c>
      <c r="E102" s="3">
        <f>SUMIFS('Data nguồn'!J:J, 'Data nguồn'!D:D, $D102, 'Data nguồn'!F:F, $B$1, 'Data nguồn'!C:C, E$3)</f>
      </c>
      <c r="F102" s="3">
        <f>SUMIFS('Data nguồn'!J:J, 'Data nguồn'!D:D, $D102, 'Data nguồn'!F:F, $B$1, 'Data nguồn'!C:C, F$3)</f>
      </c>
      <c r="G102" s="3">
        <f>SUMIFS('Data nguồn'!J:J, 'Data nguồn'!D:D, $D102, 'Data nguồn'!F:F, $B$1, 'Data nguồn'!C:C, G$3)</f>
      </c>
      <c r="H102" s="3">
        <f>SUMIFS('Data nguồn'!J:J, 'Data nguồn'!D:D, $D102, 'Data nguồn'!F:F, $B$1, 'Data nguồn'!C:C, H$3)</f>
      </c>
      <c r="I102" s="3">
        <f>SUMIFS('Data nguồn'!J:J, 'Data nguồn'!D:D, $D102, 'Data nguồn'!F:F, $B$1, 'Data nguồn'!C:C, I$3)</f>
      </c>
      <c r="J102" s="3">
        <f>SUMIFS('Data nguồn'!J:J, 'Data nguồn'!D:D, $D102, 'Data nguồn'!F:F, $B$1, 'Data nguồn'!C:C, J$3)</f>
      </c>
      <c r="K102" s="3">
        <f>SUMIFS('Data nguồn'!J:J, 'Data nguồn'!D:D, $D102, 'Data nguồn'!F:F, $B$1, 'Data nguồn'!C:C, K$3)</f>
      </c>
      <c r="L102" s="3">
        <f>SUMIFS('Data nguồn'!J:J, 'Data nguồn'!D:D, $D102, 'Data nguồn'!F:F, $B$1, 'Data nguồn'!C:C, L$3)</f>
      </c>
      <c r="M102" s="3">
        <f>SUMIFS('Data nguồn'!J:J, 'Data nguồn'!D:D, $D102, 'Data nguồn'!F:F, $B$1, 'Data nguồn'!C:C, M$3)</f>
      </c>
      <c r="N102" s="3">
        <f>SUMIFS('Data nguồn'!J:J, 'Data nguồn'!D:D, $D102, 'Data nguồn'!F:F, $B$1, 'Data nguồn'!C:C, N$3)</f>
      </c>
      <c r="O102" s="3">
        <f>SUMIFS('Data nguồn'!J:J, 'Data nguồn'!D:D, $D102, 'Data nguồn'!F:F, $B$1, 'Data nguồn'!C:C, O$3)</f>
      </c>
      <c r="P102" s="3">
        <f>SUMIFS('Data nguồn'!J:J, 'Data nguồn'!D:D, $D102, 'Data nguồn'!F:F, $B$1, 'Data nguồn'!C:C, P$3)</f>
      </c>
      <c r="Q102" s="3">
        <f>SUMIFS('Data nguồn'!J:J, 'Data nguồn'!D:D, $D102, 'Data nguồn'!F:F, $B$1, 'Data nguồn'!C:C, Q$3)</f>
      </c>
      <c r="R102" s="3">
        <f>SUMIFS('Data nguồn'!J:J, 'Data nguồn'!D:D, $D102, 'Data nguồn'!F:F, $B$1, 'Data nguồn'!C:C, R$3)</f>
      </c>
      <c r="S102" s="3">
        <f>SUMIFS('Data nguồn'!J:J, 'Data nguồn'!D:D, $D102, 'Data nguồn'!F:F, $B$1, 'Data nguồn'!C:C, S$3)</f>
      </c>
      <c r="T102" s="3">
        <f>SUMIFS('Data nguồn'!J:J, 'Data nguồn'!D:D, $D102, 'Data nguồn'!F:F, $B$1, 'Data nguồn'!C:C, T$3)</f>
      </c>
      <c r="V102" s="3">
        <f>SUM(E102:P102)</f>
      </c>
      <c r="W102" s="3">
        <f>SUM(Q102:T102)</f>
      </c>
      <c r="X102" s="3">
        <f>AVERAGE(R102:T102)</f>
      </c>
      <c r="Y102" s="3">
        <f>AVERAGE(O102:T102)</f>
      </c>
      <c r="Z102" s="3">
        <f>AVERAGE(L102:T102)</f>
      </c>
      <c r="AA102" s="4">
        <f>IFERROR((X102*2)/(Y102+Z102), 0)</f>
      </c>
      <c r="AB102" s="4">
        <f>IFERROR(W102/SUM(E102:H102), 0)</f>
      </c>
      <c r="AC102" s="4">
        <f>IFERROR(W102/SUM(E102:H102), 0)</f>
      </c>
      <c r="AD102" s="4">
        <f>IFERROR(T102/H102, 0)</f>
      </c>
    </row>
    <row r="103" ht="20" customHeight="1" spans="1:30" x14ac:dyDescent="0.25">
      <c r="A103">
        <v>100</v>
      </c>
      <c r="B103" t="s">
        <v>266</v>
      </c>
      <c r="C103" t="s">
        <v>371</v>
      </c>
      <c r="D103" s="2" t="s">
        <v>266</v>
      </c>
      <c r="E103" s="3">
        <f>SUMIFS('Data nguồn'!J:J, 'Data nguồn'!D:D, $D103, 'Data nguồn'!F:F, $B$1, 'Data nguồn'!C:C, E$3)</f>
      </c>
      <c r="F103" s="3">
        <f>SUMIFS('Data nguồn'!J:J, 'Data nguồn'!D:D, $D103, 'Data nguồn'!F:F, $B$1, 'Data nguồn'!C:C, F$3)</f>
      </c>
      <c r="G103" s="3">
        <f>SUMIFS('Data nguồn'!J:J, 'Data nguồn'!D:D, $D103, 'Data nguồn'!F:F, $B$1, 'Data nguồn'!C:C, G$3)</f>
      </c>
      <c r="H103" s="3">
        <f>SUMIFS('Data nguồn'!J:J, 'Data nguồn'!D:D, $D103, 'Data nguồn'!F:F, $B$1, 'Data nguồn'!C:C, H$3)</f>
      </c>
      <c r="I103" s="3">
        <f>SUMIFS('Data nguồn'!J:J, 'Data nguồn'!D:D, $D103, 'Data nguồn'!F:F, $B$1, 'Data nguồn'!C:C, I$3)</f>
      </c>
      <c r="J103" s="3">
        <f>SUMIFS('Data nguồn'!J:J, 'Data nguồn'!D:D, $D103, 'Data nguồn'!F:F, $B$1, 'Data nguồn'!C:C, J$3)</f>
      </c>
      <c r="K103" s="3">
        <f>SUMIFS('Data nguồn'!J:J, 'Data nguồn'!D:D, $D103, 'Data nguồn'!F:F, $B$1, 'Data nguồn'!C:C, K$3)</f>
      </c>
      <c r="L103" s="3">
        <f>SUMIFS('Data nguồn'!J:J, 'Data nguồn'!D:D, $D103, 'Data nguồn'!F:F, $B$1, 'Data nguồn'!C:C, L$3)</f>
      </c>
      <c r="M103" s="3">
        <f>SUMIFS('Data nguồn'!J:J, 'Data nguồn'!D:D, $D103, 'Data nguồn'!F:F, $B$1, 'Data nguồn'!C:C, M$3)</f>
      </c>
      <c r="N103" s="3">
        <f>SUMIFS('Data nguồn'!J:J, 'Data nguồn'!D:D, $D103, 'Data nguồn'!F:F, $B$1, 'Data nguồn'!C:C, N$3)</f>
      </c>
      <c r="O103" s="3">
        <f>SUMIFS('Data nguồn'!J:J, 'Data nguồn'!D:D, $D103, 'Data nguồn'!F:F, $B$1, 'Data nguồn'!C:C, O$3)</f>
      </c>
      <c r="P103" s="3">
        <f>SUMIFS('Data nguồn'!J:J, 'Data nguồn'!D:D, $D103, 'Data nguồn'!F:F, $B$1, 'Data nguồn'!C:C, P$3)</f>
      </c>
      <c r="Q103" s="3">
        <f>SUMIFS('Data nguồn'!J:J, 'Data nguồn'!D:D, $D103, 'Data nguồn'!F:F, $B$1, 'Data nguồn'!C:C, Q$3)</f>
      </c>
      <c r="R103" s="3">
        <f>SUMIFS('Data nguồn'!J:J, 'Data nguồn'!D:D, $D103, 'Data nguồn'!F:F, $B$1, 'Data nguồn'!C:C, R$3)</f>
      </c>
      <c r="S103" s="3">
        <f>SUMIFS('Data nguồn'!J:J, 'Data nguồn'!D:D, $D103, 'Data nguồn'!F:F, $B$1, 'Data nguồn'!C:C, S$3)</f>
      </c>
      <c r="T103" s="3">
        <f>SUMIFS('Data nguồn'!J:J, 'Data nguồn'!D:D, $D103, 'Data nguồn'!F:F, $B$1, 'Data nguồn'!C:C, T$3)</f>
      </c>
      <c r="V103" s="3">
        <f>SUM(E103:P103)</f>
      </c>
      <c r="W103" s="3">
        <f>SUM(Q103:T103)</f>
      </c>
      <c r="X103" s="3">
        <f>AVERAGE(R103:T103)</f>
      </c>
      <c r="Y103" s="3">
        <f>AVERAGE(O103:T103)</f>
      </c>
      <c r="Z103" s="3">
        <f>AVERAGE(L103:T103)</f>
      </c>
      <c r="AA103" s="4">
        <f>IFERROR((X103*2)/(Y103+Z103), 0)</f>
      </c>
      <c r="AB103" s="4">
        <f>IFERROR(W103/SUM(E103:H103), 0)</f>
      </c>
      <c r="AC103" s="4">
        <f>IFERROR(W103/SUM(E103:H103), 0)</f>
      </c>
      <c r="AD103" s="4">
        <f>IFERROR(T103/H103, 0)</f>
      </c>
    </row>
    <row r="104" ht="20" customHeight="1" spans="1:30" x14ac:dyDescent="0.25">
      <c r="A104">
        <v>101</v>
      </c>
      <c r="B104" t="s">
        <v>267</v>
      </c>
      <c r="C104" t="s">
        <v>371</v>
      </c>
      <c r="D104" s="2" t="s">
        <v>267</v>
      </c>
      <c r="E104" s="3">
        <f>SUMIFS('Data nguồn'!J:J, 'Data nguồn'!D:D, $D104, 'Data nguồn'!F:F, $B$1, 'Data nguồn'!C:C, E$3)</f>
      </c>
      <c r="F104" s="3">
        <f>SUMIFS('Data nguồn'!J:J, 'Data nguồn'!D:D, $D104, 'Data nguồn'!F:F, $B$1, 'Data nguồn'!C:C, F$3)</f>
      </c>
      <c r="G104" s="3">
        <f>SUMIFS('Data nguồn'!J:J, 'Data nguồn'!D:D, $D104, 'Data nguồn'!F:F, $B$1, 'Data nguồn'!C:C, G$3)</f>
      </c>
      <c r="H104" s="3">
        <f>SUMIFS('Data nguồn'!J:J, 'Data nguồn'!D:D, $D104, 'Data nguồn'!F:F, $B$1, 'Data nguồn'!C:C, H$3)</f>
      </c>
      <c r="I104" s="3">
        <f>SUMIFS('Data nguồn'!J:J, 'Data nguồn'!D:D, $D104, 'Data nguồn'!F:F, $B$1, 'Data nguồn'!C:C, I$3)</f>
      </c>
      <c r="J104" s="3">
        <f>SUMIFS('Data nguồn'!J:J, 'Data nguồn'!D:D, $D104, 'Data nguồn'!F:F, $B$1, 'Data nguồn'!C:C, J$3)</f>
      </c>
      <c r="K104" s="3">
        <f>SUMIFS('Data nguồn'!J:J, 'Data nguồn'!D:D, $D104, 'Data nguồn'!F:F, $B$1, 'Data nguồn'!C:C, K$3)</f>
      </c>
      <c r="L104" s="3">
        <f>SUMIFS('Data nguồn'!J:J, 'Data nguồn'!D:D, $D104, 'Data nguồn'!F:F, $B$1, 'Data nguồn'!C:C, L$3)</f>
      </c>
      <c r="M104" s="3">
        <f>SUMIFS('Data nguồn'!J:J, 'Data nguồn'!D:D, $D104, 'Data nguồn'!F:F, $B$1, 'Data nguồn'!C:C, M$3)</f>
      </c>
      <c r="N104" s="3">
        <f>SUMIFS('Data nguồn'!J:J, 'Data nguồn'!D:D, $D104, 'Data nguồn'!F:F, $B$1, 'Data nguồn'!C:C, N$3)</f>
      </c>
      <c r="O104" s="3">
        <f>SUMIFS('Data nguồn'!J:J, 'Data nguồn'!D:D, $D104, 'Data nguồn'!F:F, $B$1, 'Data nguồn'!C:C, O$3)</f>
      </c>
      <c r="P104" s="3">
        <f>SUMIFS('Data nguồn'!J:J, 'Data nguồn'!D:D, $D104, 'Data nguồn'!F:F, $B$1, 'Data nguồn'!C:C, P$3)</f>
      </c>
      <c r="Q104" s="3">
        <f>SUMIFS('Data nguồn'!J:J, 'Data nguồn'!D:D, $D104, 'Data nguồn'!F:F, $B$1, 'Data nguồn'!C:C, Q$3)</f>
      </c>
      <c r="R104" s="3">
        <f>SUMIFS('Data nguồn'!J:J, 'Data nguồn'!D:D, $D104, 'Data nguồn'!F:F, $B$1, 'Data nguồn'!C:C, R$3)</f>
      </c>
      <c r="S104" s="3">
        <f>SUMIFS('Data nguồn'!J:J, 'Data nguồn'!D:D, $D104, 'Data nguồn'!F:F, $B$1, 'Data nguồn'!C:C, S$3)</f>
      </c>
      <c r="T104" s="3">
        <f>SUMIFS('Data nguồn'!J:J, 'Data nguồn'!D:D, $D104, 'Data nguồn'!F:F, $B$1, 'Data nguồn'!C:C, T$3)</f>
      </c>
      <c r="V104" s="3">
        <f>SUM(E104:P104)</f>
      </c>
      <c r="W104" s="3">
        <f>SUM(Q104:T104)</f>
      </c>
      <c r="X104" s="3">
        <f>AVERAGE(R104:T104)</f>
      </c>
      <c r="Y104" s="3">
        <f>AVERAGE(O104:T104)</f>
      </c>
      <c r="Z104" s="3">
        <f>AVERAGE(L104:T104)</f>
      </c>
      <c r="AA104" s="4">
        <f>IFERROR((X104*2)/(Y104+Z104), 0)</f>
      </c>
      <c r="AB104" s="4">
        <f>IFERROR(W104/SUM(E104:H104), 0)</f>
      </c>
      <c r="AC104" s="4">
        <f>IFERROR(W104/SUM(E104:H104), 0)</f>
      </c>
      <c r="AD104" s="4">
        <f>IFERROR(T104/H104, 0)</f>
      </c>
    </row>
    <row r="105" ht="20" customHeight="1" spans="1:30" x14ac:dyDescent="0.25">
      <c r="A105">
        <v>102</v>
      </c>
      <c r="B105" t="s">
        <v>268</v>
      </c>
      <c r="C105" t="s">
        <v>371</v>
      </c>
      <c r="D105" s="2" t="s">
        <v>268</v>
      </c>
      <c r="E105" s="3">
        <f>SUMIFS('Data nguồn'!J:J, 'Data nguồn'!D:D, $D105, 'Data nguồn'!F:F, $B$1, 'Data nguồn'!C:C, E$3)</f>
      </c>
      <c r="F105" s="3">
        <f>SUMIFS('Data nguồn'!J:J, 'Data nguồn'!D:D, $D105, 'Data nguồn'!F:F, $B$1, 'Data nguồn'!C:C, F$3)</f>
      </c>
      <c r="G105" s="3">
        <f>SUMIFS('Data nguồn'!J:J, 'Data nguồn'!D:D, $D105, 'Data nguồn'!F:F, $B$1, 'Data nguồn'!C:C, G$3)</f>
      </c>
      <c r="H105" s="3">
        <f>SUMIFS('Data nguồn'!J:J, 'Data nguồn'!D:D, $D105, 'Data nguồn'!F:F, $B$1, 'Data nguồn'!C:C, H$3)</f>
      </c>
      <c r="I105" s="3">
        <f>SUMIFS('Data nguồn'!J:J, 'Data nguồn'!D:D, $D105, 'Data nguồn'!F:F, $B$1, 'Data nguồn'!C:C, I$3)</f>
      </c>
      <c r="J105" s="3">
        <f>SUMIFS('Data nguồn'!J:J, 'Data nguồn'!D:D, $D105, 'Data nguồn'!F:F, $B$1, 'Data nguồn'!C:C, J$3)</f>
      </c>
      <c r="K105" s="3">
        <f>SUMIFS('Data nguồn'!J:J, 'Data nguồn'!D:D, $D105, 'Data nguồn'!F:F, $B$1, 'Data nguồn'!C:C, K$3)</f>
      </c>
      <c r="L105" s="3">
        <f>SUMIFS('Data nguồn'!J:J, 'Data nguồn'!D:D, $D105, 'Data nguồn'!F:F, $B$1, 'Data nguồn'!C:C, L$3)</f>
      </c>
      <c r="M105" s="3">
        <f>SUMIFS('Data nguồn'!J:J, 'Data nguồn'!D:D, $D105, 'Data nguồn'!F:F, $B$1, 'Data nguồn'!C:C, M$3)</f>
      </c>
      <c r="N105" s="3">
        <f>SUMIFS('Data nguồn'!J:J, 'Data nguồn'!D:D, $D105, 'Data nguồn'!F:F, $B$1, 'Data nguồn'!C:C, N$3)</f>
      </c>
      <c r="O105" s="3">
        <f>SUMIFS('Data nguồn'!J:J, 'Data nguồn'!D:D, $D105, 'Data nguồn'!F:F, $B$1, 'Data nguồn'!C:C, O$3)</f>
      </c>
      <c r="P105" s="3">
        <f>SUMIFS('Data nguồn'!J:J, 'Data nguồn'!D:D, $D105, 'Data nguồn'!F:F, $B$1, 'Data nguồn'!C:C, P$3)</f>
      </c>
      <c r="Q105" s="3">
        <f>SUMIFS('Data nguồn'!J:J, 'Data nguồn'!D:D, $D105, 'Data nguồn'!F:F, $B$1, 'Data nguồn'!C:C, Q$3)</f>
      </c>
      <c r="R105" s="3">
        <f>SUMIFS('Data nguồn'!J:J, 'Data nguồn'!D:D, $D105, 'Data nguồn'!F:F, $B$1, 'Data nguồn'!C:C, R$3)</f>
      </c>
      <c r="S105" s="3">
        <f>SUMIFS('Data nguồn'!J:J, 'Data nguồn'!D:D, $D105, 'Data nguồn'!F:F, $B$1, 'Data nguồn'!C:C, S$3)</f>
      </c>
      <c r="T105" s="3">
        <f>SUMIFS('Data nguồn'!J:J, 'Data nguồn'!D:D, $D105, 'Data nguồn'!F:F, $B$1, 'Data nguồn'!C:C, T$3)</f>
      </c>
      <c r="V105" s="3">
        <f>SUM(E105:P105)</f>
      </c>
      <c r="W105" s="3">
        <f>SUM(Q105:T105)</f>
      </c>
      <c r="X105" s="3">
        <f>AVERAGE(R105:T105)</f>
      </c>
      <c r="Y105" s="3">
        <f>AVERAGE(O105:T105)</f>
      </c>
      <c r="Z105" s="3">
        <f>AVERAGE(L105:T105)</f>
      </c>
      <c r="AA105" s="4">
        <f>IFERROR((X105*2)/(Y105+Z105), 0)</f>
      </c>
      <c r="AB105" s="4">
        <f>IFERROR(W105/SUM(E105:H105), 0)</f>
      </c>
      <c r="AC105" s="4">
        <f>IFERROR(W105/SUM(E105:H105), 0)</f>
      </c>
      <c r="AD105" s="4">
        <f>IFERROR(T105/H105, 0)</f>
      </c>
    </row>
    <row r="106" ht="20" customHeight="1" spans="1:30" x14ac:dyDescent="0.25">
      <c r="A106">
        <v>103</v>
      </c>
      <c r="B106" t="s">
        <v>269</v>
      </c>
      <c r="C106" t="s">
        <v>369</v>
      </c>
      <c r="D106" s="2" t="s">
        <v>269</v>
      </c>
      <c r="E106" s="3">
        <f>SUMIFS('Data nguồn'!J:J, 'Data nguồn'!D:D, $D106, 'Data nguồn'!F:F, $B$1, 'Data nguồn'!C:C, E$3)</f>
      </c>
      <c r="F106" s="3">
        <f>SUMIFS('Data nguồn'!J:J, 'Data nguồn'!D:D, $D106, 'Data nguồn'!F:F, $B$1, 'Data nguồn'!C:C, F$3)</f>
      </c>
      <c r="G106" s="3">
        <f>SUMIFS('Data nguồn'!J:J, 'Data nguồn'!D:D, $D106, 'Data nguồn'!F:F, $B$1, 'Data nguồn'!C:C, G$3)</f>
      </c>
      <c r="H106" s="3">
        <f>SUMIFS('Data nguồn'!J:J, 'Data nguồn'!D:D, $D106, 'Data nguồn'!F:F, $B$1, 'Data nguồn'!C:C, H$3)</f>
      </c>
      <c r="I106" s="3">
        <f>SUMIFS('Data nguồn'!J:J, 'Data nguồn'!D:D, $D106, 'Data nguồn'!F:F, $B$1, 'Data nguồn'!C:C, I$3)</f>
      </c>
      <c r="J106" s="3">
        <f>SUMIFS('Data nguồn'!J:J, 'Data nguồn'!D:D, $D106, 'Data nguồn'!F:F, $B$1, 'Data nguồn'!C:C, J$3)</f>
      </c>
      <c r="K106" s="3">
        <f>SUMIFS('Data nguồn'!J:J, 'Data nguồn'!D:D, $D106, 'Data nguồn'!F:F, $B$1, 'Data nguồn'!C:C, K$3)</f>
      </c>
      <c r="L106" s="3">
        <f>SUMIFS('Data nguồn'!J:J, 'Data nguồn'!D:D, $D106, 'Data nguồn'!F:F, $B$1, 'Data nguồn'!C:C, L$3)</f>
      </c>
      <c r="M106" s="3">
        <f>SUMIFS('Data nguồn'!J:J, 'Data nguồn'!D:D, $D106, 'Data nguồn'!F:F, $B$1, 'Data nguồn'!C:C, M$3)</f>
      </c>
      <c r="N106" s="3">
        <f>SUMIFS('Data nguồn'!J:J, 'Data nguồn'!D:D, $D106, 'Data nguồn'!F:F, $B$1, 'Data nguồn'!C:C, N$3)</f>
      </c>
      <c r="O106" s="3">
        <f>SUMIFS('Data nguồn'!J:J, 'Data nguồn'!D:D, $D106, 'Data nguồn'!F:F, $B$1, 'Data nguồn'!C:C, O$3)</f>
      </c>
      <c r="P106" s="3">
        <f>SUMIFS('Data nguồn'!J:J, 'Data nguồn'!D:D, $D106, 'Data nguồn'!F:F, $B$1, 'Data nguồn'!C:C, P$3)</f>
      </c>
      <c r="Q106" s="3">
        <f>SUMIFS('Data nguồn'!J:J, 'Data nguồn'!D:D, $D106, 'Data nguồn'!F:F, $B$1, 'Data nguồn'!C:C, Q$3)</f>
      </c>
      <c r="R106" s="3">
        <f>SUMIFS('Data nguồn'!J:J, 'Data nguồn'!D:D, $D106, 'Data nguồn'!F:F, $B$1, 'Data nguồn'!C:C, R$3)</f>
      </c>
      <c r="S106" s="3">
        <f>SUMIFS('Data nguồn'!J:J, 'Data nguồn'!D:D, $D106, 'Data nguồn'!F:F, $B$1, 'Data nguồn'!C:C, S$3)</f>
      </c>
      <c r="T106" s="3">
        <f>SUMIFS('Data nguồn'!J:J, 'Data nguồn'!D:D, $D106, 'Data nguồn'!F:F, $B$1, 'Data nguồn'!C:C, T$3)</f>
      </c>
      <c r="V106" s="3">
        <f>SUM(E106:P106)</f>
      </c>
      <c r="W106" s="3">
        <f>SUM(Q106:T106)</f>
      </c>
      <c r="X106" s="3">
        <f>AVERAGE(R106:T106)</f>
      </c>
      <c r="Y106" s="3">
        <f>AVERAGE(O106:T106)</f>
      </c>
      <c r="Z106" s="3">
        <f>AVERAGE(L106:T106)</f>
      </c>
      <c r="AA106" s="4">
        <f>IFERROR((X106*2)/(Y106+Z106), 0)</f>
      </c>
      <c r="AB106" s="4">
        <f>IFERROR(W106/SUM(E106:H106), 0)</f>
      </c>
      <c r="AC106" s="4">
        <f>IFERROR(W106/SUM(E106:H106), 0)</f>
      </c>
      <c r="AD106" s="4">
        <f>IFERROR(T106/H106, 0)</f>
      </c>
    </row>
    <row r="107" ht="20" customHeight="1" spans="1:30" x14ac:dyDescent="0.25">
      <c r="A107">
        <v>104</v>
      </c>
      <c r="B107" t="s">
        <v>270</v>
      </c>
      <c r="C107" t="s">
        <v>367</v>
      </c>
      <c r="D107" s="2" t="s">
        <v>270</v>
      </c>
      <c r="E107" s="3">
        <f>SUMIFS('Data nguồn'!J:J, 'Data nguồn'!D:D, $D107, 'Data nguồn'!F:F, $B$1, 'Data nguồn'!C:C, E$3)</f>
      </c>
      <c r="F107" s="3">
        <f>SUMIFS('Data nguồn'!J:J, 'Data nguồn'!D:D, $D107, 'Data nguồn'!F:F, $B$1, 'Data nguồn'!C:C, F$3)</f>
      </c>
      <c r="G107" s="3">
        <f>SUMIFS('Data nguồn'!J:J, 'Data nguồn'!D:D, $D107, 'Data nguồn'!F:F, $B$1, 'Data nguồn'!C:C, G$3)</f>
      </c>
      <c r="H107" s="3">
        <f>SUMIFS('Data nguồn'!J:J, 'Data nguồn'!D:D, $D107, 'Data nguồn'!F:F, $B$1, 'Data nguồn'!C:C, H$3)</f>
      </c>
      <c r="I107" s="3">
        <f>SUMIFS('Data nguồn'!J:J, 'Data nguồn'!D:D, $D107, 'Data nguồn'!F:F, $B$1, 'Data nguồn'!C:C, I$3)</f>
      </c>
      <c r="J107" s="3">
        <f>SUMIFS('Data nguồn'!J:J, 'Data nguồn'!D:D, $D107, 'Data nguồn'!F:F, $B$1, 'Data nguồn'!C:C, J$3)</f>
      </c>
      <c r="K107" s="3">
        <f>SUMIFS('Data nguồn'!J:J, 'Data nguồn'!D:D, $D107, 'Data nguồn'!F:F, $B$1, 'Data nguồn'!C:C, K$3)</f>
      </c>
      <c r="L107" s="3">
        <f>SUMIFS('Data nguồn'!J:J, 'Data nguồn'!D:D, $D107, 'Data nguồn'!F:F, $B$1, 'Data nguồn'!C:C, L$3)</f>
      </c>
      <c r="M107" s="3">
        <f>SUMIFS('Data nguồn'!J:J, 'Data nguồn'!D:D, $D107, 'Data nguồn'!F:F, $B$1, 'Data nguồn'!C:C, M$3)</f>
      </c>
      <c r="N107" s="3">
        <f>SUMIFS('Data nguồn'!J:J, 'Data nguồn'!D:D, $D107, 'Data nguồn'!F:F, $B$1, 'Data nguồn'!C:C, N$3)</f>
      </c>
      <c r="O107" s="3">
        <f>SUMIFS('Data nguồn'!J:J, 'Data nguồn'!D:D, $D107, 'Data nguồn'!F:F, $B$1, 'Data nguồn'!C:C, O$3)</f>
      </c>
      <c r="P107" s="3">
        <f>SUMIFS('Data nguồn'!J:J, 'Data nguồn'!D:D, $D107, 'Data nguồn'!F:F, $B$1, 'Data nguồn'!C:C, P$3)</f>
      </c>
      <c r="Q107" s="3">
        <f>SUMIFS('Data nguồn'!J:J, 'Data nguồn'!D:D, $D107, 'Data nguồn'!F:F, $B$1, 'Data nguồn'!C:C, Q$3)</f>
      </c>
      <c r="R107" s="3">
        <f>SUMIFS('Data nguồn'!J:J, 'Data nguồn'!D:D, $D107, 'Data nguồn'!F:F, $B$1, 'Data nguồn'!C:C, R$3)</f>
      </c>
      <c r="S107" s="3">
        <f>SUMIFS('Data nguồn'!J:J, 'Data nguồn'!D:D, $D107, 'Data nguồn'!F:F, $B$1, 'Data nguồn'!C:C, S$3)</f>
      </c>
      <c r="T107" s="3">
        <f>SUMIFS('Data nguồn'!J:J, 'Data nguồn'!D:D, $D107, 'Data nguồn'!F:F, $B$1, 'Data nguồn'!C:C, T$3)</f>
      </c>
      <c r="V107" s="3">
        <f>SUM(E107:P107)</f>
      </c>
      <c r="W107" s="3">
        <f>SUM(Q107:T107)</f>
      </c>
      <c r="X107" s="3">
        <f>AVERAGE(R107:T107)</f>
      </c>
      <c r="Y107" s="3">
        <f>AVERAGE(O107:T107)</f>
      </c>
      <c r="Z107" s="3">
        <f>AVERAGE(L107:T107)</f>
      </c>
      <c r="AA107" s="4">
        <f>IFERROR((X107*2)/(Y107+Z107), 0)</f>
      </c>
      <c r="AB107" s="4">
        <f>IFERROR(W107/SUM(E107:H107), 0)</f>
      </c>
      <c r="AC107" s="4">
        <f>IFERROR(W107/SUM(E107:H107), 0)</f>
      </c>
      <c r="AD107" s="4">
        <f>IFERROR(T107/H107, 0)</f>
      </c>
    </row>
    <row r="108" ht="20" customHeight="1" spans="1:30" x14ac:dyDescent="0.25">
      <c r="A108">
        <v>105</v>
      </c>
      <c r="B108" t="s">
        <v>271</v>
      </c>
      <c r="C108" t="s">
        <v>369</v>
      </c>
      <c r="D108" s="2" t="s">
        <v>271</v>
      </c>
      <c r="E108" s="3">
        <f>SUMIFS('Data nguồn'!J:J, 'Data nguồn'!D:D, $D108, 'Data nguồn'!F:F, $B$1, 'Data nguồn'!C:C, E$3)</f>
      </c>
      <c r="F108" s="3">
        <f>SUMIFS('Data nguồn'!J:J, 'Data nguồn'!D:D, $D108, 'Data nguồn'!F:F, $B$1, 'Data nguồn'!C:C, F$3)</f>
      </c>
      <c r="G108" s="3">
        <f>SUMIFS('Data nguồn'!J:J, 'Data nguồn'!D:D, $D108, 'Data nguồn'!F:F, $B$1, 'Data nguồn'!C:C, G$3)</f>
      </c>
      <c r="H108" s="3">
        <f>SUMIFS('Data nguồn'!J:J, 'Data nguồn'!D:D, $D108, 'Data nguồn'!F:F, $B$1, 'Data nguồn'!C:C, H$3)</f>
      </c>
      <c r="I108" s="3">
        <f>SUMIFS('Data nguồn'!J:J, 'Data nguồn'!D:D, $D108, 'Data nguồn'!F:F, $B$1, 'Data nguồn'!C:C, I$3)</f>
      </c>
      <c r="J108" s="3">
        <f>SUMIFS('Data nguồn'!J:J, 'Data nguồn'!D:D, $D108, 'Data nguồn'!F:F, $B$1, 'Data nguồn'!C:C, J$3)</f>
      </c>
      <c r="K108" s="3">
        <f>SUMIFS('Data nguồn'!J:J, 'Data nguồn'!D:D, $D108, 'Data nguồn'!F:F, $B$1, 'Data nguồn'!C:C, K$3)</f>
      </c>
      <c r="L108" s="3">
        <f>SUMIFS('Data nguồn'!J:J, 'Data nguồn'!D:D, $D108, 'Data nguồn'!F:F, $B$1, 'Data nguồn'!C:C, L$3)</f>
      </c>
      <c r="M108" s="3">
        <f>SUMIFS('Data nguồn'!J:J, 'Data nguồn'!D:D, $D108, 'Data nguồn'!F:F, $B$1, 'Data nguồn'!C:C, M$3)</f>
      </c>
      <c r="N108" s="3">
        <f>SUMIFS('Data nguồn'!J:J, 'Data nguồn'!D:D, $D108, 'Data nguồn'!F:F, $B$1, 'Data nguồn'!C:C, N$3)</f>
      </c>
      <c r="O108" s="3">
        <f>SUMIFS('Data nguồn'!J:J, 'Data nguồn'!D:D, $D108, 'Data nguồn'!F:F, $B$1, 'Data nguồn'!C:C, O$3)</f>
      </c>
      <c r="P108" s="3">
        <f>SUMIFS('Data nguồn'!J:J, 'Data nguồn'!D:D, $D108, 'Data nguồn'!F:F, $B$1, 'Data nguồn'!C:C, P$3)</f>
      </c>
      <c r="Q108" s="3">
        <f>SUMIFS('Data nguồn'!J:J, 'Data nguồn'!D:D, $D108, 'Data nguồn'!F:F, $B$1, 'Data nguồn'!C:C, Q$3)</f>
      </c>
      <c r="R108" s="3">
        <f>SUMIFS('Data nguồn'!J:J, 'Data nguồn'!D:D, $D108, 'Data nguồn'!F:F, $B$1, 'Data nguồn'!C:C, R$3)</f>
      </c>
      <c r="S108" s="3">
        <f>SUMIFS('Data nguồn'!J:J, 'Data nguồn'!D:D, $D108, 'Data nguồn'!F:F, $B$1, 'Data nguồn'!C:C, S$3)</f>
      </c>
      <c r="T108" s="3">
        <f>SUMIFS('Data nguồn'!J:J, 'Data nguồn'!D:D, $D108, 'Data nguồn'!F:F, $B$1, 'Data nguồn'!C:C, T$3)</f>
      </c>
      <c r="V108" s="3">
        <f>SUM(E108:P108)</f>
      </c>
      <c r="W108" s="3">
        <f>SUM(Q108:T108)</f>
      </c>
      <c r="X108" s="3">
        <f>AVERAGE(R108:T108)</f>
      </c>
      <c r="Y108" s="3">
        <f>AVERAGE(O108:T108)</f>
      </c>
      <c r="Z108" s="3">
        <f>AVERAGE(L108:T108)</f>
      </c>
      <c r="AA108" s="4">
        <f>IFERROR((X108*2)/(Y108+Z108), 0)</f>
      </c>
      <c r="AB108" s="4">
        <f>IFERROR(W108/SUM(E108:H108), 0)</f>
      </c>
      <c r="AC108" s="4">
        <f>IFERROR(W108/SUM(E108:H108), 0)</f>
      </c>
      <c r="AD108" s="4">
        <f>IFERROR(T108/H108, 0)</f>
      </c>
    </row>
    <row r="109" ht="20" customHeight="1" spans="1:30" x14ac:dyDescent="0.25">
      <c r="A109">
        <v>106</v>
      </c>
      <c r="B109" t="s">
        <v>272</v>
      </c>
      <c r="C109" t="s">
        <v>369</v>
      </c>
      <c r="D109" s="2" t="s">
        <v>272</v>
      </c>
      <c r="E109" s="3">
        <f>SUMIFS('Data nguồn'!J:J, 'Data nguồn'!D:D, $D109, 'Data nguồn'!F:F, $B$1, 'Data nguồn'!C:C, E$3)</f>
      </c>
      <c r="F109" s="3">
        <f>SUMIFS('Data nguồn'!J:J, 'Data nguồn'!D:D, $D109, 'Data nguồn'!F:F, $B$1, 'Data nguồn'!C:C, F$3)</f>
      </c>
      <c r="G109" s="3">
        <f>SUMIFS('Data nguồn'!J:J, 'Data nguồn'!D:D, $D109, 'Data nguồn'!F:F, $B$1, 'Data nguồn'!C:C, G$3)</f>
      </c>
      <c r="H109" s="3">
        <f>SUMIFS('Data nguồn'!J:J, 'Data nguồn'!D:D, $D109, 'Data nguồn'!F:F, $B$1, 'Data nguồn'!C:C, H$3)</f>
      </c>
      <c r="I109" s="3">
        <f>SUMIFS('Data nguồn'!J:J, 'Data nguồn'!D:D, $D109, 'Data nguồn'!F:F, $B$1, 'Data nguồn'!C:C, I$3)</f>
      </c>
      <c r="J109" s="3">
        <f>SUMIFS('Data nguồn'!J:J, 'Data nguồn'!D:D, $D109, 'Data nguồn'!F:F, $B$1, 'Data nguồn'!C:C, J$3)</f>
      </c>
      <c r="K109" s="3">
        <f>SUMIFS('Data nguồn'!J:J, 'Data nguồn'!D:D, $D109, 'Data nguồn'!F:F, $B$1, 'Data nguồn'!C:C, K$3)</f>
      </c>
      <c r="L109" s="3">
        <f>SUMIFS('Data nguồn'!J:J, 'Data nguồn'!D:D, $D109, 'Data nguồn'!F:F, $B$1, 'Data nguồn'!C:C, L$3)</f>
      </c>
      <c r="M109" s="3">
        <f>SUMIFS('Data nguồn'!J:J, 'Data nguồn'!D:D, $D109, 'Data nguồn'!F:F, $B$1, 'Data nguồn'!C:C, M$3)</f>
      </c>
      <c r="N109" s="3">
        <f>SUMIFS('Data nguồn'!J:J, 'Data nguồn'!D:D, $D109, 'Data nguồn'!F:F, $B$1, 'Data nguồn'!C:C, N$3)</f>
      </c>
      <c r="O109" s="3">
        <f>SUMIFS('Data nguồn'!J:J, 'Data nguồn'!D:D, $D109, 'Data nguồn'!F:F, $B$1, 'Data nguồn'!C:C, O$3)</f>
      </c>
      <c r="P109" s="3">
        <f>SUMIFS('Data nguồn'!J:J, 'Data nguồn'!D:D, $D109, 'Data nguồn'!F:F, $B$1, 'Data nguồn'!C:C, P$3)</f>
      </c>
      <c r="Q109" s="3">
        <f>SUMIFS('Data nguồn'!J:J, 'Data nguồn'!D:D, $D109, 'Data nguồn'!F:F, $B$1, 'Data nguồn'!C:C, Q$3)</f>
      </c>
      <c r="R109" s="3">
        <f>SUMIFS('Data nguồn'!J:J, 'Data nguồn'!D:D, $D109, 'Data nguồn'!F:F, $B$1, 'Data nguồn'!C:C, R$3)</f>
      </c>
      <c r="S109" s="3">
        <f>SUMIFS('Data nguồn'!J:J, 'Data nguồn'!D:D, $D109, 'Data nguồn'!F:F, $B$1, 'Data nguồn'!C:C, S$3)</f>
      </c>
      <c r="T109" s="3">
        <f>SUMIFS('Data nguồn'!J:J, 'Data nguồn'!D:D, $D109, 'Data nguồn'!F:F, $B$1, 'Data nguồn'!C:C, T$3)</f>
      </c>
      <c r="V109" s="3">
        <f>SUM(E109:P109)</f>
      </c>
      <c r="W109" s="3">
        <f>SUM(Q109:T109)</f>
      </c>
      <c r="X109" s="3">
        <f>AVERAGE(R109:T109)</f>
      </c>
      <c r="Y109" s="3">
        <f>AVERAGE(O109:T109)</f>
      </c>
      <c r="Z109" s="3">
        <f>AVERAGE(L109:T109)</f>
      </c>
      <c r="AA109" s="4">
        <f>IFERROR((X109*2)/(Y109+Z109), 0)</f>
      </c>
      <c r="AB109" s="4">
        <f>IFERROR(W109/SUM(E109:H109), 0)</f>
      </c>
      <c r="AC109" s="4">
        <f>IFERROR(W109/SUM(E109:H109), 0)</f>
      </c>
      <c r="AD109" s="4">
        <f>IFERROR(T109/H109, 0)</f>
      </c>
    </row>
    <row r="110" ht="20" customHeight="1" spans="1:30" x14ac:dyDescent="0.25">
      <c r="A110">
        <v>107</v>
      </c>
      <c r="B110" t="s">
        <v>273</v>
      </c>
      <c r="C110" t="s">
        <v>369</v>
      </c>
      <c r="D110" s="2" t="s">
        <v>273</v>
      </c>
      <c r="E110" s="3">
        <f>SUMIFS('Data nguồn'!J:J, 'Data nguồn'!D:D, $D110, 'Data nguồn'!F:F, $B$1, 'Data nguồn'!C:C, E$3)</f>
      </c>
      <c r="F110" s="3">
        <f>SUMIFS('Data nguồn'!J:J, 'Data nguồn'!D:D, $D110, 'Data nguồn'!F:F, $B$1, 'Data nguồn'!C:C, F$3)</f>
      </c>
      <c r="G110" s="3">
        <f>SUMIFS('Data nguồn'!J:J, 'Data nguồn'!D:D, $D110, 'Data nguồn'!F:F, $B$1, 'Data nguồn'!C:C, G$3)</f>
      </c>
      <c r="H110" s="3">
        <f>SUMIFS('Data nguồn'!J:J, 'Data nguồn'!D:D, $D110, 'Data nguồn'!F:F, $B$1, 'Data nguồn'!C:C, H$3)</f>
      </c>
      <c r="I110" s="3">
        <f>SUMIFS('Data nguồn'!J:J, 'Data nguồn'!D:D, $D110, 'Data nguồn'!F:F, $B$1, 'Data nguồn'!C:C, I$3)</f>
      </c>
      <c r="J110" s="3">
        <f>SUMIFS('Data nguồn'!J:J, 'Data nguồn'!D:D, $D110, 'Data nguồn'!F:F, $B$1, 'Data nguồn'!C:C, J$3)</f>
      </c>
      <c r="K110" s="3">
        <f>SUMIFS('Data nguồn'!J:J, 'Data nguồn'!D:D, $D110, 'Data nguồn'!F:F, $B$1, 'Data nguồn'!C:C, K$3)</f>
      </c>
      <c r="L110" s="3">
        <f>SUMIFS('Data nguồn'!J:J, 'Data nguồn'!D:D, $D110, 'Data nguồn'!F:F, $B$1, 'Data nguồn'!C:C, L$3)</f>
      </c>
      <c r="M110" s="3">
        <f>SUMIFS('Data nguồn'!J:J, 'Data nguồn'!D:D, $D110, 'Data nguồn'!F:F, $B$1, 'Data nguồn'!C:C, M$3)</f>
      </c>
      <c r="N110" s="3">
        <f>SUMIFS('Data nguồn'!J:J, 'Data nguồn'!D:D, $D110, 'Data nguồn'!F:F, $B$1, 'Data nguồn'!C:C, N$3)</f>
      </c>
      <c r="O110" s="3">
        <f>SUMIFS('Data nguồn'!J:J, 'Data nguồn'!D:D, $D110, 'Data nguồn'!F:F, $B$1, 'Data nguồn'!C:C, O$3)</f>
      </c>
      <c r="P110" s="3">
        <f>SUMIFS('Data nguồn'!J:J, 'Data nguồn'!D:D, $D110, 'Data nguồn'!F:F, $B$1, 'Data nguồn'!C:C, P$3)</f>
      </c>
      <c r="Q110" s="3">
        <f>SUMIFS('Data nguồn'!J:J, 'Data nguồn'!D:D, $D110, 'Data nguồn'!F:F, $B$1, 'Data nguồn'!C:C, Q$3)</f>
      </c>
      <c r="R110" s="3">
        <f>SUMIFS('Data nguồn'!J:J, 'Data nguồn'!D:D, $D110, 'Data nguồn'!F:F, $B$1, 'Data nguồn'!C:C, R$3)</f>
      </c>
      <c r="S110" s="3">
        <f>SUMIFS('Data nguồn'!J:J, 'Data nguồn'!D:D, $D110, 'Data nguồn'!F:F, $B$1, 'Data nguồn'!C:C, S$3)</f>
      </c>
      <c r="T110" s="3">
        <f>SUMIFS('Data nguồn'!J:J, 'Data nguồn'!D:D, $D110, 'Data nguồn'!F:F, $B$1, 'Data nguồn'!C:C, T$3)</f>
      </c>
      <c r="V110" s="3">
        <f>SUM(E110:P110)</f>
      </c>
      <c r="W110" s="3">
        <f>SUM(Q110:T110)</f>
      </c>
      <c r="X110" s="3">
        <f>AVERAGE(R110:T110)</f>
      </c>
      <c r="Y110" s="3">
        <f>AVERAGE(O110:T110)</f>
      </c>
      <c r="Z110" s="3">
        <f>AVERAGE(L110:T110)</f>
      </c>
      <c r="AA110" s="4">
        <f>IFERROR((X110*2)/(Y110+Z110), 0)</f>
      </c>
      <c r="AB110" s="4">
        <f>IFERROR(W110/SUM(E110:H110), 0)</f>
      </c>
      <c r="AC110" s="4">
        <f>IFERROR(W110/SUM(E110:H110), 0)</f>
      </c>
      <c r="AD110" s="4">
        <f>IFERROR(T110/H110, 0)</f>
      </c>
    </row>
    <row r="111" ht="20" customHeight="1" spans="1:30" x14ac:dyDescent="0.25">
      <c r="A111">
        <v>108</v>
      </c>
      <c r="B111" t="s">
        <v>274</v>
      </c>
      <c r="C111" t="s">
        <v>369</v>
      </c>
      <c r="D111" s="2" t="s">
        <v>274</v>
      </c>
      <c r="E111" s="3">
        <f>SUMIFS('Data nguồn'!J:J, 'Data nguồn'!D:D, $D111, 'Data nguồn'!F:F, $B$1, 'Data nguồn'!C:C, E$3)</f>
      </c>
      <c r="F111" s="3">
        <f>SUMIFS('Data nguồn'!J:J, 'Data nguồn'!D:D, $D111, 'Data nguồn'!F:F, $B$1, 'Data nguồn'!C:C, F$3)</f>
      </c>
      <c r="G111" s="3">
        <f>SUMIFS('Data nguồn'!J:J, 'Data nguồn'!D:D, $D111, 'Data nguồn'!F:F, $B$1, 'Data nguồn'!C:C, G$3)</f>
      </c>
      <c r="H111" s="3">
        <f>SUMIFS('Data nguồn'!J:J, 'Data nguồn'!D:D, $D111, 'Data nguồn'!F:F, $B$1, 'Data nguồn'!C:C, H$3)</f>
      </c>
      <c r="I111" s="3">
        <f>SUMIFS('Data nguồn'!J:J, 'Data nguồn'!D:D, $D111, 'Data nguồn'!F:F, $B$1, 'Data nguồn'!C:C, I$3)</f>
      </c>
      <c r="J111" s="3">
        <f>SUMIFS('Data nguồn'!J:J, 'Data nguồn'!D:D, $D111, 'Data nguồn'!F:F, $B$1, 'Data nguồn'!C:C, J$3)</f>
      </c>
      <c r="K111" s="3">
        <f>SUMIFS('Data nguồn'!J:J, 'Data nguồn'!D:D, $D111, 'Data nguồn'!F:F, $B$1, 'Data nguồn'!C:C, K$3)</f>
      </c>
      <c r="L111" s="3">
        <f>SUMIFS('Data nguồn'!J:J, 'Data nguồn'!D:D, $D111, 'Data nguồn'!F:F, $B$1, 'Data nguồn'!C:C, L$3)</f>
      </c>
      <c r="M111" s="3">
        <f>SUMIFS('Data nguồn'!J:J, 'Data nguồn'!D:D, $D111, 'Data nguồn'!F:F, $B$1, 'Data nguồn'!C:C, M$3)</f>
      </c>
      <c r="N111" s="3">
        <f>SUMIFS('Data nguồn'!J:J, 'Data nguồn'!D:D, $D111, 'Data nguồn'!F:F, $B$1, 'Data nguồn'!C:C, N$3)</f>
      </c>
      <c r="O111" s="3">
        <f>SUMIFS('Data nguồn'!J:J, 'Data nguồn'!D:D, $D111, 'Data nguồn'!F:F, $B$1, 'Data nguồn'!C:C, O$3)</f>
      </c>
      <c r="P111" s="3">
        <f>SUMIFS('Data nguồn'!J:J, 'Data nguồn'!D:D, $D111, 'Data nguồn'!F:F, $B$1, 'Data nguồn'!C:C, P$3)</f>
      </c>
      <c r="Q111" s="3">
        <f>SUMIFS('Data nguồn'!J:J, 'Data nguồn'!D:D, $D111, 'Data nguồn'!F:F, $B$1, 'Data nguồn'!C:C, Q$3)</f>
      </c>
      <c r="R111" s="3">
        <f>SUMIFS('Data nguồn'!J:J, 'Data nguồn'!D:D, $D111, 'Data nguồn'!F:F, $B$1, 'Data nguồn'!C:C, R$3)</f>
      </c>
      <c r="S111" s="3">
        <f>SUMIFS('Data nguồn'!J:J, 'Data nguồn'!D:D, $D111, 'Data nguồn'!F:F, $B$1, 'Data nguồn'!C:C, S$3)</f>
      </c>
      <c r="T111" s="3">
        <f>SUMIFS('Data nguồn'!J:J, 'Data nguồn'!D:D, $D111, 'Data nguồn'!F:F, $B$1, 'Data nguồn'!C:C, T$3)</f>
      </c>
      <c r="V111" s="3">
        <f>SUM(E111:P111)</f>
      </c>
      <c r="W111" s="3">
        <f>SUM(Q111:T111)</f>
      </c>
      <c r="X111" s="3">
        <f>AVERAGE(R111:T111)</f>
      </c>
      <c r="Y111" s="3">
        <f>AVERAGE(O111:T111)</f>
      </c>
      <c r="Z111" s="3">
        <f>AVERAGE(L111:T111)</f>
      </c>
      <c r="AA111" s="4">
        <f>IFERROR((X111*2)/(Y111+Z111), 0)</f>
      </c>
      <c r="AB111" s="4">
        <f>IFERROR(W111/SUM(E111:H111), 0)</f>
      </c>
      <c r="AC111" s="4">
        <f>IFERROR(W111/SUM(E111:H111), 0)</f>
      </c>
      <c r="AD111" s="4">
        <f>IFERROR(T111/H111, 0)</f>
      </c>
    </row>
    <row r="112" ht="20" customHeight="1" spans="1:30" x14ac:dyDescent="0.25">
      <c r="A112">
        <v>109</v>
      </c>
      <c r="B112" t="s">
        <v>275</v>
      </c>
      <c r="C112" t="s">
        <v>369</v>
      </c>
      <c r="D112" s="2" t="s">
        <v>275</v>
      </c>
      <c r="E112" s="3">
        <f>SUMIFS('Data nguồn'!J:J, 'Data nguồn'!D:D, $D112, 'Data nguồn'!F:F, $B$1, 'Data nguồn'!C:C, E$3)</f>
      </c>
      <c r="F112" s="3">
        <f>SUMIFS('Data nguồn'!J:J, 'Data nguồn'!D:D, $D112, 'Data nguồn'!F:F, $B$1, 'Data nguồn'!C:C, F$3)</f>
      </c>
      <c r="G112" s="3">
        <f>SUMIFS('Data nguồn'!J:J, 'Data nguồn'!D:D, $D112, 'Data nguồn'!F:F, $B$1, 'Data nguồn'!C:C, G$3)</f>
      </c>
      <c r="H112" s="3">
        <f>SUMIFS('Data nguồn'!J:J, 'Data nguồn'!D:D, $D112, 'Data nguồn'!F:F, $B$1, 'Data nguồn'!C:C, H$3)</f>
      </c>
      <c r="I112" s="3">
        <f>SUMIFS('Data nguồn'!J:J, 'Data nguồn'!D:D, $D112, 'Data nguồn'!F:F, $B$1, 'Data nguồn'!C:C, I$3)</f>
      </c>
      <c r="J112" s="3">
        <f>SUMIFS('Data nguồn'!J:J, 'Data nguồn'!D:D, $D112, 'Data nguồn'!F:F, $B$1, 'Data nguồn'!C:C, J$3)</f>
      </c>
      <c r="K112" s="3">
        <f>SUMIFS('Data nguồn'!J:J, 'Data nguồn'!D:D, $D112, 'Data nguồn'!F:F, $B$1, 'Data nguồn'!C:C, K$3)</f>
      </c>
      <c r="L112" s="3">
        <f>SUMIFS('Data nguồn'!J:J, 'Data nguồn'!D:D, $D112, 'Data nguồn'!F:F, $B$1, 'Data nguồn'!C:C, L$3)</f>
      </c>
      <c r="M112" s="3">
        <f>SUMIFS('Data nguồn'!J:J, 'Data nguồn'!D:D, $D112, 'Data nguồn'!F:F, $B$1, 'Data nguồn'!C:C, M$3)</f>
      </c>
      <c r="N112" s="3">
        <f>SUMIFS('Data nguồn'!J:J, 'Data nguồn'!D:D, $D112, 'Data nguồn'!F:F, $B$1, 'Data nguồn'!C:C, N$3)</f>
      </c>
      <c r="O112" s="3">
        <f>SUMIFS('Data nguồn'!J:J, 'Data nguồn'!D:D, $D112, 'Data nguồn'!F:F, $B$1, 'Data nguồn'!C:C, O$3)</f>
      </c>
      <c r="P112" s="3">
        <f>SUMIFS('Data nguồn'!J:J, 'Data nguồn'!D:D, $D112, 'Data nguồn'!F:F, $B$1, 'Data nguồn'!C:C, P$3)</f>
      </c>
      <c r="Q112" s="3">
        <f>SUMIFS('Data nguồn'!J:J, 'Data nguồn'!D:D, $D112, 'Data nguồn'!F:F, $B$1, 'Data nguồn'!C:C, Q$3)</f>
      </c>
      <c r="R112" s="3">
        <f>SUMIFS('Data nguồn'!J:J, 'Data nguồn'!D:D, $D112, 'Data nguồn'!F:F, $B$1, 'Data nguồn'!C:C, R$3)</f>
      </c>
      <c r="S112" s="3">
        <f>SUMIFS('Data nguồn'!J:J, 'Data nguồn'!D:D, $D112, 'Data nguồn'!F:F, $B$1, 'Data nguồn'!C:C, S$3)</f>
      </c>
      <c r="T112" s="3">
        <f>SUMIFS('Data nguồn'!J:J, 'Data nguồn'!D:D, $D112, 'Data nguồn'!F:F, $B$1, 'Data nguồn'!C:C, T$3)</f>
      </c>
      <c r="V112" s="3">
        <f>SUM(E112:P112)</f>
      </c>
      <c r="W112" s="3">
        <f>SUM(Q112:T112)</f>
      </c>
      <c r="X112" s="3">
        <f>AVERAGE(R112:T112)</f>
      </c>
      <c r="Y112" s="3">
        <f>AVERAGE(O112:T112)</f>
      </c>
      <c r="Z112" s="3">
        <f>AVERAGE(L112:T112)</f>
      </c>
      <c r="AA112" s="4">
        <f>IFERROR((X112*2)/(Y112+Z112), 0)</f>
      </c>
      <c r="AB112" s="4">
        <f>IFERROR(W112/SUM(E112:H112), 0)</f>
      </c>
      <c r="AC112" s="4">
        <f>IFERROR(W112/SUM(E112:H112), 0)</f>
      </c>
      <c r="AD112" s="4">
        <f>IFERROR(T112/H112, 0)</f>
      </c>
    </row>
    <row r="113" ht="20" customHeight="1" spans="1:30" x14ac:dyDescent="0.25">
      <c r="A113">
        <v>110</v>
      </c>
      <c r="B113" t="s">
        <v>276</v>
      </c>
      <c r="C113" t="s">
        <v>369</v>
      </c>
      <c r="D113" s="2" t="s">
        <v>276</v>
      </c>
      <c r="E113" s="3">
        <f>SUMIFS('Data nguồn'!J:J, 'Data nguồn'!D:D, $D113, 'Data nguồn'!F:F, $B$1, 'Data nguồn'!C:C, E$3)</f>
      </c>
      <c r="F113" s="3">
        <f>SUMIFS('Data nguồn'!J:J, 'Data nguồn'!D:D, $D113, 'Data nguồn'!F:F, $B$1, 'Data nguồn'!C:C, F$3)</f>
      </c>
      <c r="G113" s="3">
        <f>SUMIFS('Data nguồn'!J:J, 'Data nguồn'!D:D, $D113, 'Data nguồn'!F:F, $B$1, 'Data nguồn'!C:C, G$3)</f>
      </c>
      <c r="H113" s="3">
        <f>SUMIFS('Data nguồn'!J:J, 'Data nguồn'!D:D, $D113, 'Data nguồn'!F:F, $B$1, 'Data nguồn'!C:C, H$3)</f>
      </c>
      <c r="I113" s="3">
        <f>SUMIFS('Data nguồn'!J:J, 'Data nguồn'!D:D, $D113, 'Data nguồn'!F:F, $B$1, 'Data nguồn'!C:C, I$3)</f>
      </c>
      <c r="J113" s="3">
        <f>SUMIFS('Data nguồn'!J:J, 'Data nguồn'!D:D, $D113, 'Data nguồn'!F:F, $B$1, 'Data nguồn'!C:C, J$3)</f>
      </c>
      <c r="K113" s="3">
        <f>SUMIFS('Data nguồn'!J:J, 'Data nguồn'!D:D, $D113, 'Data nguồn'!F:F, $B$1, 'Data nguồn'!C:C, K$3)</f>
      </c>
      <c r="L113" s="3">
        <f>SUMIFS('Data nguồn'!J:J, 'Data nguồn'!D:D, $D113, 'Data nguồn'!F:F, $B$1, 'Data nguồn'!C:C, L$3)</f>
      </c>
      <c r="M113" s="3">
        <f>SUMIFS('Data nguồn'!J:J, 'Data nguồn'!D:D, $D113, 'Data nguồn'!F:F, $B$1, 'Data nguồn'!C:C, M$3)</f>
      </c>
      <c r="N113" s="3">
        <f>SUMIFS('Data nguồn'!J:J, 'Data nguồn'!D:D, $D113, 'Data nguồn'!F:F, $B$1, 'Data nguồn'!C:C, N$3)</f>
      </c>
      <c r="O113" s="3">
        <f>SUMIFS('Data nguồn'!J:J, 'Data nguồn'!D:D, $D113, 'Data nguồn'!F:F, $B$1, 'Data nguồn'!C:C, O$3)</f>
      </c>
      <c r="P113" s="3">
        <f>SUMIFS('Data nguồn'!J:J, 'Data nguồn'!D:D, $D113, 'Data nguồn'!F:F, $B$1, 'Data nguồn'!C:C, P$3)</f>
      </c>
      <c r="Q113" s="3">
        <f>SUMIFS('Data nguồn'!J:J, 'Data nguồn'!D:D, $D113, 'Data nguồn'!F:F, $B$1, 'Data nguồn'!C:C, Q$3)</f>
      </c>
      <c r="R113" s="3">
        <f>SUMIFS('Data nguồn'!J:J, 'Data nguồn'!D:D, $D113, 'Data nguồn'!F:F, $B$1, 'Data nguồn'!C:C, R$3)</f>
      </c>
      <c r="S113" s="3">
        <f>SUMIFS('Data nguồn'!J:J, 'Data nguồn'!D:D, $D113, 'Data nguồn'!F:F, $B$1, 'Data nguồn'!C:C, S$3)</f>
      </c>
      <c r="T113" s="3">
        <f>SUMIFS('Data nguồn'!J:J, 'Data nguồn'!D:D, $D113, 'Data nguồn'!F:F, $B$1, 'Data nguồn'!C:C, T$3)</f>
      </c>
      <c r="V113" s="3">
        <f>SUM(E113:P113)</f>
      </c>
      <c r="W113" s="3">
        <f>SUM(Q113:T113)</f>
      </c>
      <c r="X113" s="3">
        <f>AVERAGE(R113:T113)</f>
      </c>
      <c r="Y113" s="3">
        <f>AVERAGE(O113:T113)</f>
      </c>
      <c r="Z113" s="3">
        <f>AVERAGE(L113:T113)</f>
      </c>
      <c r="AA113" s="4">
        <f>IFERROR((X113*2)/(Y113+Z113), 0)</f>
      </c>
      <c r="AB113" s="4">
        <f>IFERROR(W113/SUM(E113:H113), 0)</f>
      </c>
      <c r="AC113" s="4">
        <f>IFERROR(W113/SUM(E113:H113), 0)</f>
      </c>
      <c r="AD113" s="4">
        <f>IFERROR(T113/H113, 0)</f>
      </c>
    </row>
    <row r="114" ht="20" customHeight="1" spans="1:30" x14ac:dyDescent="0.25">
      <c r="A114">
        <v>111</v>
      </c>
      <c r="B114" t="s">
        <v>277</v>
      </c>
      <c r="C114" t="s">
        <v>369</v>
      </c>
      <c r="D114" s="2" t="s">
        <v>277</v>
      </c>
      <c r="E114" s="3">
        <f>SUMIFS('Data nguồn'!J:J, 'Data nguồn'!D:D, $D114, 'Data nguồn'!F:F, $B$1, 'Data nguồn'!C:C, E$3)</f>
      </c>
      <c r="F114" s="3">
        <f>SUMIFS('Data nguồn'!J:J, 'Data nguồn'!D:D, $D114, 'Data nguồn'!F:F, $B$1, 'Data nguồn'!C:C, F$3)</f>
      </c>
      <c r="G114" s="3">
        <f>SUMIFS('Data nguồn'!J:J, 'Data nguồn'!D:D, $D114, 'Data nguồn'!F:F, $B$1, 'Data nguồn'!C:C, G$3)</f>
      </c>
      <c r="H114" s="3">
        <f>SUMIFS('Data nguồn'!J:J, 'Data nguồn'!D:D, $D114, 'Data nguồn'!F:F, $B$1, 'Data nguồn'!C:C, H$3)</f>
      </c>
      <c r="I114" s="3">
        <f>SUMIFS('Data nguồn'!J:J, 'Data nguồn'!D:D, $D114, 'Data nguồn'!F:F, $B$1, 'Data nguồn'!C:C, I$3)</f>
      </c>
      <c r="J114" s="3">
        <f>SUMIFS('Data nguồn'!J:J, 'Data nguồn'!D:D, $D114, 'Data nguồn'!F:F, $B$1, 'Data nguồn'!C:C, J$3)</f>
      </c>
      <c r="K114" s="3">
        <f>SUMIFS('Data nguồn'!J:J, 'Data nguồn'!D:D, $D114, 'Data nguồn'!F:F, $B$1, 'Data nguồn'!C:C, K$3)</f>
      </c>
      <c r="L114" s="3">
        <f>SUMIFS('Data nguồn'!J:J, 'Data nguồn'!D:D, $D114, 'Data nguồn'!F:F, $B$1, 'Data nguồn'!C:C, L$3)</f>
      </c>
      <c r="M114" s="3">
        <f>SUMIFS('Data nguồn'!J:J, 'Data nguồn'!D:D, $D114, 'Data nguồn'!F:F, $B$1, 'Data nguồn'!C:C, M$3)</f>
      </c>
      <c r="N114" s="3">
        <f>SUMIFS('Data nguồn'!J:J, 'Data nguồn'!D:D, $D114, 'Data nguồn'!F:F, $B$1, 'Data nguồn'!C:C, N$3)</f>
      </c>
      <c r="O114" s="3">
        <f>SUMIFS('Data nguồn'!J:J, 'Data nguồn'!D:D, $D114, 'Data nguồn'!F:F, $B$1, 'Data nguồn'!C:C, O$3)</f>
      </c>
      <c r="P114" s="3">
        <f>SUMIFS('Data nguồn'!J:J, 'Data nguồn'!D:D, $D114, 'Data nguồn'!F:F, $B$1, 'Data nguồn'!C:C, P$3)</f>
      </c>
      <c r="Q114" s="3">
        <f>SUMIFS('Data nguồn'!J:J, 'Data nguồn'!D:D, $D114, 'Data nguồn'!F:F, $B$1, 'Data nguồn'!C:C, Q$3)</f>
      </c>
      <c r="R114" s="3">
        <f>SUMIFS('Data nguồn'!J:J, 'Data nguồn'!D:D, $D114, 'Data nguồn'!F:F, $B$1, 'Data nguồn'!C:C, R$3)</f>
      </c>
      <c r="S114" s="3">
        <f>SUMIFS('Data nguồn'!J:J, 'Data nguồn'!D:D, $D114, 'Data nguồn'!F:F, $B$1, 'Data nguồn'!C:C, S$3)</f>
      </c>
      <c r="T114" s="3">
        <f>SUMIFS('Data nguồn'!J:J, 'Data nguồn'!D:D, $D114, 'Data nguồn'!F:F, $B$1, 'Data nguồn'!C:C, T$3)</f>
      </c>
      <c r="V114" s="3">
        <f>SUM(E114:P114)</f>
      </c>
      <c r="W114" s="3">
        <f>SUM(Q114:T114)</f>
      </c>
      <c r="X114" s="3">
        <f>AVERAGE(R114:T114)</f>
      </c>
      <c r="Y114" s="3">
        <f>AVERAGE(O114:T114)</f>
      </c>
      <c r="Z114" s="3">
        <f>AVERAGE(L114:T114)</f>
      </c>
      <c r="AA114" s="4">
        <f>IFERROR((X114*2)/(Y114+Z114), 0)</f>
      </c>
      <c r="AB114" s="4">
        <f>IFERROR(W114/SUM(E114:H114), 0)</f>
      </c>
      <c r="AC114" s="4">
        <f>IFERROR(W114/SUM(E114:H114), 0)</f>
      </c>
      <c r="AD114" s="4">
        <f>IFERROR(T114/H114, 0)</f>
      </c>
    </row>
    <row r="115" ht="20" customHeight="1" spans="1:30" x14ac:dyDescent="0.25">
      <c r="A115">
        <v>112</v>
      </c>
      <c r="B115" t="s">
        <v>278</v>
      </c>
      <c r="C115" t="s">
        <v>369</v>
      </c>
      <c r="D115" s="2" t="s">
        <v>278</v>
      </c>
      <c r="E115" s="3">
        <f>SUMIFS('Data nguồn'!J:J, 'Data nguồn'!D:D, $D115, 'Data nguồn'!F:F, $B$1, 'Data nguồn'!C:C, E$3)</f>
      </c>
      <c r="F115" s="3">
        <f>SUMIFS('Data nguồn'!J:J, 'Data nguồn'!D:D, $D115, 'Data nguồn'!F:F, $B$1, 'Data nguồn'!C:C, F$3)</f>
      </c>
      <c r="G115" s="3">
        <f>SUMIFS('Data nguồn'!J:J, 'Data nguồn'!D:D, $D115, 'Data nguồn'!F:F, $B$1, 'Data nguồn'!C:C, G$3)</f>
      </c>
      <c r="H115" s="3">
        <f>SUMIFS('Data nguồn'!J:J, 'Data nguồn'!D:D, $D115, 'Data nguồn'!F:F, $B$1, 'Data nguồn'!C:C, H$3)</f>
      </c>
      <c r="I115" s="3">
        <f>SUMIFS('Data nguồn'!J:J, 'Data nguồn'!D:D, $D115, 'Data nguồn'!F:F, $B$1, 'Data nguồn'!C:C, I$3)</f>
      </c>
      <c r="J115" s="3">
        <f>SUMIFS('Data nguồn'!J:J, 'Data nguồn'!D:D, $D115, 'Data nguồn'!F:F, $B$1, 'Data nguồn'!C:C, J$3)</f>
      </c>
      <c r="K115" s="3">
        <f>SUMIFS('Data nguồn'!J:J, 'Data nguồn'!D:D, $D115, 'Data nguồn'!F:F, $B$1, 'Data nguồn'!C:C, K$3)</f>
      </c>
      <c r="L115" s="3">
        <f>SUMIFS('Data nguồn'!J:J, 'Data nguồn'!D:D, $D115, 'Data nguồn'!F:F, $B$1, 'Data nguồn'!C:C, L$3)</f>
      </c>
      <c r="M115" s="3">
        <f>SUMIFS('Data nguồn'!J:J, 'Data nguồn'!D:D, $D115, 'Data nguồn'!F:F, $B$1, 'Data nguồn'!C:C, M$3)</f>
      </c>
      <c r="N115" s="3">
        <f>SUMIFS('Data nguồn'!J:J, 'Data nguồn'!D:D, $D115, 'Data nguồn'!F:F, $B$1, 'Data nguồn'!C:C, N$3)</f>
      </c>
      <c r="O115" s="3">
        <f>SUMIFS('Data nguồn'!J:J, 'Data nguồn'!D:D, $D115, 'Data nguồn'!F:F, $B$1, 'Data nguồn'!C:C, O$3)</f>
      </c>
      <c r="P115" s="3">
        <f>SUMIFS('Data nguồn'!J:J, 'Data nguồn'!D:D, $D115, 'Data nguồn'!F:F, $B$1, 'Data nguồn'!C:C, P$3)</f>
      </c>
      <c r="Q115" s="3">
        <f>SUMIFS('Data nguồn'!J:J, 'Data nguồn'!D:D, $D115, 'Data nguồn'!F:F, $B$1, 'Data nguồn'!C:C, Q$3)</f>
      </c>
      <c r="R115" s="3">
        <f>SUMIFS('Data nguồn'!J:J, 'Data nguồn'!D:D, $D115, 'Data nguồn'!F:F, $B$1, 'Data nguồn'!C:C, R$3)</f>
      </c>
      <c r="S115" s="3">
        <f>SUMIFS('Data nguồn'!J:J, 'Data nguồn'!D:D, $D115, 'Data nguồn'!F:F, $B$1, 'Data nguồn'!C:C, S$3)</f>
      </c>
      <c r="T115" s="3">
        <f>SUMIFS('Data nguồn'!J:J, 'Data nguồn'!D:D, $D115, 'Data nguồn'!F:F, $B$1, 'Data nguồn'!C:C, T$3)</f>
      </c>
      <c r="V115" s="3">
        <f>SUM(E115:P115)</f>
      </c>
      <c r="W115" s="3">
        <f>SUM(Q115:T115)</f>
      </c>
      <c r="X115" s="3">
        <f>AVERAGE(R115:T115)</f>
      </c>
      <c r="Y115" s="3">
        <f>AVERAGE(O115:T115)</f>
      </c>
      <c r="Z115" s="3">
        <f>AVERAGE(L115:T115)</f>
      </c>
      <c r="AA115" s="4">
        <f>IFERROR((X115*2)/(Y115+Z115), 0)</f>
      </c>
      <c r="AB115" s="4">
        <f>IFERROR(W115/SUM(E115:H115), 0)</f>
      </c>
      <c r="AC115" s="4">
        <f>IFERROR(W115/SUM(E115:H115), 0)</f>
      </c>
      <c r="AD115" s="4">
        <f>IFERROR(T115/H115, 0)</f>
      </c>
    </row>
    <row r="116" ht="20" customHeight="1" spans="1:30" x14ac:dyDescent="0.25">
      <c r="A116">
        <v>113</v>
      </c>
      <c r="B116" t="s">
        <v>279</v>
      </c>
      <c r="C116" t="s">
        <v>369</v>
      </c>
      <c r="D116" s="2" t="s">
        <v>279</v>
      </c>
      <c r="E116" s="3">
        <f>SUMIFS('Data nguồn'!J:J, 'Data nguồn'!D:D, $D116, 'Data nguồn'!F:F, $B$1, 'Data nguồn'!C:C, E$3)</f>
      </c>
      <c r="F116" s="3">
        <f>SUMIFS('Data nguồn'!J:J, 'Data nguồn'!D:D, $D116, 'Data nguồn'!F:F, $B$1, 'Data nguồn'!C:C, F$3)</f>
      </c>
      <c r="G116" s="3">
        <f>SUMIFS('Data nguồn'!J:J, 'Data nguồn'!D:D, $D116, 'Data nguồn'!F:F, $B$1, 'Data nguồn'!C:C, G$3)</f>
      </c>
      <c r="H116" s="3">
        <f>SUMIFS('Data nguồn'!J:J, 'Data nguồn'!D:D, $D116, 'Data nguồn'!F:F, $B$1, 'Data nguồn'!C:C, H$3)</f>
      </c>
      <c r="I116" s="3">
        <f>SUMIFS('Data nguồn'!J:J, 'Data nguồn'!D:D, $D116, 'Data nguồn'!F:F, $B$1, 'Data nguồn'!C:C, I$3)</f>
      </c>
      <c r="J116" s="3">
        <f>SUMIFS('Data nguồn'!J:J, 'Data nguồn'!D:D, $D116, 'Data nguồn'!F:F, $B$1, 'Data nguồn'!C:C, J$3)</f>
      </c>
      <c r="K116" s="3">
        <f>SUMIFS('Data nguồn'!J:J, 'Data nguồn'!D:D, $D116, 'Data nguồn'!F:F, $B$1, 'Data nguồn'!C:C, K$3)</f>
      </c>
      <c r="L116" s="3">
        <f>SUMIFS('Data nguồn'!J:J, 'Data nguồn'!D:D, $D116, 'Data nguồn'!F:F, $B$1, 'Data nguồn'!C:C, L$3)</f>
      </c>
      <c r="M116" s="3">
        <f>SUMIFS('Data nguồn'!J:J, 'Data nguồn'!D:D, $D116, 'Data nguồn'!F:F, $B$1, 'Data nguồn'!C:C, M$3)</f>
      </c>
      <c r="N116" s="3">
        <f>SUMIFS('Data nguồn'!J:J, 'Data nguồn'!D:D, $D116, 'Data nguồn'!F:F, $B$1, 'Data nguồn'!C:C, N$3)</f>
      </c>
      <c r="O116" s="3">
        <f>SUMIFS('Data nguồn'!J:J, 'Data nguồn'!D:D, $D116, 'Data nguồn'!F:F, $B$1, 'Data nguồn'!C:C, O$3)</f>
      </c>
      <c r="P116" s="3">
        <f>SUMIFS('Data nguồn'!J:J, 'Data nguồn'!D:D, $D116, 'Data nguồn'!F:F, $B$1, 'Data nguồn'!C:C, P$3)</f>
      </c>
      <c r="Q116" s="3">
        <f>SUMIFS('Data nguồn'!J:J, 'Data nguồn'!D:D, $D116, 'Data nguồn'!F:F, $B$1, 'Data nguồn'!C:C, Q$3)</f>
      </c>
      <c r="R116" s="3">
        <f>SUMIFS('Data nguồn'!J:J, 'Data nguồn'!D:D, $D116, 'Data nguồn'!F:F, $B$1, 'Data nguồn'!C:C, R$3)</f>
      </c>
      <c r="S116" s="3">
        <f>SUMIFS('Data nguồn'!J:J, 'Data nguồn'!D:D, $D116, 'Data nguồn'!F:F, $B$1, 'Data nguồn'!C:C, S$3)</f>
      </c>
      <c r="T116" s="3">
        <f>SUMIFS('Data nguồn'!J:J, 'Data nguồn'!D:D, $D116, 'Data nguồn'!F:F, $B$1, 'Data nguồn'!C:C, T$3)</f>
      </c>
      <c r="V116" s="3">
        <f>SUM(E116:P116)</f>
      </c>
      <c r="W116" s="3">
        <f>SUM(Q116:T116)</f>
      </c>
      <c r="X116" s="3">
        <f>AVERAGE(R116:T116)</f>
      </c>
      <c r="Y116" s="3">
        <f>AVERAGE(O116:T116)</f>
      </c>
      <c r="Z116" s="3">
        <f>AVERAGE(L116:T116)</f>
      </c>
      <c r="AA116" s="4">
        <f>IFERROR((X116*2)/(Y116+Z116), 0)</f>
      </c>
      <c r="AB116" s="4">
        <f>IFERROR(W116/SUM(E116:H116), 0)</f>
      </c>
      <c r="AC116" s="4">
        <f>IFERROR(W116/SUM(E116:H116), 0)</f>
      </c>
      <c r="AD116" s="4">
        <f>IFERROR(T116/H116, 0)</f>
      </c>
    </row>
    <row r="117" ht="20" customHeight="1" spans="1:30" x14ac:dyDescent="0.25">
      <c r="A117">
        <v>114</v>
      </c>
      <c r="B117" t="s">
        <v>280</v>
      </c>
      <c r="C117" t="s">
        <v>369</v>
      </c>
      <c r="D117" s="2" t="s">
        <v>280</v>
      </c>
      <c r="E117" s="3">
        <f>SUMIFS('Data nguồn'!J:J, 'Data nguồn'!D:D, $D117, 'Data nguồn'!F:F, $B$1, 'Data nguồn'!C:C, E$3)</f>
      </c>
      <c r="F117" s="3">
        <f>SUMIFS('Data nguồn'!J:J, 'Data nguồn'!D:D, $D117, 'Data nguồn'!F:F, $B$1, 'Data nguồn'!C:C, F$3)</f>
      </c>
      <c r="G117" s="3">
        <f>SUMIFS('Data nguồn'!J:J, 'Data nguồn'!D:D, $D117, 'Data nguồn'!F:F, $B$1, 'Data nguồn'!C:C, G$3)</f>
      </c>
      <c r="H117" s="3">
        <f>SUMIFS('Data nguồn'!J:J, 'Data nguồn'!D:D, $D117, 'Data nguồn'!F:F, $B$1, 'Data nguồn'!C:C, H$3)</f>
      </c>
      <c r="I117" s="3">
        <f>SUMIFS('Data nguồn'!J:J, 'Data nguồn'!D:D, $D117, 'Data nguồn'!F:F, $B$1, 'Data nguồn'!C:C, I$3)</f>
      </c>
      <c r="J117" s="3">
        <f>SUMIFS('Data nguồn'!J:J, 'Data nguồn'!D:D, $D117, 'Data nguồn'!F:F, $B$1, 'Data nguồn'!C:C, J$3)</f>
      </c>
      <c r="K117" s="3">
        <f>SUMIFS('Data nguồn'!J:J, 'Data nguồn'!D:D, $D117, 'Data nguồn'!F:F, $B$1, 'Data nguồn'!C:C, K$3)</f>
      </c>
      <c r="L117" s="3">
        <f>SUMIFS('Data nguồn'!J:J, 'Data nguồn'!D:D, $D117, 'Data nguồn'!F:F, $B$1, 'Data nguồn'!C:C, L$3)</f>
      </c>
      <c r="M117" s="3">
        <f>SUMIFS('Data nguồn'!J:J, 'Data nguồn'!D:D, $D117, 'Data nguồn'!F:F, $B$1, 'Data nguồn'!C:C, M$3)</f>
      </c>
      <c r="N117" s="3">
        <f>SUMIFS('Data nguồn'!J:J, 'Data nguồn'!D:D, $D117, 'Data nguồn'!F:F, $B$1, 'Data nguồn'!C:C, N$3)</f>
      </c>
      <c r="O117" s="3">
        <f>SUMIFS('Data nguồn'!J:J, 'Data nguồn'!D:D, $D117, 'Data nguồn'!F:F, $B$1, 'Data nguồn'!C:C, O$3)</f>
      </c>
      <c r="P117" s="3">
        <f>SUMIFS('Data nguồn'!J:J, 'Data nguồn'!D:D, $D117, 'Data nguồn'!F:F, $B$1, 'Data nguồn'!C:C, P$3)</f>
      </c>
      <c r="Q117" s="3">
        <f>SUMIFS('Data nguồn'!J:J, 'Data nguồn'!D:D, $D117, 'Data nguồn'!F:F, $B$1, 'Data nguồn'!C:C, Q$3)</f>
      </c>
      <c r="R117" s="3">
        <f>SUMIFS('Data nguồn'!J:J, 'Data nguồn'!D:D, $D117, 'Data nguồn'!F:F, $B$1, 'Data nguồn'!C:C, R$3)</f>
      </c>
      <c r="S117" s="3">
        <f>SUMIFS('Data nguồn'!J:J, 'Data nguồn'!D:D, $D117, 'Data nguồn'!F:F, $B$1, 'Data nguồn'!C:C, S$3)</f>
      </c>
      <c r="T117" s="3">
        <f>SUMIFS('Data nguồn'!J:J, 'Data nguồn'!D:D, $D117, 'Data nguồn'!F:F, $B$1, 'Data nguồn'!C:C, T$3)</f>
      </c>
      <c r="V117" s="3">
        <f>SUM(E117:P117)</f>
      </c>
      <c r="W117" s="3">
        <f>SUM(Q117:T117)</f>
      </c>
      <c r="X117" s="3">
        <f>AVERAGE(R117:T117)</f>
      </c>
      <c r="Y117" s="3">
        <f>AVERAGE(O117:T117)</f>
      </c>
      <c r="Z117" s="3">
        <f>AVERAGE(L117:T117)</f>
      </c>
      <c r="AA117" s="4">
        <f>IFERROR((X117*2)/(Y117+Z117), 0)</f>
      </c>
      <c r="AB117" s="4">
        <f>IFERROR(W117/SUM(E117:H117), 0)</f>
      </c>
      <c r="AC117" s="4">
        <f>IFERROR(W117/SUM(E117:H117), 0)</f>
      </c>
      <c r="AD117" s="4">
        <f>IFERROR(T117/H117, 0)</f>
      </c>
    </row>
    <row r="118" ht="20" customHeight="1" spans="1:30" x14ac:dyDescent="0.25">
      <c r="A118">
        <v>115</v>
      </c>
      <c r="B118" t="s">
        <v>281</v>
      </c>
      <c r="C118" t="s">
        <v>369</v>
      </c>
      <c r="D118" s="2" t="s">
        <v>281</v>
      </c>
      <c r="E118" s="3">
        <f>SUMIFS('Data nguồn'!J:J, 'Data nguồn'!D:D, $D118, 'Data nguồn'!F:F, $B$1, 'Data nguồn'!C:C, E$3)</f>
      </c>
      <c r="F118" s="3">
        <f>SUMIFS('Data nguồn'!J:J, 'Data nguồn'!D:D, $D118, 'Data nguồn'!F:F, $B$1, 'Data nguồn'!C:C, F$3)</f>
      </c>
      <c r="G118" s="3">
        <f>SUMIFS('Data nguồn'!J:J, 'Data nguồn'!D:D, $D118, 'Data nguồn'!F:F, $B$1, 'Data nguồn'!C:C, G$3)</f>
      </c>
      <c r="H118" s="3">
        <f>SUMIFS('Data nguồn'!J:J, 'Data nguồn'!D:D, $D118, 'Data nguồn'!F:F, $B$1, 'Data nguồn'!C:C, H$3)</f>
      </c>
      <c r="I118" s="3">
        <f>SUMIFS('Data nguồn'!J:J, 'Data nguồn'!D:D, $D118, 'Data nguồn'!F:F, $B$1, 'Data nguồn'!C:C, I$3)</f>
      </c>
      <c r="J118" s="3">
        <f>SUMIFS('Data nguồn'!J:J, 'Data nguồn'!D:D, $D118, 'Data nguồn'!F:F, $B$1, 'Data nguồn'!C:C, J$3)</f>
      </c>
      <c r="K118" s="3">
        <f>SUMIFS('Data nguồn'!J:J, 'Data nguồn'!D:D, $D118, 'Data nguồn'!F:F, $B$1, 'Data nguồn'!C:C, K$3)</f>
      </c>
      <c r="L118" s="3">
        <f>SUMIFS('Data nguồn'!J:J, 'Data nguồn'!D:D, $D118, 'Data nguồn'!F:F, $B$1, 'Data nguồn'!C:C, L$3)</f>
      </c>
      <c r="M118" s="3">
        <f>SUMIFS('Data nguồn'!J:J, 'Data nguồn'!D:D, $D118, 'Data nguồn'!F:F, $B$1, 'Data nguồn'!C:C, M$3)</f>
      </c>
      <c r="N118" s="3">
        <f>SUMIFS('Data nguồn'!J:J, 'Data nguồn'!D:D, $D118, 'Data nguồn'!F:F, $B$1, 'Data nguồn'!C:C, N$3)</f>
      </c>
      <c r="O118" s="3">
        <f>SUMIFS('Data nguồn'!J:J, 'Data nguồn'!D:D, $D118, 'Data nguồn'!F:F, $B$1, 'Data nguồn'!C:C, O$3)</f>
      </c>
      <c r="P118" s="3">
        <f>SUMIFS('Data nguồn'!J:J, 'Data nguồn'!D:D, $D118, 'Data nguồn'!F:F, $B$1, 'Data nguồn'!C:C, P$3)</f>
      </c>
      <c r="Q118" s="3">
        <f>SUMIFS('Data nguồn'!J:J, 'Data nguồn'!D:D, $D118, 'Data nguồn'!F:F, $B$1, 'Data nguồn'!C:C, Q$3)</f>
      </c>
      <c r="R118" s="3">
        <f>SUMIFS('Data nguồn'!J:J, 'Data nguồn'!D:D, $D118, 'Data nguồn'!F:F, $B$1, 'Data nguồn'!C:C, R$3)</f>
      </c>
      <c r="S118" s="3">
        <f>SUMIFS('Data nguồn'!J:J, 'Data nguồn'!D:D, $D118, 'Data nguồn'!F:F, $B$1, 'Data nguồn'!C:C, S$3)</f>
      </c>
      <c r="T118" s="3">
        <f>SUMIFS('Data nguồn'!J:J, 'Data nguồn'!D:D, $D118, 'Data nguồn'!F:F, $B$1, 'Data nguồn'!C:C, T$3)</f>
      </c>
      <c r="V118" s="3">
        <f>SUM(E118:P118)</f>
      </c>
      <c r="W118" s="3">
        <f>SUM(Q118:T118)</f>
      </c>
      <c r="X118" s="3">
        <f>AVERAGE(R118:T118)</f>
      </c>
      <c r="Y118" s="3">
        <f>AVERAGE(O118:T118)</f>
      </c>
      <c r="Z118" s="3">
        <f>AVERAGE(L118:T118)</f>
      </c>
      <c r="AA118" s="4">
        <f>IFERROR((X118*2)/(Y118+Z118), 0)</f>
      </c>
      <c r="AB118" s="4">
        <f>IFERROR(W118/SUM(E118:H118), 0)</f>
      </c>
      <c r="AC118" s="4">
        <f>IFERROR(W118/SUM(E118:H118), 0)</f>
      </c>
      <c r="AD118" s="4">
        <f>IFERROR(T118/H118, 0)</f>
      </c>
    </row>
    <row r="119" ht="20" customHeight="1" spans="1:30" x14ac:dyDescent="0.25">
      <c r="A119">
        <v>116</v>
      </c>
      <c r="B119" t="s">
        <v>282</v>
      </c>
      <c r="C119" t="s">
        <v>369</v>
      </c>
      <c r="D119" s="2" t="s">
        <v>282</v>
      </c>
      <c r="E119" s="3">
        <f>SUMIFS('Data nguồn'!J:J, 'Data nguồn'!D:D, $D119, 'Data nguồn'!F:F, $B$1, 'Data nguồn'!C:C, E$3)</f>
      </c>
      <c r="F119" s="3">
        <f>SUMIFS('Data nguồn'!J:J, 'Data nguồn'!D:D, $D119, 'Data nguồn'!F:F, $B$1, 'Data nguồn'!C:C, F$3)</f>
      </c>
      <c r="G119" s="3">
        <f>SUMIFS('Data nguồn'!J:J, 'Data nguồn'!D:D, $D119, 'Data nguồn'!F:F, $B$1, 'Data nguồn'!C:C, G$3)</f>
      </c>
      <c r="H119" s="3">
        <f>SUMIFS('Data nguồn'!J:J, 'Data nguồn'!D:D, $D119, 'Data nguồn'!F:F, $B$1, 'Data nguồn'!C:C, H$3)</f>
      </c>
      <c r="I119" s="3">
        <f>SUMIFS('Data nguồn'!J:J, 'Data nguồn'!D:D, $D119, 'Data nguồn'!F:F, $B$1, 'Data nguồn'!C:C, I$3)</f>
      </c>
      <c r="J119" s="3">
        <f>SUMIFS('Data nguồn'!J:J, 'Data nguồn'!D:D, $D119, 'Data nguồn'!F:F, $B$1, 'Data nguồn'!C:C, J$3)</f>
      </c>
      <c r="K119" s="3">
        <f>SUMIFS('Data nguồn'!J:J, 'Data nguồn'!D:D, $D119, 'Data nguồn'!F:F, $B$1, 'Data nguồn'!C:C, K$3)</f>
      </c>
      <c r="L119" s="3">
        <f>SUMIFS('Data nguồn'!J:J, 'Data nguồn'!D:D, $D119, 'Data nguồn'!F:F, $B$1, 'Data nguồn'!C:C, L$3)</f>
      </c>
      <c r="M119" s="3">
        <f>SUMIFS('Data nguồn'!J:J, 'Data nguồn'!D:D, $D119, 'Data nguồn'!F:F, $B$1, 'Data nguồn'!C:C, M$3)</f>
      </c>
      <c r="N119" s="3">
        <f>SUMIFS('Data nguồn'!J:J, 'Data nguồn'!D:D, $D119, 'Data nguồn'!F:F, $B$1, 'Data nguồn'!C:C, N$3)</f>
      </c>
      <c r="O119" s="3">
        <f>SUMIFS('Data nguồn'!J:J, 'Data nguồn'!D:D, $D119, 'Data nguồn'!F:F, $B$1, 'Data nguồn'!C:C, O$3)</f>
      </c>
      <c r="P119" s="3">
        <f>SUMIFS('Data nguồn'!J:J, 'Data nguồn'!D:D, $D119, 'Data nguồn'!F:F, $B$1, 'Data nguồn'!C:C, P$3)</f>
      </c>
      <c r="Q119" s="3">
        <f>SUMIFS('Data nguồn'!J:J, 'Data nguồn'!D:D, $D119, 'Data nguồn'!F:F, $B$1, 'Data nguồn'!C:C, Q$3)</f>
      </c>
      <c r="R119" s="3">
        <f>SUMIFS('Data nguồn'!J:J, 'Data nguồn'!D:D, $D119, 'Data nguồn'!F:F, $B$1, 'Data nguồn'!C:C, R$3)</f>
      </c>
      <c r="S119" s="3">
        <f>SUMIFS('Data nguồn'!J:J, 'Data nguồn'!D:D, $D119, 'Data nguồn'!F:F, $B$1, 'Data nguồn'!C:C, S$3)</f>
      </c>
      <c r="T119" s="3">
        <f>SUMIFS('Data nguồn'!J:J, 'Data nguồn'!D:D, $D119, 'Data nguồn'!F:F, $B$1, 'Data nguồn'!C:C, T$3)</f>
      </c>
      <c r="V119" s="3">
        <f>SUM(E119:P119)</f>
      </c>
      <c r="W119" s="3">
        <f>SUM(Q119:T119)</f>
      </c>
      <c r="X119" s="3">
        <f>AVERAGE(R119:T119)</f>
      </c>
      <c r="Y119" s="3">
        <f>AVERAGE(O119:T119)</f>
      </c>
      <c r="Z119" s="3">
        <f>AVERAGE(L119:T119)</f>
      </c>
      <c r="AA119" s="4">
        <f>IFERROR((X119*2)/(Y119+Z119), 0)</f>
      </c>
      <c r="AB119" s="4">
        <f>IFERROR(W119/SUM(E119:H119), 0)</f>
      </c>
      <c r="AC119" s="4">
        <f>IFERROR(W119/SUM(E119:H119), 0)</f>
      </c>
      <c r="AD119" s="4">
        <f>IFERROR(T119/H119, 0)</f>
      </c>
    </row>
    <row r="120" ht="20" customHeight="1" spans="1:30" x14ac:dyDescent="0.25">
      <c r="A120">
        <v>117</v>
      </c>
      <c r="B120" t="s">
        <v>283</v>
      </c>
      <c r="C120" t="s">
        <v>369</v>
      </c>
      <c r="D120" s="2" t="s">
        <v>283</v>
      </c>
      <c r="E120" s="3">
        <f>SUMIFS('Data nguồn'!J:J, 'Data nguồn'!D:D, $D120, 'Data nguồn'!F:F, $B$1, 'Data nguồn'!C:C, E$3)</f>
      </c>
      <c r="F120" s="3">
        <f>SUMIFS('Data nguồn'!J:J, 'Data nguồn'!D:D, $D120, 'Data nguồn'!F:F, $B$1, 'Data nguồn'!C:C, F$3)</f>
      </c>
      <c r="G120" s="3">
        <f>SUMIFS('Data nguồn'!J:J, 'Data nguồn'!D:D, $D120, 'Data nguồn'!F:F, $B$1, 'Data nguồn'!C:C, G$3)</f>
      </c>
      <c r="H120" s="3">
        <f>SUMIFS('Data nguồn'!J:J, 'Data nguồn'!D:D, $D120, 'Data nguồn'!F:F, $B$1, 'Data nguồn'!C:C, H$3)</f>
      </c>
      <c r="I120" s="3">
        <f>SUMIFS('Data nguồn'!J:J, 'Data nguồn'!D:D, $D120, 'Data nguồn'!F:F, $B$1, 'Data nguồn'!C:C, I$3)</f>
      </c>
      <c r="J120" s="3">
        <f>SUMIFS('Data nguồn'!J:J, 'Data nguồn'!D:D, $D120, 'Data nguồn'!F:F, $B$1, 'Data nguồn'!C:C, J$3)</f>
      </c>
      <c r="K120" s="3">
        <f>SUMIFS('Data nguồn'!J:J, 'Data nguồn'!D:D, $D120, 'Data nguồn'!F:F, $B$1, 'Data nguồn'!C:C, K$3)</f>
      </c>
      <c r="L120" s="3">
        <f>SUMIFS('Data nguồn'!J:J, 'Data nguồn'!D:D, $D120, 'Data nguồn'!F:F, $B$1, 'Data nguồn'!C:C, L$3)</f>
      </c>
      <c r="M120" s="3">
        <f>SUMIFS('Data nguồn'!J:J, 'Data nguồn'!D:D, $D120, 'Data nguồn'!F:F, $B$1, 'Data nguồn'!C:C, M$3)</f>
      </c>
      <c r="N120" s="3">
        <f>SUMIFS('Data nguồn'!J:J, 'Data nguồn'!D:D, $D120, 'Data nguồn'!F:F, $B$1, 'Data nguồn'!C:C, N$3)</f>
      </c>
      <c r="O120" s="3">
        <f>SUMIFS('Data nguồn'!J:J, 'Data nguồn'!D:D, $D120, 'Data nguồn'!F:F, $B$1, 'Data nguồn'!C:C, O$3)</f>
      </c>
      <c r="P120" s="3">
        <f>SUMIFS('Data nguồn'!J:J, 'Data nguồn'!D:D, $D120, 'Data nguồn'!F:F, $B$1, 'Data nguồn'!C:C, P$3)</f>
      </c>
      <c r="Q120" s="3">
        <f>SUMIFS('Data nguồn'!J:J, 'Data nguồn'!D:D, $D120, 'Data nguồn'!F:F, $B$1, 'Data nguồn'!C:C, Q$3)</f>
      </c>
      <c r="R120" s="3">
        <f>SUMIFS('Data nguồn'!J:J, 'Data nguồn'!D:D, $D120, 'Data nguồn'!F:F, $B$1, 'Data nguồn'!C:C, R$3)</f>
      </c>
      <c r="S120" s="3">
        <f>SUMIFS('Data nguồn'!J:J, 'Data nguồn'!D:D, $D120, 'Data nguồn'!F:F, $B$1, 'Data nguồn'!C:C, S$3)</f>
      </c>
      <c r="T120" s="3">
        <f>SUMIFS('Data nguồn'!J:J, 'Data nguồn'!D:D, $D120, 'Data nguồn'!F:F, $B$1, 'Data nguồn'!C:C, T$3)</f>
      </c>
      <c r="V120" s="3">
        <f>SUM(E120:P120)</f>
      </c>
      <c r="W120" s="3">
        <f>SUM(Q120:T120)</f>
      </c>
      <c r="X120" s="3">
        <f>AVERAGE(R120:T120)</f>
      </c>
      <c r="Y120" s="3">
        <f>AVERAGE(O120:T120)</f>
      </c>
      <c r="Z120" s="3">
        <f>AVERAGE(L120:T120)</f>
      </c>
      <c r="AA120" s="4">
        <f>IFERROR((X120*2)/(Y120+Z120), 0)</f>
      </c>
      <c r="AB120" s="4">
        <f>IFERROR(W120/SUM(E120:H120), 0)</f>
      </c>
      <c r="AC120" s="4">
        <f>IFERROR(W120/SUM(E120:H120), 0)</f>
      </c>
      <c r="AD120" s="4">
        <f>IFERROR(T120/H120, 0)</f>
      </c>
    </row>
    <row r="121" ht="20" customHeight="1" spans="1:30" x14ac:dyDescent="0.25">
      <c r="A121">
        <v>118</v>
      </c>
      <c r="B121" t="s">
        <v>284</v>
      </c>
      <c r="C121" t="s">
        <v>369</v>
      </c>
      <c r="D121" s="2" t="s">
        <v>284</v>
      </c>
      <c r="E121" s="3">
        <f>SUMIFS('Data nguồn'!J:J, 'Data nguồn'!D:D, $D121, 'Data nguồn'!F:F, $B$1, 'Data nguồn'!C:C, E$3)</f>
      </c>
      <c r="F121" s="3">
        <f>SUMIFS('Data nguồn'!J:J, 'Data nguồn'!D:D, $D121, 'Data nguồn'!F:F, $B$1, 'Data nguồn'!C:C, F$3)</f>
      </c>
      <c r="G121" s="3">
        <f>SUMIFS('Data nguồn'!J:J, 'Data nguồn'!D:D, $D121, 'Data nguồn'!F:F, $B$1, 'Data nguồn'!C:C, G$3)</f>
      </c>
      <c r="H121" s="3">
        <f>SUMIFS('Data nguồn'!J:J, 'Data nguồn'!D:D, $D121, 'Data nguồn'!F:F, $B$1, 'Data nguồn'!C:C, H$3)</f>
      </c>
      <c r="I121" s="3">
        <f>SUMIFS('Data nguồn'!J:J, 'Data nguồn'!D:D, $D121, 'Data nguồn'!F:F, $B$1, 'Data nguồn'!C:C, I$3)</f>
      </c>
      <c r="J121" s="3">
        <f>SUMIFS('Data nguồn'!J:J, 'Data nguồn'!D:D, $D121, 'Data nguồn'!F:F, $B$1, 'Data nguồn'!C:C, J$3)</f>
      </c>
      <c r="K121" s="3">
        <f>SUMIFS('Data nguồn'!J:J, 'Data nguồn'!D:D, $D121, 'Data nguồn'!F:F, $B$1, 'Data nguồn'!C:C, K$3)</f>
      </c>
      <c r="L121" s="3">
        <f>SUMIFS('Data nguồn'!J:J, 'Data nguồn'!D:D, $D121, 'Data nguồn'!F:F, $B$1, 'Data nguồn'!C:C, L$3)</f>
      </c>
      <c r="M121" s="3">
        <f>SUMIFS('Data nguồn'!J:J, 'Data nguồn'!D:D, $D121, 'Data nguồn'!F:F, $B$1, 'Data nguồn'!C:C, M$3)</f>
      </c>
      <c r="N121" s="3">
        <f>SUMIFS('Data nguồn'!J:J, 'Data nguồn'!D:D, $D121, 'Data nguồn'!F:F, $B$1, 'Data nguồn'!C:C, N$3)</f>
      </c>
      <c r="O121" s="3">
        <f>SUMIFS('Data nguồn'!J:J, 'Data nguồn'!D:D, $D121, 'Data nguồn'!F:F, $B$1, 'Data nguồn'!C:C, O$3)</f>
      </c>
      <c r="P121" s="3">
        <f>SUMIFS('Data nguồn'!J:J, 'Data nguồn'!D:D, $D121, 'Data nguồn'!F:F, $B$1, 'Data nguồn'!C:C, P$3)</f>
      </c>
      <c r="Q121" s="3">
        <f>SUMIFS('Data nguồn'!J:J, 'Data nguồn'!D:D, $D121, 'Data nguồn'!F:F, $B$1, 'Data nguồn'!C:C, Q$3)</f>
      </c>
      <c r="R121" s="3">
        <f>SUMIFS('Data nguồn'!J:J, 'Data nguồn'!D:D, $D121, 'Data nguồn'!F:F, $B$1, 'Data nguồn'!C:C, R$3)</f>
      </c>
      <c r="S121" s="3">
        <f>SUMIFS('Data nguồn'!J:J, 'Data nguồn'!D:D, $D121, 'Data nguồn'!F:F, $B$1, 'Data nguồn'!C:C, S$3)</f>
      </c>
      <c r="T121" s="3">
        <f>SUMIFS('Data nguồn'!J:J, 'Data nguồn'!D:D, $D121, 'Data nguồn'!F:F, $B$1, 'Data nguồn'!C:C, T$3)</f>
      </c>
      <c r="V121" s="3">
        <f>SUM(E121:P121)</f>
      </c>
      <c r="W121" s="3">
        <f>SUM(Q121:T121)</f>
      </c>
      <c r="X121" s="3">
        <f>AVERAGE(R121:T121)</f>
      </c>
      <c r="Y121" s="3">
        <f>AVERAGE(O121:T121)</f>
      </c>
      <c r="Z121" s="3">
        <f>AVERAGE(L121:T121)</f>
      </c>
      <c r="AA121" s="4">
        <f>IFERROR((X121*2)/(Y121+Z121), 0)</f>
      </c>
      <c r="AB121" s="4">
        <f>IFERROR(W121/SUM(E121:H121), 0)</f>
      </c>
      <c r="AC121" s="4">
        <f>IFERROR(W121/SUM(E121:H121), 0)</f>
      </c>
      <c r="AD121" s="4">
        <f>IFERROR(T121/H121, 0)</f>
      </c>
    </row>
    <row r="122" ht="20" customHeight="1" spans="1:30" x14ac:dyDescent="0.25">
      <c r="A122">
        <v>119</v>
      </c>
      <c r="B122" t="s">
        <v>285</v>
      </c>
      <c r="C122" t="s">
        <v>369</v>
      </c>
      <c r="D122" s="2" t="s">
        <v>285</v>
      </c>
      <c r="E122" s="3">
        <f>SUMIFS('Data nguồn'!J:J, 'Data nguồn'!D:D, $D122, 'Data nguồn'!F:F, $B$1, 'Data nguồn'!C:C, E$3)</f>
      </c>
      <c r="F122" s="3">
        <f>SUMIFS('Data nguồn'!J:J, 'Data nguồn'!D:D, $D122, 'Data nguồn'!F:F, $B$1, 'Data nguồn'!C:C, F$3)</f>
      </c>
      <c r="G122" s="3">
        <f>SUMIFS('Data nguồn'!J:J, 'Data nguồn'!D:D, $D122, 'Data nguồn'!F:F, $B$1, 'Data nguồn'!C:C, G$3)</f>
      </c>
      <c r="H122" s="3">
        <f>SUMIFS('Data nguồn'!J:J, 'Data nguồn'!D:D, $D122, 'Data nguồn'!F:F, $B$1, 'Data nguồn'!C:C, H$3)</f>
      </c>
      <c r="I122" s="3">
        <f>SUMIFS('Data nguồn'!J:J, 'Data nguồn'!D:D, $D122, 'Data nguồn'!F:F, $B$1, 'Data nguồn'!C:C, I$3)</f>
      </c>
      <c r="J122" s="3">
        <f>SUMIFS('Data nguồn'!J:J, 'Data nguồn'!D:D, $D122, 'Data nguồn'!F:F, $B$1, 'Data nguồn'!C:C, J$3)</f>
      </c>
      <c r="K122" s="3">
        <f>SUMIFS('Data nguồn'!J:J, 'Data nguồn'!D:D, $D122, 'Data nguồn'!F:F, $B$1, 'Data nguồn'!C:C, K$3)</f>
      </c>
      <c r="L122" s="3">
        <f>SUMIFS('Data nguồn'!J:J, 'Data nguồn'!D:D, $D122, 'Data nguồn'!F:F, $B$1, 'Data nguồn'!C:C, L$3)</f>
      </c>
      <c r="M122" s="3">
        <f>SUMIFS('Data nguồn'!J:J, 'Data nguồn'!D:D, $D122, 'Data nguồn'!F:F, $B$1, 'Data nguồn'!C:C, M$3)</f>
      </c>
      <c r="N122" s="3">
        <f>SUMIFS('Data nguồn'!J:J, 'Data nguồn'!D:D, $D122, 'Data nguồn'!F:F, $B$1, 'Data nguồn'!C:C, N$3)</f>
      </c>
      <c r="O122" s="3">
        <f>SUMIFS('Data nguồn'!J:J, 'Data nguồn'!D:D, $D122, 'Data nguồn'!F:F, $B$1, 'Data nguồn'!C:C, O$3)</f>
      </c>
      <c r="P122" s="3">
        <f>SUMIFS('Data nguồn'!J:J, 'Data nguồn'!D:D, $D122, 'Data nguồn'!F:F, $B$1, 'Data nguồn'!C:C, P$3)</f>
      </c>
      <c r="Q122" s="3">
        <f>SUMIFS('Data nguồn'!J:J, 'Data nguồn'!D:D, $D122, 'Data nguồn'!F:F, $B$1, 'Data nguồn'!C:C, Q$3)</f>
      </c>
      <c r="R122" s="3">
        <f>SUMIFS('Data nguồn'!J:J, 'Data nguồn'!D:D, $D122, 'Data nguồn'!F:F, $B$1, 'Data nguồn'!C:C, R$3)</f>
      </c>
      <c r="S122" s="3">
        <f>SUMIFS('Data nguồn'!J:J, 'Data nguồn'!D:D, $D122, 'Data nguồn'!F:F, $B$1, 'Data nguồn'!C:C, S$3)</f>
      </c>
      <c r="T122" s="3">
        <f>SUMIFS('Data nguồn'!J:J, 'Data nguồn'!D:D, $D122, 'Data nguồn'!F:F, $B$1, 'Data nguồn'!C:C, T$3)</f>
      </c>
      <c r="V122" s="3">
        <f>SUM(E122:P122)</f>
      </c>
      <c r="W122" s="3">
        <f>SUM(Q122:T122)</f>
      </c>
      <c r="X122" s="3">
        <f>AVERAGE(R122:T122)</f>
      </c>
      <c r="Y122" s="3">
        <f>AVERAGE(O122:T122)</f>
      </c>
      <c r="Z122" s="3">
        <f>AVERAGE(L122:T122)</f>
      </c>
      <c r="AA122" s="4">
        <f>IFERROR((X122*2)/(Y122+Z122), 0)</f>
      </c>
      <c r="AB122" s="4">
        <f>IFERROR(W122/SUM(E122:H122), 0)</f>
      </c>
      <c r="AC122" s="4">
        <f>IFERROR(W122/SUM(E122:H122), 0)</f>
      </c>
      <c r="AD122" s="4">
        <f>IFERROR(T122/H122, 0)</f>
      </c>
    </row>
    <row r="123" ht="20" customHeight="1" spans="1:30" x14ac:dyDescent="0.25">
      <c r="A123">
        <v>120</v>
      </c>
      <c r="B123" t="s">
        <v>286</v>
      </c>
      <c r="C123" t="s">
        <v>369</v>
      </c>
      <c r="D123" s="2" t="s">
        <v>286</v>
      </c>
      <c r="E123" s="3">
        <f>SUMIFS('Data nguồn'!J:J, 'Data nguồn'!D:D, $D123, 'Data nguồn'!F:F, $B$1, 'Data nguồn'!C:C, E$3)</f>
      </c>
      <c r="F123" s="3">
        <f>SUMIFS('Data nguồn'!J:J, 'Data nguồn'!D:D, $D123, 'Data nguồn'!F:F, $B$1, 'Data nguồn'!C:C, F$3)</f>
      </c>
      <c r="G123" s="3">
        <f>SUMIFS('Data nguồn'!J:J, 'Data nguồn'!D:D, $D123, 'Data nguồn'!F:F, $B$1, 'Data nguồn'!C:C, G$3)</f>
      </c>
      <c r="H123" s="3">
        <f>SUMIFS('Data nguồn'!J:J, 'Data nguồn'!D:D, $D123, 'Data nguồn'!F:F, $B$1, 'Data nguồn'!C:C, H$3)</f>
      </c>
      <c r="I123" s="3">
        <f>SUMIFS('Data nguồn'!J:J, 'Data nguồn'!D:D, $D123, 'Data nguồn'!F:F, $B$1, 'Data nguồn'!C:C, I$3)</f>
      </c>
      <c r="J123" s="3">
        <f>SUMIFS('Data nguồn'!J:J, 'Data nguồn'!D:D, $D123, 'Data nguồn'!F:F, $B$1, 'Data nguồn'!C:C, J$3)</f>
      </c>
      <c r="K123" s="3">
        <f>SUMIFS('Data nguồn'!J:J, 'Data nguồn'!D:D, $D123, 'Data nguồn'!F:F, $B$1, 'Data nguồn'!C:C, K$3)</f>
      </c>
      <c r="L123" s="3">
        <f>SUMIFS('Data nguồn'!J:J, 'Data nguồn'!D:D, $D123, 'Data nguồn'!F:F, $B$1, 'Data nguồn'!C:C, L$3)</f>
      </c>
      <c r="M123" s="3">
        <f>SUMIFS('Data nguồn'!J:J, 'Data nguồn'!D:D, $D123, 'Data nguồn'!F:F, $B$1, 'Data nguồn'!C:C, M$3)</f>
      </c>
      <c r="N123" s="3">
        <f>SUMIFS('Data nguồn'!J:J, 'Data nguồn'!D:D, $D123, 'Data nguồn'!F:F, $B$1, 'Data nguồn'!C:C, N$3)</f>
      </c>
      <c r="O123" s="3">
        <f>SUMIFS('Data nguồn'!J:J, 'Data nguồn'!D:D, $D123, 'Data nguồn'!F:F, $B$1, 'Data nguồn'!C:C, O$3)</f>
      </c>
      <c r="P123" s="3">
        <f>SUMIFS('Data nguồn'!J:J, 'Data nguồn'!D:D, $D123, 'Data nguồn'!F:F, $B$1, 'Data nguồn'!C:C, P$3)</f>
      </c>
      <c r="Q123" s="3">
        <f>SUMIFS('Data nguồn'!J:J, 'Data nguồn'!D:D, $D123, 'Data nguồn'!F:F, $B$1, 'Data nguồn'!C:C, Q$3)</f>
      </c>
      <c r="R123" s="3">
        <f>SUMIFS('Data nguồn'!J:J, 'Data nguồn'!D:D, $D123, 'Data nguồn'!F:F, $B$1, 'Data nguồn'!C:C, R$3)</f>
      </c>
      <c r="S123" s="3">
        <f>SUMIFS('Data nguồn'!J:J, 'Data nguồn'!D:D, $D123, 'Data nguồn'!F:F, $B$1, 'Data nguồn'!C:C, S$3)</f>
      </c>
      <c r="T123" s="3">
        <f>SUMIFS('Data nguồn'!J:J, 'Data nguồn'!D:D, $D123, 'Data nguồn'!F:F, $B$1, 'Data nguồn'!C:C, T$3)</f>
      </c>
      <c r="V123" s="3">
        <f>SUM(E123:P123)</f>
      </c>
      <c r="W123" s="3">
        <f>SUM(Q123:T123)</f>
      </c>
      <c r="X123" s="3">
        <f>AVERAGE(R123:T123)</f>
      </c>
      <c r="Y123" s="3">
        <f>AVERAGE(O123:T123)</f>
      </c>
      <c r="Z123" s="3">
        <f>AVERAGE(L123:T123)</f>
      </c>
      <c r="AA123" s="4">
        <f>IFERROR((X123*2)/(Y123+Z123), 0)</f>
      </c>
      <c r="AB123" s="4">
        <f>IFERROR(W123/SUM(E123:H123), 0)</f>
      </c>
      <c r="AC123" s="4">
        <f>IFERROR(W123/SUM(E123:H123), 0)</f>
      </c>
      <c r="AD123" s="4">
        <f>IFERROR(T123/H123, 0)</f>
      </c>
    </row>
    <row r="124" ht="20" customHeight="1" spans="1:30" x14ac:dyDescent="0.25">
      <c r="A124">
        <v>121</v>
      </c>
      <c r="B124" t="s">
        <v>287</v>
      </c>
      <c r="C124" t="s">
        <v>369</v>
      </c>
      <c r="D124" s="2" t="s">
        <v>287</v>
      </c>
      <c r="E124" s="3">
        <f>SUMIFS('Data nguồn'!J:J, 'Data nguồn'!D:D, $D124, 'Data nguồn'!F:F, $B$1, 'Data nguồn'!C:C, E$3)</f>
      </c>
      <c r="F124" s="3">
        <f>SUMIFS('Data nguồn'!J:J, 'Data nguồn'!D:D, $D124, 'Data nguồn'!F:F, $B$1, 'Data nguồn'!C:C, F$3)</f>
      </c>
      <c r="G124" s="3">
        <f>SUMIFS('Data nguồn'!J:J, 'Data nguồn'!D:D, $D124, 'Data nguồn'!F:F, $B$1, 'Data nguồn'!C:C, G$3)</f>
      </c>
      <c r="H124" s="3">
        <f>SUMIFS('Data nguồn'!J:J, 'Data nguồn'!D:D, $D124, 'Data nguồn'!F:F, $B$1, 'Data nguồn'!C:C, H$3)</f>
      </c>
      <c r="I124" s="3">
        <f>SUMIFS('Data nguồn'!J:J, 'Data nguồn'!D:D, $D124, 'Data nguồn'!F:F, $B$1, 'Data nguồn'!C:C, I$3)</f>
      </c>
      <c r="J124" s="3">
        <f>SUMIFS('Data nguồn'!J:J, 'Data nguồn'!D:D, $D124, 'Data nguồn'!F:F, $B$1, 'Data nguồn'!C:C, J$3)</f>
      </c>
      <c r="K124" s="3">
        <f>SUMIFS('Data nguồn'!J:J, 'Data nguồn'!D:D, $D124, 'Data nguồn'!F:F, $B$1, 'Data nguồn'!C:C, K$3)</f>
      </c>
      <c r="L124" s="3">
        <f>SUMIFS('Data nguồn'!J:J, 'Data nguồn'!D:D, $D124, 'Data nguồn'!F:F, $B$1, 'Data nguồn'!C:C, L$3)</f>
      </c>
      <c r="M124" s="3">
        <f>SUMIFS('Data nguồn'!J:J, 'Data nguồn'!D:D, $D124, 'Data nguồn'!F:F, $B$1, 'Data nguồn'!C:C, M$3)</f>
      </c>
      <c r="N124" s="3">
        <f>SUMIFS('Data nguồn'!J:J, 'Data nguồn'!D:D, $D124, 'Data nguồn'!F:F, $B$1, 'Data nguồn'!C:C, N$3)</f>
      </c>
      <c r="O124" s="3">
        <f>SUMIFS('Data nguồn'!J:J, 'Data nguồn'!D:D, $D124, 'Data nguồn'!F:F, $B$1, 'Data nguồn'!C:C, O$3)</f>
      </c>
      <c r="P124" s="3">
        <f>SUMIFS('Data nguồn'!J:J, 'Data nguồn'!D:D, $D124, 'Data nguồn'!F:F, $B$1, 'Data nguồn'!C:C, P$3)</f>
      </c>
      <c r="Q124" s="3">
        <f>SUMIFS('Data nguồn'!J:J, 'Data nguồn'!D:D, $D124, 'Data nguồn'!F:F, $B$1, 'Data nguồn'!C:C, Q$3)</f>
      </c>
      <c r="R124" s="3">
        <f>SUMIFS('Data nguồn'!J:J, 'Data nguồn'!D:D, $D124, 'Data nguồn'!F:F, $B$1, 'Data nguồn'!C:C, R$3)</f>
      </c>
      <c r="S124" s="3">
        <f>SUMIFS('Data nguồn'!J:J, 'Data nguồn'!D:D, $D124, 'Data nguồn'!F:F, $B$1, 'Data nguồn'!C:C, S$3)</f>
      </c>
      <c r="T124" s="3">
        <f>SUMIFS('Data nguồn'!J:J, 'Data nguồn'!D:D, $D124, 'Data nguồn'!F:F, $B$1, 'Data nguồn'!C:C, T$3)</f>
      </c>
      <c r="V124" s="3">
        <f>SUM(E124:P124)</f>
      </c>
      <c r="W124" s="3">
        <f>SUM(Q124:T124)</f>
      </c>
      <c r="X124" s="3">
        <f>AVERAGE(R124:T124)</f>
      </c>
      <c r="Y124" s="3">
        <f>AVERAGE(O124:T124)</f>
      </c>
      <c r="Z124" s="3">
        <f>AVERAGE(L124:T124)</f>
      </c>
      <c r="AA124" s="4">
        <f>IFERROR((X124*2)/(Y124+Z124), 0)</f>
      </c>
      <c r="AB124" s="4">
        <f>IFERROR(W124/SUM(E124:H124), 0)</f>
      </c>
      <c r="AC124" s="4">
        <f>IFERROR(W124/SUM(E124:H124), 0)</f>
      </c>
      <c r="AD124" s="4">
        <f>IFERROR(T124/H124, 0)</f>
      </c>
    </row>
    <row r="125" ht="20" customHeight="1" spans="1:30" x14ac:dyDescent="0.25">
      <c r="A125">
        <v>122</v>
      </c>
      <c r="B125" t="s">
        <v>288</v>
      </c>
      <c r="C125" t="s">
        <v>369</v>
      </c>
      <c r="D125" s="2" t="s">
        <v>288</v>
      </c>
      <c r="E125" s="3">
        <f>SUMIFS('Data nguồn'!J:J, 'Data nguồn'!D:D, $D125, 'Data nguồn'!F:F, $B$1, 'Data nguồn'!C:C, E$3)</f>
      </c>
      <c r="F125" s="3">
        <f>SUMIFS('Data nguồn'!J:J, 'Data nguồn'!D:D, $D125, 'Data nguồn'!F:F, $B$1, 'Data nguồn'!C:C, F$3)</f>
      </c>
      <c r="G125" s="3">
        <f>SUMIFS('Data nguồn'!J:J, 'Data nguồn'!D:D, $D125, 'Data nguồn'!F:F, $B$1, 'Data nguồn'!C:C, G$3)</f>
      </c>
      <c r="H125" s="3">
        <f>SUMIFS('Data nguồn'!J:J, 'Data nguồn'!D:D, $D125, 'Data nguồn'!F:F, $B$1, 'Data nguồn'!C:C, H$3)</f>
      </c>
      <c r="I125" s="3">
        <f>SUMIFS('Data nguồn'!J:J, 'Data nguồn'!D:D, $D125, 'Data nguồn'!F:F, $B$1, 'Data nguồn'!C:C, I$3)</f>
      </c>
      <c r="J125" s="3">
        <f>SUMIFS('Data nguồn'!J:J, 'Data nguồn'!D:D, $D125, 'Data nguồn'!F:F, $B$1, 'Data nguồn'!C:C, J$3)</f>
      </c>
      <c r="K125" s="3">
        <f>SUMIFS('Data nguồn'!J:J, 'Data nguồn'!D:D, $D125, 'Data nguồn'!F:F, $B$1, 'Data nguồn'!C:C, K$3)</f>
      </c>
      <c r="L125" s="3">
        <f>SUMIFS('Data nguồn'!J:J, 'Data nguồn'!D:D, $D125, 'Data nguồn'!F:F, $B$1, 'Data nguồn'!C:C, L$3)</f>
      </c>
      <c r="M125" s="3">
        <f>SUMIFS('Data nguồn'!J:J, 'Data nguồn'!D:D, $D125, 'Data nguồn'!F:F, $B$1, 'Data nguồn'!C:C, M$3)</f>
      </c>
      <c r="N125" s="3">
        <f>SUMIFS('Data nguồn'!J:J, 'Data nguồn'!D:D, $D125, 'Data nguồn'!F:F, $B$1, 'Data nguồn'!C:C, N$3)</f>
      </c>
      <c r="O125" s="3">
        <f>SUMIFS('Data nguồn'!J:J, 'Data nguồn'!D:D, $D125, 'Data nguồn'!F:F, $B$1, 'Data nguồn'!C:C, O$3)</f>
      </c>
      <c r="P125" s="3">
        <f>SUMIFS('Data nguồn'!J:J, 'Data nguồn'!D:D, $D125, 'Data nguồn'!F:F, $B$1, 'Data nguồn'!C:C, P$3)</f>
      </c>
      <c r="Q125" s="3">
        <f>SUMIFS('Data nguồn'!J:J, 'Data nguồn'!D:D, $D125, 'Data nguồn'!F:F, $B$1, 'Data nguồn'!C:C, Q$3)</f>
      </c>
      <c r="R125" s="3">
        <f>SUMIFS('Data nguồn'!J:J, 'Data nguồn'!D:D, $D125, 'Data nguồn'!F:F, $B$1, 'Data nguồn'!C:C, R$3)</f>
      </c>
      <c r="S125" s="3">
        <f>SUMIFS('Data nguồn'!J:J, 'Data nguồn'!D:D, $D125, 'Data nguồn'!F:F, $B$1, 'Data nguồn'!C:C, S$3)</f>
      </c>
      <c r="T125" s="3">
        <f>SUMIFS('Data nguồn'!J:J, 'Data nguồn'!D:D, $D125, 'Data nguồn'!F:F, $B$1, 'Data nguồn'!C:C, T$3)</f>
      </c>
      <c r="V125" s="3">
        <f>SUM(E125:P125)</f>
      </c>
      <c r="W125" s="3">
        <f>SUM(Q125:T125)</f>
      </c>
      <c r="X125" s="3">
        <f>AVERAGE(R125:T125)</f>
      </c>
      <c r="Y125" s="3">
        <f>AVERAGE(O125:T125)</f>
      </c>
      <c r="Z125" s="3">
        <f>AVERAGE(L125:T125)</f>
      </c>
      <c r="AA125" s="4">
        <f>IFERROR((X125*2)/(Y125+Z125), 0)</f>
      </c>
      <c r="AB125" s="4">
        <f>IFERROR(W125/SUM(E125:H125), 0)</f>
      </c>
      <c r="AC125" s="4">
        <f>IFERROR(W125/SUM(E125:H125), 0)</f>
      </c>
      <c r="AD125" s="4">
        <f>IFERROR(T125/H125, 0)</f>
      </c>
    </row>
    <row r="126" ht="20" customHeight="1" spans="1:30" x14ac:dyDescent="0.25">
      <c r="A126">
        <v>123</v>
      </c>
      <c r="B126" t="s">
        <v>289</v>
      </c>
      <c r="C126" t="s">
        <v>369</v>
      </c>
      <c r="D126" s="2" t="s">
        <v>289</v>
      </c>
      <c r="E126" s="3">
        <f>SUMIFS('Data nguồn'!J:J, 'Data nguồn'!D:D, $D126, 'Data nguồn'!F:F, $B$1, 'Data nguồn'!C:C, E$3)</f>
      </c>
      <c r="F126" s="3">
        <f>SUMIFS('Data nguồn'!J:J, 'Data nguồn'!D:D, $D126, 'Data nguồn'!F:F, $B$1, 'Data nguồn'!C:C, F$3)</f>
      </c>
      <c r="G126" s="3">
        <f>SUMIFS('Data nguồn'!J:J, 'Data nguồn'!D:D, $D126, 'Data nguồn'!F:F, $B$1, 'Data nguồn'!C:C, G$3)</f>
      </c>
      <c r="H126" s="3">
        <f>SUMIFS('Data nguồn'!J:J, 'Data nguồn'!D:D, $D126, 'Data nguồn'!F:F, $B$1, 'Data nguồn'!C:C, H$3)</f>
      </c>
      <c r="I126" s="3">
        <f>SUMIFS('Data nguồn'!J:J, 'Data nguồn'!D:D, $D126, 'Data nguồn'!F:F, $B$1, 'Data nguồn'!C:C, I$3)</f>
      </c>
      <c r="J126" s="3">
        <f>SUMIFS('Data nguồn'!J:J, 'Data nguồn'!D:D, $D126, 'Data nguồn'!F:F, $B$1, 'Data nguồn'!C:C, J$3)</f>
      </c>
      <c r="K126" s="3">
        <f>SUMIFS('Data nguồn'!J:J, 'Data nguồn'!D:D, $D126, 'Data nguồn'!F:F, $B$1, 'Data nguồn'!C:C, K$3)</f>
      </c>
      <c r="L126" s="3">
        <f>SUMIFS('Data nguồn'!J:J, 'Data nguồn'!D:D, $D126, 'Data nguồn'!F:F, $B$1, 'Data nguồn'!C:C, L$3)</f>
      </c>
      <c r="M126" s="3">
        <f>SUMIFS('Data nguồn'!J:J, 'Data nguồn'!D:D, $D126, 'Data nguồn'!F:F, $B$1, 'Data nguồn'!C:C, M$3)</f>
      </c>
      <c r="N126" s="3">
        <f>SUMIFS('Data nguồn'!J:J, 'Data nguồn'!D:D, $D126, 'Data nguồn'!F:F, $B$1, 'Data nguồn'!C:C, N$3)</f>
      </c>
      <c r="O126" s="3">
        <f>SUMIFS('Data nguồn'!J:J, 'Data nguồn'!D:D, $D126, 'Data nguồn'!F:F, $B$1, 'Data nguồn'!C:C, O$3)</f>
      </c>
      <c r="P126" s="3">
        <f>SUMIFS('Data nguồn'!J:J, 'Data nguồn'!D:D, $D126, 'Data nguồn'!F:F, $B$1, 'Data nguồn'!C:C, P$3)</f>
      </c>
      <c r="Q126" s="3">
        <f>SUMIFS('Data nguồn'!J:J, 'Data nguồn'!D:D, $D126, 'Data nguồn'!F:F, $B$1, 'Data nguồn'!C:C, Q$3)</f>
      </c>
      <c r="R126" s="3">
        <f>SUMIFS('Data nguồn'!J:J, 'Data nguồn'!D:D, $D126, 'Data nguồn'!F:F, $B$1, 'Data nguồn'!C:C, R$3)</f>
      </c>
      <c r="S126" s="3">
        <f>SUMIFS('Data nguồn'!J:J, 'Data nguồn'!D:D, $D126, 'Data nguồn'!F:F, $B$1, 'Data nguồn'!C:C, S$3)</f>
      </c>
      <c r="T126" s="3">
        <f>SUMIFS('Data nguồn'!J:J, 'Data nguồn'!D:D, $D126, 'Data nguồn'!F:F, $B$1, 'Data nguồn'!C:C, T$3)</f>
      </c>
      <c r="V126" s="3">
        <f>SUM(E126:P126)</f>
      </c>
      <c r="W126" s="3">
        <f>SUM(Q126:T126)</f>
      </c>
      <c r="X126" s="3">
        <f>AVERAGE(R126:T126)</f>
      </c>
      <c r="Y126" s="3">
        <f>AVERAGE(O126:T126)</f>
      </c>
      <c r="Z126" s="3">
        <f>AVERAGE(L126:T126)</f>
      </c>
      <c r="AA126" s="4">
        <f>IFERROR((X126*2)/(Y126+Z126), 0)</f>
      </c>
      <c r="AB126" s="4">
        <f>IFERROR(W126/SUM(E126:H126), 0)</f>
      </c>
      <c r="AC126" s="4">
        <f>IFERROR(W126/SUM(E126:H126), 0)</f>
      </c>
      <c r="AD126" s="4">
        <f>IFERROR(T126/H126, 0)</f>
      </c>
    </row>
    <row r="127" ht="20" customHeight="1" spans="1:30" x14ac:dyDescent="0.25">
      <c r="A127">
        <v>124</v>
      </c>
      <c r="B127" t="s">
        <v>290</v>
      </c>
      <c r="C127" t="s">
        <v>367</v>
      </c>
      <c r="D127" s="2" t="s">
        <v>290</v>
      </c>
      <c r="E127" s="3">
        <f>SUMIFS('Data nguồn'!J:J, 'Data nguồn'!D:D, $D127, 'Data nguồn'!F:F, $B$1, 'Data nguồn'!C:C, E$3)</f>
      </c>
      <c r="F127" s="3">
        <f>SUMIFS('Data nguồn'!J:J, 'Data nguồn'!D:D, $D127, 'Data nguồn'!F:F, $B$1, 'Data nguồn'!C:C, F$3)</f>
      </c>
      <c r="G127" s="3">
        <f>SUMIFS('Data nguồn'!J:J, 'Data nguồn'!D:D, $D127, 'Data nguồn'!F:F, $B$1, 'Data nguồn'!C:C, G$3)</f>
      </c>
      <c r="H127" s="3">
        <f>SUMIFS('Data nguồn'!J:J, 'Data nguồn'!D:D, $D127, 'Data nguồn'!F:F, $B$1, 'Data nguồn'!C:C, H$3)</f>
      </c>
      <c r="I127" s="3">
        <f>SUMIFS('Data nguồn'!J:J, 'Data nguồn'!D:D, $D127, 'Data nguồn'!F:F, $B$1, 'Data nguồn'!C:C, I$3)</f>
      </c>
      <c r="J127" s="3">
        <f>SUMIFS('Data nguồn'!J:J, 'Data nguồn'!D:D, $D127, 'Data nguồn'!F:F, $B$1, 'Data nguồn'!C:C, J$3)</f>
      </c>
      <c r="K127" s="3">
        <f>SUMIFS('Data nguồn'!J:J, 'Data nguồn'!D:D, $D127, 'Data nguồn'!F:F, $B$1, 'Data nguồn'!C:C, K$3)</f>
      </c>
      <c r="L127" s="3">
        <f>SUMIFS('Data nguồn'!J:J, 'Data nguồn'!D:D, $D127, 'Data nguồn'!F:F, $B$1, 'Data nguồn'!C:C, L$3)</f>
      </c>
      <c r="M127" s="3">
        <f>SUMIFS('Data nguồn'!J:J, 'Data nguồn'!D:D, $D127, 'Data nguồn'!F:F, $B$1, 'Data nguồn'!C:C, M$3)</f>
      </c>
      <c r="N127" s="3">
        <f>SUMIFS('Data nguồn'!J:J, 'Data nguồn'!D:D, $D127, 'Data nguồn'!F:F, $B$1, 'Data nguồn'!C:C, N$3)</f>
      </c>
      <c r="O127" s="3">
        <f>SUMIFS('Data nguồn'!J:J, 'Data nguồn'!D:D, $D127, 'Data nguồn'!F:F, $B$1, 'Data nguồn'!C:C, O$3)</f>
      </c>
      <c r="P127" s="3">
        <f>SUMIFS('Data nguồn'!J:J, 'Data nguồn'!D:D, $D127, 'Data nguồn'!F:F, $B$1, 'Data nguồn'!C:C, P$3)</f>
      </c>
      <c r="Q127" s="3">
        <f>SUMIFS('Data nguồn'!J:J, 'Data nguồn'!D:D, $D127, 'Data nguồn'!F:F, $B$1, 'Data nguồn'!C:C, Q$3)</f>
      </c>
      <c r="R127" s="3">
        <f>SUMIFS('Data nguồn'!J:J, 'Data nguồn'!D:D, $D127, 'Data nguồn'!F:F, $B$1, 'Data nguồn'!C:C, R$3)</f>
      </c>
      <c r="S127" s="3">
        <f>SUMIFS('Data nguồn'!J:J, 'Data nguồn'!D:D, $D127, 'Data nguồn'!F:F, $B$1, 'Data nguồn'!C:C, S$3)</f>
      </c>
      <c r="T127" s="3">
        <f>SUMIFS('Data nguồn'!J:J, 'Data nguồn'!D:D, $D127, 'Data nguồn'!F:F, $B$1, 'Data nguồn'!C:C, T$3)</f>
      </c>
      <c r="V127" s="3">
        <f>SUM(E127:P127)</f>
      </c>
      <c r="W127" s="3">
        <f>SUM(Q127:T127)</f>
      </c>
      <c r="X127" s="3">
        <f>AVERAGE(R127:T127)</f>
      </c>
      <c r="Y127" s="3">
        <f>AVERAGE(O127:T127)</f>
      </c>
      <c r="Z127" s="3">
        <f>AVERAGE(L127:T127)</f>
      </c>
      <c r="AA127" s="4">
        <f>IFERROR((X127*2)/(Y127+Z127), 0)</f>
      </c>
      <c r="AB127" s="4">
        <f>IFERROR(W127/SUM(E127:H127), 0)</f>
      </c>
      <c r="AC127" s="4">
        <f>IFERROR(W127/SUM(E127:H127), 0)</f>
      </c>
      <c r="AD127" s="4">
        <f>IFERROR(T127/H127, 0)</f>
      </c>
    </row>
    <row r="128" ht="20" customHeight="1" spans="1:30" x14ac:dyDescent="0.25">
      <c r="A128">
        <v>125</v>
      </c>
      <c r="B128" t="s">
        <v>291</v>
      </c>
      <c r="C128" t="s">
        <v>369</v>
      </c>
      <c r="D128" s="2" t="s">
        <v>291</v>
      </c>
      <c r="E128" s="3">
        <f>SUMIFS('Data nguồn'!J:J, 'Data nguồn'!D:D, $D128, 'Data nguồn'!F:F, $B$1, 'Data nguồn'!C:C, E$3)</f>
      </c>
      <c r="F128" s="3">
        <f>SUMIFS('Data nguồn'!J:J, 'Data nguồn'!D:D, $D128, 'Data nguồn'!F:F, $B$1, 'Data nguồn'!C:C, F$3)</f>
      </c>
      <c r="G128" s="3">
        <f>SUMIFS('Data nguồn'!J:J, 'Data nguồn'!D:D, $D128, 'Data nguồn'!F:F, $B$1, 'Data nguồn'!C:C, G$3)</f>
      </c>
      <c r="H128" s="3">
        <f>SUMIFS('Data nguồn'!J:J, 'Data nguồn'!D:D, $D128, 'Data nguồn'!F:F, $B$1, 'Data nguồn'!C:C, H$3)</f>
      </c>
      <c r="I128" s="3">
        <f>SUMIFS('Data nguồn'!J:J, 'Data nguồn'!D:D, $D128, 'Data nguồn'!F:F, $B$1, 'Data nguồn'!C:C, I$3)</f>
      </c>
      <c r="J128" s="3">
        <f>SUMIFS('Data nguồn'!J:J, 'Data nguồn'!D:D, $D128, 'Data nguồn'!F:F, $B$1, 'Data nguồn'!C:C, J$3)</f>
      </c>
      <c r="K128" s="3">
        <f>SUMIFS('Data nguồn'!J:J, 'Data nguồn'!D:D, $D128, 'Data nguồn'!F:F, $B$1, 'Data nguồn'!C:C, K$3)</f>
      </c>
      <c r="L128" s="3">
        <f>SUMIFS('Data nguồn'!J:J, 'Data nguồn'!D:D, $D128, 'Data nguồn'!F:F, $B$1, 'Data nguồn'!C:C, L$3)</f>
      </c>
      <c r="M128" s="3">
        <f>SUMIFS('Data nguồn'!J:J, 'Data nguồn'!D:D, $D128, 'Data nguồn'!F:F, $B$1, 'Data nguồn'!C:C, M$3)</f>
      </c>
      <c r="N128" s="3">
        <f>SUMIFS('Data nguồn'!J:J, 'Data nguồn'!D:D, $D128, 'Data nguồn'!F:F, $B$1, 'Data nguồn'!C:C, N$3)</f>
      </c>
      <c r="O128" s="3">
        <f>SUMIFS('Data nguồn'!J:J, 'Data nguồn'!D:D, $D128, 'Data nguồn'!F:F, $B$1, 'Data nguồn'!C:C, O$3)</f>
      </c>
      <c r="P128" s="3">
        <f>SUMIFS('Data nguồn'!J:J, 'Data nguồn'!D:D, $D128, 'Data nguồn'!F:F, $B$1, 'Data nguồn'!C:C, P$3)</f>
      </c>
      <c r="Q128" s="3">
        <f>SUMIFS('Data nguồn'!J:J, 'Data nguồn'!D:D, $D128, 'Data nguồn'!F:F, $B$1, 'Data nguồn'!C:C, Q$3)</f>
      </c>
      <c r="R128" s="3">
        <f>SUMIFS('Data nguồn'!J:J, 'Data nguồn'!D:D, $D128, 'Data nguồn'!F:F, $B$1, 'Data nguồn'!C:C, R$3)</f>
      </c>
      <c r="S128" s="3">
        <f>SUMIFS('Data nguồn'!J:J, 'Data nguồn'!D:D, $D128, 'Data nguồn'!F:F, $B$1, 'Data nguồn'!C:C, S$3)</f>
      </c>
      <c r="T128" s="3">
        <f>SUMIFS('Data nguồn'!J:J, 'Data nguồn'!D:D, $D128, 'Data nguồn'!F:F, $B$1, 'Data nguồn'!C:C, T$3)</f>
      </c>
      <c r="V128" s="3">
        <f>SUM(E128:P128)</f>
      </c>
      <c r="W128" s="3">
        <f>SUM(Q128:T128)</f>
      </c>
      <c r="X128" s="3">
        <f>AVERAGE(R128:T128)</f>
      </c>
      <c r="Y128" s="3">
        <f>AVERAGE(O128:T128)</f>
      </c>
      <c r="Z128" s="3">
        <f>AVERAGE(L128:T128)</f>
      </c>
      <c r="AA128" s="4">
        <f>IFERROR((X128*2)/(Y128+Z128), 0)</f>
      </c>
      <c r="AB128" s="4">
        <f>IFERROR(W128/SUM(E128:H128), 0)</f>
      </c>
      <c r="AC128" s="4">
        <f>IFERROR(W128/SUM(E128:H128), 0)</f>
      </c>
      <c r="AD128" s="4">
        <f>IFERROR(T128/H128, 0)</f>
      </c>
    </row>
    <row r="129" ht="20" customHeight="1" spans="1:30" x14ac:dyDescent="0.25">
      <c r="A129">
        <v>126</v>
      </c>
      <c r="B129" t="s">
        <v>292</v>
      </c>
      <c r="C129" t="s">
        <v>369</v>
      </c>
      <c r="D129" s="2" t="s">
        <v>292</v>
      </c>
      <c r="E129" s="3">
        <f>SUMIFS('Data nguồn'!J:J, 'Data nguồn'!D:D, $D129, 'Data nguồn'!F:F, $B$1, 'Data nguồn'!C:C, E$3)</f>
      </c>
      <c r="F129" s="3">
        <f>SUMIFS('Data nguồn'!J:J, 'Data nguồn'!D:D, $D129, 'Data nguồn'!F:F, $B$1, 'Data nguồn'!C:C, F$3)</f>
      </c>
      <c r="G129" s="3">
        <f>SUMIFS('Data nguồn'!J:J, 'Data nguồn'!D:D, $D129, 'Data nguồn'!F:F, $B$1, 'Data nguồn'!C:C, G$3)</f>
      </c>
      <c r="H129" s="3">
        <f>SUMIFS('Data nguồn'!J:J, 'Data nguồn'!D:D, $D129, 'Data nguồn'!F:F, $B$1, 'Data nguồn'!C:C, H$3)</f>
      </c>
      <c r="I129" s="3">
        <f>SUMIFS('Data nguồn'!J:J, 'Data nguồn'!D:D, $D129, 'Data nguồn'!F:F, $B$1, 'Data nguồn'!C:C, I$3)</f>
      </c>
      <c r="J129" s="3">
        <f>SUMIFS('Data nguồn'!J:J, 'Data nguồn'!D:D, $D129, 'Data nguồn'!F:F, $B$1, 'Data nguồn'!C:C, J$3)</f>
      </c>
      <c r="K129" s="3">
        <f>SUMIFS('Data nguồn'!J:J, 'Data nguồn'!D:D, $D129, 'Data nguồn'!F:F, $B$1, 'Data nguồn'!C:C, K$3)</f>
      </c>
      <c r="L129" s="3">
        <f>SUMIFS('Data nguồn'!J:J, 'Data nguồn'!D:D, $D129, 'Data nguồn'!F:F, $B$1, 'Data nguồn'!C:C, L$3)</f>
      </c>
      <c r="M129" s="3">
        <f>SUMIFS('Data nguồn'!J:J, 'Data nguồn'!D:D, $D129, 'Data nguồn'!F:F, $B$1, 'Data nguồn'!C:C, M$3)</f>
      </c>
      <c r="N129" s="3">
        <f>SUMIFS('Data nguồn'!J:J, 'Data nguồn'!D:D, $D129, 'Data nguồn'!F:F, $B$1, 'Data nguồn'!C:C, N$3)</f>
      </c>
      <c r="O129" s="3">
        <f>SUMIFS('Data nguồn'!J:J, 'Data nguồn'!D:D, $D129, 'Data nguồn'!F:F, $B$1, 'Data nguồn'!C:C, O$3)</f>
      </c>
      <c r="P129" s="3">
        <f>SUMIFS('Data nguồn'!J:J, 'Data nguồn'!D:D, $D129, 'Data nguồn'!F:F, $B$1, 'Data nguồn'!C:C, P$3)</f>
      </c>
      <c r="Q129" s="3">
        <f>SUMIFS('Data nguồn'!J:J, 'Data nguồn'!D:D, $D129, 'Data nguồn'!F:F, $B$1, 'Data nguồn'!C:C, Q$3)</f>
      </c>
      <c r="R129" s="3">
        <f>SUMIFS('Data nguồn'!J:J, 'Data nguồn'!D:D, $D129, 'Data nguồn'!F:F, $B$1, 'Data nguồn'!C:C, R$3)</f>
      </c>
      <c r="S129" s="3">
        <f>SUMIFS('Data nguồn'!J:J, 'Data nguồn'!D:D, $D129, 'Data nguồn'!F:F, $B$1, 'Data nguồn'!C:C, S$3)</f>
      </c>
      <c r="T129" s="3">
        <f>SUMIFS('Data nguồn'!J:J, 'Data nguồn'!D:D, $D129, 'Data nguồn'!F:F, $B$1, 'Data nguồn'!C:C, T$3)</f>
      </c>
      <c r="V129" s="3">
        <f>SUM(E129:P129)</f>
      </c>
      <c r="W129" s="3">
        <f>SUM(Q129:T129)</f>
      </c>
      <c r="X129" s="3">
        <f>AVERAGE(R129:T129)</f>
      </c>
      <c r="Y129" s="3">
        <f>AVERAGE(O129:T129)</f>
      </c>
      <c r="Z129" s="3">
        <f>AVERAGE(L129:T129)</f>
      </c>
      <c r="AA129" s="4">
        <f>IFERROR((X129*2)/(Y129+Z129), 0)</f>
      </c>
      <c r="AB129" s="4">
        <f>IFERROR(W129/SUM(E129:H129), 0)</f>
      </c>
      <c r="AC129" s="4">
        <f>IFERROR(W129/SUM(E129:H129), 0)</f>
      </c>
      <c r="AD129" s="4">
        <f>IFERROR(T129/H129, 0)</f>
      </c>
    </row>
    <row r="130" ht="20" customHeight="1" spans="1:30" x14ac:dyDescent="0.25">
      <c r="A130">
        <v>127</v>
      </c>
      <c r="B130" t="s">
        <v>293</v>
      </c>
      <c r="C130" t="s">
        <v>369</v>
      </c>
      <c r="D130" s="2" t="s">
        <v>293</v>
      </c>
      <c r="E130" s="3">
        <f>SUMIFS('Data nguồn'!J:J, 'Data nguồn'!D:D, $D130, 'Data nguồn'!F:F, $B$1, 'Data nguồn'!C:C, E$3)</f>
      </c>
      <c r="F130" s="3">
        <f>SUMIFS('Data nguồn'!J:J, 'Data nguồn'!D:D, $D130, 'Data nguồn'!F:F, $B$1, 'Data nguồn'!C:C, F$3)</f>
      </c>
      <c r="G130" s="3">
        <f>SUMIFS('Data nguồn'!J:J, 'Data nguồn'!D:D, $D130, 'Data nguồn'!F:F, $B$1, 'Data nguồn'!C:C, G$3)</f>
      </c>
      <c r="H130" s="3">
        <f>SUMIFS('Data nguồn'!J:J, 'Data nguồn'!D:D, $D130, 'Data nguồn'!F:F, $B$1, 'Data nguồn'!C:C, H$3)</f>
      </c>
      <c r="I130" s="3">
        <f>SUMIFS('Data nguồn'!J:J, 'Data nguồn'!D:D, $D130, 'Data nguồn'!F:F, $B$1, 'Data nguồn'!C:C, I$3)</f>
      </c>
      <c r="J130" s="3">
        <f>SUMIFS('Data nguồn'!J:J, 'Data nguồn'!D:D, $D130, 'Data nguồn'!F:F, $B$1, 'Data nguồn'!C:C, J$3)</f>
      </c>
      <c r="K130" s="3">
        <f>SUMIFS('Data nguồn'!J:J, 'Data nguồn'!D:D, $D130, 'Data nguồn'!F:F, $B$1, 'Data nguồn'!C:C, K$3)</f>
      </c>
      <c r="L130" s="3">
        <f>SUMIFS('Data nguồn'!J:J, 'Data nguồn'!D:D, $D130, 'Data nguồn'!F:F, $B$1, 'Data nguồn'!C:C, L$3)</f>
      </c>
      <c r="M130" s="3">
        <f>SUMIFS('Data nguồn'!J:J, 'Data nguồn'!D:D, $D130, 'Data nguồn'!F:F, $B$1, 'Data nguồn'!C:C, M$3)</f>
      </c>
      <c r="N130" s="3">
        <f>SUMIFS('Data nguồn'!J:J, 'Data nguồn'!D:D, $D130, 'Data nguồn'!F:F, $B$1, 'Data nguồn'!C:C, N$3)</f>
      </c>
      <c r="O130" s="3">
        <f>SUMIFS('Data nguồn'!J:J, 'Data nguồn'!D:D, $D130, 'Data nguồn'!F:F, $B$1, 'Data nguồn'!C:C, O$3)</f>
      </c>
      <c r="P130" s="3">
        <f>SUMIFS('Data nguồn'!J:J, 'Data nguồn'!D:D, $D130, 'Data nguồn'!F:F, $B$1, 'Data nguồn'!C:C, P$3)</f>
      </c>
      <c r="Q130" s="3">
        <f>SUMIFS('Data nguồn'!J:J, 'Data nguồn'!D:D, $D130, 'Data nguồn'!F:F, $B$1, 'Data nguồn'!C:C, Q$3)</f>
      </c>
      <c r="R130" s="3">
        <f>SUMIFS('Data nguồn'!J:J, 'Data nguồn'!D:D, $D130, 'Data nguồn'!F:F, $B$1, 'Data nguồn'!C:C, R$3)</f>
      </c>
      <c r="S130" s="3">
        <f>SUMIFS('Data nguồn'!J:J, 'Data nguồn'!D:D, $D130, 'Data nguồn'!F:F, $B$1, 'Data nguồn'!C:C, S$3)</f>
      </c>
      <c r="T130" s="3">
        <f>SUMIFS('Data nguồn'!J:J, 'Data nguồn'!D:D, $D130, 'Data nguồn'!F:F, $B$1, 'Data nguồn'!C:C, T$3)</f>
      </c>
      <c r="V130" s="3">
        <f>SUM(E130:P130)</f>
      </c>
      <c r="W130" s="3">
        <f>SUM(Q130:T130)</f>
      </c>
      <c r="X130" s="3">
        <f>AVERAGE(R130:T130)</f>
      </c>
      <c r="Y130" s="3">
        <f>AVERAGE(O130:T130)</f>
      </c>
      <c r="Z130" s="3">
        <f>AVERAGE(L130:T130)</f>
      </c>
      <c r="AA130" s="4">
        <f>IFERROR((X130*2)/(Y130+Z130), 0)</f>
      </c>
      <c r="AB130" s="4">
        <f>IFERROR(W130/SUM(E130:H130), 0)</f>
      </c>
      <c r="AC130" s="4">
        <f>IFERROR(W130/SUM(E130:H130), 0)</f>
      </c>
      <c r="AD130" s="4">
        <f>IFERROR(T130/H130, 0)</f>
      </c>
    </row>
    <row r="131" ht="20" customHeight="1" spans="1:30" x14ac:dyDescent="0.25">
      <c r="A131">
        <v>128</v>
      </c>
      <c r="B131" t="s">
        <v>294</v>
      </c>
      <c r="C131" t="s">
        <v>369</v>
      </c>
      <c r="D131" s="2" t="s">
        <v>294</v>
      </c>
      <c r="E131" s="3">
        <f>SUMIFS('Data nguồn'!J:J, 'Data nguồn'!D:D, $D131, 'Data nguồn'!F:F, $B$1, 'Data nguồn'!C:C, E$3)</f>
      </c>
      <c r="F131" s="3">
        <f>SUMIFS('Data nguồn'!J:J, 'Data nguồn'!D:D, $D131, 'Data nguồn'!F:F, $B$1, 'Data nguồn'!C:C, F$3)</f>
      </c>
      <c r="G131" s="3">
        <f>SUMIFS('Data nguồn'!J:J, 'Data nguồn'!D:D, $D131, 'Data nguồn'!F:F, $B$1, 'Data nguồn'!C:C, G$3)</f>
      </c>
      <c r="H131" s="3">
        <f>SUMIFS('Data nguồn'!J:J, 'Data nguồn'!D:D, $D131, 'Data nguồn'!F:F, $B$1, 'Data nguồn'!C:C, H$3)</f>
      </c>
      <c r="I131" s="3">
        <f>SUMIFS('Data nguồn'!J:J, 'Data nguồn'!D:D, $D131, 'Data nguồn'!F:F, $B$1, 'Data nguồn'!C:C, I$3)</f>
      </c>
      <c r="J131" s="3">
        <f>SUMIFS('Data nguồn'!J:J, 'Data nguồn'!D:D, $D131, 'Data nguồn'!F:F, $B$1, 'Data nguồn'!C:C, J$3)</f>
      </c>
      <c r="K131" s="3">
        <f>SUMIFS('Data nguồn'!J:J, 'Data nguồn'!D:D, $D131, 'Data nguồn'!F:F, $B$1, 'Data nguồn'!C:C, K$3)</f>
      </c>
      <c r="L131" s="3">
        <f>SUMIFS('Data nguồn'!J:J, 'Data nguồn'!D:D, $D131, 'Data nguồn'!F:F, $B$1, 'Data nguồn'!C:C, L$3)</f>
      </c>
      <c r="M131" s="3">
        <f>SUMIFS('Data nguồn'!J:J, 'Data nguồn'!D:D, $D131, 'Data nguồn'!F:F, $B$1, 'Data nguồn'!C:C, M$3)</f>
      </c>
      <c r="N131" s="3">
        <f>SUMIFS('Data nguồn'!J:J, 'Data nguồn'!D:D, $D131, 'Data nguồn'!F:F, $B$1, 'Data nguồn'!C:C, N$3)</f>
      </c>
      <c r="O131" s="3">
        <f>SUMIFS('Data nguồn'!J:J, 'Data nguồn'!D:D, $D131, 'Data nguồn'!F:F, $B$1, 'Data nguồn'!C:C, O$3)</f>
      </c>
      <c r="P131" s="3">
        <f>SUMIFS('Data nguồn'!J:J, 'Data nguồn'!D:D, $D131, 'Data nguồn'!F:F, $B$1, 'Data nguồn'!C:C, P$3)</f>
      </c>
      <c r="Q131" s="3">
        <f>SUMIFS('Data nguồn'!J:J, 'Data nguồn'!D:D, $D131, 'Data nguồn'!F:F, $B$1, 'Data nguồn'!C:C, Q$3)</f>
      </c>
      <c r="R131" s="3">
        <f>SUMIFS('Data nguồn'!J:J, 'Data nguồn'!D:D, $D131, 'Data nguồn'!F:F, $B$1, 'Data nguồn'!C:C, R$3)</f>
      </c>
      <c r="S131" s="3">
        <f>SUMIFS('Data nguồn'!J:J, 'Data nguồn'!D:D, $D131, 'Data nguồn'!F:F, $B$1, 'Data nguồn'!C:C, S$3)</f>
      </c>
      <c r="T131" s="3">
        <f>SUMIFS('Data nguồn'!J:J, 'Data nguồn'!D:D, $D131, 'Data nguồn'!F:F, $B$1, 'Data nguồn'!C:C, T$3)</f>
      </c>
      <c r="V131" s="3">
        <f>SUM(E131:P131)</f>
      </c>
      <c r="W131" s="3">
        <f>SUM(Q131:T131)</f>
      </c>
      <c r="X131" s="3">
        <f>AVERAGE(R131:T131)</f>
      </c>
      <c r="Y131" s="3">
        <f>AVERAGE(O131:T131)</f>
      </c>
      <c r="Z131" s="3">
        <f>AVERAGE(L131:T131)</f>
      </c>
      <c r="AA131" s="4">
        <f>IFERROR((X131*2)/(Y131+Z131), 0)</f>
      </c>
      <c r="AB131" s="4">
        <f>IFERROR(W131/SUM(E131:H131), 0)</f>
      </c>
      <c r="AC131" s="4">
        <f>IFERROR(W131/SUM(E131:H131), 0)</f>
      </c>
      <c r="AD131" s="4">
        <f>IFERROR(T131/H131, 0)</f>
      </c>
    </row>
    <row r="132" ht="20" customHeight="1" spans="1:30" x14ac:dyDescent="0.25">
      <c r="A132">
        <v>129</v>
      </c>
      <c r="B132" t="s">
        <v>295</v>
      </c>
      <c r="C132" t="s">
        <v>369</v>
      </c>
      <c r="D132" s="2" t="s">
        <v>295</v>
      </c>
      <c r="E132" s="3">
        <f>SUMIFS('Data nguồn'!J:J, 'Data nguồn'!D:D, $D132, 'Data nguồn'!F:F, $B$1, 'Data nguồn'!C:C, E$3)</f>
      </c>
      <c r="F132" s="3">
        <f>SUMIFS('Data nguồn'!J:J, 'Data nguồn'!D:D, $D132, 'Data nguồn'!F:F, $B$1, 'Data nguồn'!C:C, F$3)</f>
      </c>
      <c r="G132" s="3">
        <f>SUMIFS('Data nguồn'!J:J, 'Data nguồn'!D:D, $D132, 'Data nguồn'!F:F, $B$1, 'Data nguồn'!C:C, G$3)</f>
      </c>
      <c r="H132" s="3">
        <f>SUMIFS('Data nguồn'!J:J, 'Data nguồn'!D:D, $D132, 'Data nguồn'!F:F, $B$1, 'Data nguồn'!C:C, H$3)</f>
      </c>
      <c r="I132" s="3">
        <f>SUMIFS('Data nguồn'!J:J, 'Data nguồn'!D:D, $D132, 'Data nguồn'!F:F, $B$1, 'Data nguồn'!C:C, I$3)</f>
      </c>
      <c r="J132" s="3">
        <f>SUMIFS('Data nguồn'!J:J, 'Data nguồn'!D:D, $D132, 'Data nguồn'!F:F, $B$1, 'Data nguồn'!C:C, J$3)</f>
      </c>
      <c r="K132" s="3">
        <f>SUMIFS('Data nguồn'!J:J, 'Data nguồn'!D:D, $D132, 'Data nguồn'!F:F, $B$1, 'Data nguồn'!C:C, K$3)</f>
      </c>
      <c r="L132" s="3">
        <f>SUMIFS('Data nguồn'!J:J, 'Data nguồn'!D:D, $D132, 'Data nguồn'!F:F, $B$1, 'Data nguồn'!C:C, L$3)</f>
      </c>
      <c r="M132" s="3">
        <f>SUMIFS('Data nguồn'!J:J, 'Data nguồn'!D:D, $D132, 'Data nguồn'!F:F, $B$1, 'Data nguồn'!C:C, M$3)</f>
      </c>
      <c r="N132" s="3">
        <f>SUMIFS('Data nguồn'!J:J, 'Data nguồn'!D:D, $D132, 'Data nguồn'!F:F, $B$1, 'Data nguồn'!C:C, N$3)</f>
      </c>
      <c r="O132" s="3">
        <f>SUMIFS('Data nguồn'!J:J, 'Data nguồn'!D:D, $D132, 'Data nguồn'!F:F, $B$1, 'Data nguồn'!C:C, O$3)</f>
      </c>
      <c r="P132" s="3">
        <f>SUMIFS('Data nguồn'!J:J, 'Data nguồn'!D:D, $D132, 'Data nguồn'!F:F, $B$1, 'Data nguồn'!C:C, P$3)</f>
      </c>
      <c r="Q132" s="3">
        <f>SUMIFS('Data nguồn'!J:J, 'Data nguồn'!D:D, $D132, 'Data nguồn'!F:F, $B$1, 'Data nguồn'!C:C, Q$3)</f>
      </c>
      <c r="R132" s="3">
        <f>SUMIFS('Data nguồn'!J:J, 'Data nguồn'!D:D, $D132, 'Data nguồn'!F:F, $B$1, 'Data nguồn'!C:C, R$3)</f>
      </c>
      <c r="S132" s="3">
        <f>SUMIFS('Data nguồn'!J:J, 'Data nguồn'!D:D, $D132, 'Data nguồn'!F:F, $B$1, 'Data nguồn'!C:C, S$3)</f>
      </c>
      <c r="T132" s="3">
        <f>SUMIFS('Data nguồn'!J:J, 'Data nguồn'!D:D, $D132, 'Data nguồn'!F:F, $B$1, 'Data nguồn'!C:C, T$3)</f>
      </c>
      <c r="V132" s="3">
        <f>SUM(E132:P132)</f>
      </c>
      <c r="W132" s="3">
        <f>SUM(Q132:T132)</f>
      </c>
      <c r="X132" s="3">
        <f>AVERAGE(R132:T132)</f>
      </c>
      <c r="Y132" s="3">
        <f>AVERAGE(O132:T132)</f>
      </c>
      <c r="Z132" s="3">
        <f>AVERAGE(L132:T132)</f>
      </c>
      <c r="AA132" s="4">
        <f>IFERROR((X132*2)/(Y132+Z132), 0)</f>
      </c>
      <c r="AB132" s="4">
        <f>IFERROR(W132/SUM(E132:H132), 0)</f>
      </c>
      <c r="AC132" s="4">
        <f>IFERROR(W132/SUM(E132:H132), 0)</f>
      </c>
      <c r="AD132" s="4">
        <f>IFERROR(T132/H132, 0)</f>
      </c>
    </row>
    <row r="133" ht="20" customHeight="1" spans="1:30" x14ac:dyDescent="0.25">
      <c r="A133">
        <v>130</v>
      </c>
      <c r="B133" t="s">
        <v>296</v>
      </c>
      <c r="C133" t="s">
        <v>363</v>
      </c>
      <c r="D133" s="2" t="s">
        <v>296</v>
      </c>
      <c r="E133" s="3">
        <f>SUMIFS('Data nguồn'!J:J, 'Data nguồn'!D:D, $D133, 'Data nguồn'!F:F, $B$1, 'Data nguồn'!C:C, E$3)</f>
      </c>
      <c r="F133" s="3">
        <f>SUMIFS('Data nguồn'!J:J, 'Data nguồn'!D:D, $D133, 'Data nguồn'!F:F, $B$1, 'Data nguồn'!C:C, F$3)</f>
      </c>
      <c r="G133" s="3">
        <f>SUMIFS('Data nguồn'!J:J, 'Data nguồn'!D:D, $D133, 'Data nguồn'!F:F, $B$1, 'Data nguồn'!C:C, G$3)</f>
      </c>
      <c r="H133" s="3">
        <f>SUMIFS('Data nguồn'!J:J, 'Data nguồn'!D:D, $D133, 'Data nguồn'!F:F, $B$1, 'Data nguồn'!C:C, H$3)</f>
      </c>
      <c r="I133" s="3">
        <f>SUMIFS('Data nguồn'!J:J, 'Data nguồn'!D:D, $D133, 'Data nguồn'!F:F, $B$1, 'Data nguồn'!C:C, I$3)</f>
      </c>
      <c r="J133" s="3">
        <f>SUMIFS('Data nguồn'!J:J, 'Data nguồn'!D:D, $D133, 'Data nguồn'!F:F, $B$1, 'Data nguồn'!C:C, J$3)</f>
      </c>
      <c r="K133" s="3">
        <f>SUMIFS('Data nguồn'!J:J, 'Data nguồn'!D:D, $D133, 'Data nguồn'!F:F, $B$1, 'Data nguồn'!C:C, K$3)</f>
      </c>
      <c r="L133" s="3">
        <f>SUMIFS('Data nguồn'!J:J, 'Data nguồn'!D:D, $D133, 'Data nguồn'!F:F, $B$1, 'Data nguồn'!C:C, L$3)</f>
      </c>
      <c r="M133" s="3">
        <f>SUMIFS('Data nguồn'!J:J, 'Data nguồn'!D:D, $D133, 'Data nguồn'!F:F, $B$1, 'Data nguồn'!C:C, M$3)</f>
      </c>
      <c r="N133" s="3">
        <f>SUMIFS('Data nguồn'!J:J, 'Data nguồn'!D:D, $D133, 'Data nguồn'!F:F, $B$1, 'Data nguồn'!C:C, N$3)</f>
      </c>
      <c r="O133" s="3">
        <f>SUMIFS('Data nguồn'!J:J, 'Data nguồn'!D:D, $D133, 'Data nguồn'!F:F, $B$1, 'Data nguồn'!C:C, O$3)</f>
      </c>
      <c r="P133" s="3">
        <f>SUMIFS('Data nguồn'!J:J, 'Data nguồn'!D:D, $D133, 'Data nguồn'!F:F, $B$1, 'Data nguồn'!C:C, P$3)</f>
      </c>
      <c r="Q133" s="3">
        <f>SUMIFS('Data nguồn'!J:J, 'Data nguồn'!D:D, $D133, 'Data nguồn'!F:F, $B$1, 'Data nguồn'!C:C, Q$3)</f>
      </c>
      <c r="R133" s="3">
        <f>SUMIFS('Data nguồn'!J:J, 'Data nguồn'!D:D, $D133, 'Data nguồn'!F:F, $B$1, 'Data nguồn'!C:C, R$3)</f>
      </c>
      <c r="S133" s="3">
        <f>SUMIFS('Data nguồn'!J:J, 'Data nguồn'!D:D, $D133, 'Data nguồn'!F:F, $B$1, 'Data nguồn'!C:C, S$3)</f>
      </c>
      <c r="T133" s="3">
        <f>SUMIFS('Data nguồn'!J:J, 'Data nguồn'!D:D, $D133, 'Data nguồn'!F:F, $B$1, 'Data nguồn'!C:C, T$3)</f>
      </c>
      <c r="V133" s="3">
        <f>SUM(E133:P133)</f>
      </c>
      <c r="W133" s="3">
        <f>SUM(Q133:T133)</f>
      </c>
      <c r="X133" s="3">
        <f>AVERAGE(R133:T133)</f>
      </c>
      <c r="Y133" s="3">
        <f>AVERAGE(O133:T133)</f>
      </c>
      <c r="Z133" s="3">
        <f>AVERAGE(L133:T133)</f>
      </c>
      <c r="AA133" s="4">
        <f>IFERROR((X133*2)/(Y133+Z133), 0)</f>
      </c>
      <c r="AB133" s="4">
        <f>IFERROR(W133/SUM(E133:H133), 0)</f>
      </c>
      <c r="AC133" s="4">
        <f>IFERROR(W133/SUM(E133:H133), 0)</f>
      </c>
      <c r="AD133" s="4">
        <f>IFERROR(T133/H133, 0)</f>
      </c>
    </row>
    <row r="134" ht="20" customHeight="1" spans="1:30" x14ac:dyDescent="0.25">
      <c r="A134">
        <v>131</v>
      </c>
      <c r="B134" t="s">
        <v>297</v>
      </c>
      <c r="C134" t="s">
        <v>364</v>
      </c>
      <c r="D134" s="2" t="s">
        <v>297</v>
      </c>
      <c r="E134" s="3">
        <f>SUMIFS('Data nguồn'!J:J, 'Data nguồn'!D:D, $D134, 'Data nguồn'!F:F, $B$1, 'Data nguồn'!C:C, E$3)</f>
      </c>
      <c r="F134" s="3">
        <f>SUMIFS('Data nguồn'!J:J, 'Data nguồn'!D:D, $D134, 'Data nguồn'!F:F, $B$1, 'Data nguồn'!C:C, F$3)</f>
      </c>
      <c r="G134" s="3">
        <f>SUMIFS('Data nguồn'!J:J, 'Data nguồn'!D:D, $D134, 'Data nguồn'!F:F, $B$1, 'Data nguồn'!C:C, G$3)</f>
      </c>
      <c r="H134" s="3">
        <f>SUMIFS('Data nguồn'!J:J, 'Data nguồn'!D:D, $D134, 'Data nguồn'!F:F, $B$1, 'Data nguồn'!C:C, H$3)</f>
      </c>
      <c r="I134" s="3">
        <f>SUMIFS('Data nguồn'!J:J, 'Data nguồn'!D:D, $D134, 'Data nguồn'!F:F, $B$1, 'Data nguồn'!C:C, I$3)</f>
      </c>
      <c r="J134" s="3">
        <f>SUMIFS('Data nguồn'!J:J, 'Data nguồn'!D:D, $D134, 'Data nguồn'!F:F, $B$1, 'Data nguồn'!C:C, J$3)</f>
      </c>
      <c r="K134" s="3">
        <f>SUMIFS('Data nguồn'!J:J, 'Data nguồn'!D:D, $D134, 'Data nguồn'!F:F, $B$1, 'Data nguồn'!C:C, K$3)</f>
      </c>
      <c r="L134" s="3">
        <f>SUMIFS('Data nguồn'!J:J, 'Data nguồn'!D:D, $D134, 'Data nguồn'!F:F, $B$1, 'Data nguồn'!C:C, L$3)</f>
      </c>
      <c r="M134" s="3">
        <f>SUMIFS('Data nguồn'!J:J, 'Data nguồn'!D:D, $D134, 'Data nguồn'!F:F, $B$1, 'Data nguồn'!C:C, M$3)</f>
      </c>
      <c r="N134" s="3">
        <f>SUMIFS('Data nguồn'!J:J, 'Data nguồn'!D:D, $D134, 'Data nguồn'!F:F, $B$1, 'Data nguồn'!C:C, N$3)</f>
      </c>
      <c r="O134" s="3">
        <f>SUMIFS('Data nguồn'!J:J, 'Data nguồn'!D:D, $D134, 'Data nguồn'!F:F, $B$1, 'Data nguồn'!C:C, O$3)</f>
      </c>
      <c r="P134" s="3">
        <f>SUMIFS('Data nguồn'!J:J, 'Data nguồn'!D:D, $D134, 'Data nguồn'!F:F, $B$1, 'Data nguồn'!C:C, P$3)</f>
      </c>
      <c r="Q134" s="3">
        <f>SUMIFS('Data nguồn'!J:J, 'Data nguồn'!D:D, $D134, 'Data nguồn'!F:F, $B$1, 'Data nguồn'!C:C, Q$3)</f>
      </c>
      <c r="R134" s="3">
        <f>SUMIFS('Data nguồn'!J:J, 'Data nguồn'!D:D, $D134, 'Data nguồn'!F:F, $B$1, 'Data nguồn'!C:C, R$3)</f>
      </c>
      <c r="S134" s="3">
        <f>SUMIFS('Data nguồn'!J:J, 'Data nguồn'!D:D, $D134, 'Data nguồn'!F:F, $B$1, 'Data nguồn'!C:C, S$3)</f>
      </c>
      <c r="T134" s="3">
        <f>SUMIFS('Data nguồn'!J:J, 'Data nguồn'!D:D, $D134, 'Data nguồn'!F:F, $B$1, 'Data nguồn'!C:C, T$3)</f>
      </c>
      <c r="V134" s="3">
        <f>SUM(E134:P134)</f>
      </c>
      <c r="W134" s="3">
        <f>SUM(Q134:T134)</f>
      </c>
      <c r="X134" s="3">
        <f>AVERAGE(R134:T134)</f>
      </c>
      <c r="Y134" s="3">
        <f>AVERAGE(O134:T134)</f>
      </c>
      <c r="Z134" s="3">
        <f>AVERAGE(L134:T134)</f>
      </c>
      <c r="AA134" s="4">
        <f>IFERROR((X134*2)/(Y134+Z134), 0)</f>
      </c>
      <c r="AB134" s="4">
        <f>IFERROR(W134/SUM(E134:H134), 0)</f>
      </c>
      <c r="AC134" s="4">
        <f>IFERROR(W134/SUM(E134:H134), 0)</f>
      </c>
      <c r="AD134" s="4">
        <f>IFERROR(T134/H134, 0)</f>
      </c>
    </row>
    <row r="135" ht="20" customHeight="1" spans="1:30" x14ac:dyDescent="0.25">
      <c r="A135">
        <v>132</v>
      </c>
      <c r="B135" t="s">
        <v>298</v>
      </c>
      <c r="C135" t="s">
        <v>369</v>
      </c>
      <c r="D135" s="2" t="s">
        <v>298</v>
      </c>
      <c r="E135" s="3">
        <f>SUMIFS('Data nguồn'!J:J, 'Data nguồn'!D:D, $D135, 'Data nguồn'!F:F, $B$1, 'Data nguồn'!C:C, E$3)</f>
      </c>
      <c r="F135" s="3">
        <f>SUMIFS('Data nguồn'!J:J, 'Data nguồn'!D:D, $D135, 'Data nguồn'!F:F, $B$1, 'Data nguồn'!C:C, F$3)</f>
      </c>
      <c r="G135" s="3">
        <f>SUMIFS('Data nguồn'!J:J, 'Data nguồn'!D:D, $D135, 'Data nguồn'!F:F, $B$1, 'Data nguồn'!C:C, G$3)</f>
      </c>
      <c r="H135" s="3">
        <f>SUMIFS('Data nguồn'!J:J, 'Data nguồn'!D:D, $D135, 'Data nguồn'!F:F, $B$1, 'Data nguồn'!C:C, H$3)</f>
      </c>
      <c r="I135" s="3">
        <f>SUMIFS('Data nguồn'!J:J, 'Data nguồn'!D:D, $D135, 'Data nguồn'!F:F, $B$1, 'Data nguồn'!C:C, I$3)</f>
      </c>
      <c r="J135" s="3">
        <f>SUMIFS('Data nguồn'!J:J, 'Data nguồn'!D:D, $D135, 'Data nguồn'!F:F, $B$1, 'Data nguồn'!C:C, J$3)</f>
      </c>
      <c r="K135" s="3">
        <f>SUMIFS('Data nguồn'!J:J, 'Data nguồn'!D:D, $D135, 'Data nguồn'!F:F, $B$1, 'Data nguồn'!C:C, K$3)</f>
      </c>
      <c r="L135" s="3">
        <f>SUMIFS('Data nguồn'!J:J, 'Data nguồn'!D:D, $D135, 'Data nguồn'!F:F, $B$1, 'Data nguồn'!C:C, L$3)</f>
      </c>
      <c r="M135" s="3">
        <f>SUMIFS('Data nguồn'!J:J, 'Data nguồn'!D:D, $D135, 'Data nguồn'!F:F, $B$1, 'Data nguồn'!C:C, M$3)</f>
      </c>
      <c r="N135" s="3">
        <f>SUMIFS('Data nguồn'!J:J, 'Data nguồn'!D:D, $D135, 'Data nguồn'!F:F, $B$1, 'Data nguồn'!C:C, N$3)</f>
      </c>
      <c r="O135" s="3">
        <f>SUMIFS('Data nguồn'!J:J, 'Data nguồn'!D:D, $D135, 'Data nguồn'!F:F, $B$1, 'Data nguồn'!C:C, O$3)</f>
      </c>
      <c r="P135" s="3">
        <f>SUMIFS('Data nguồn'!J:J, 'Data nguồn'!D:D, $D135, 'Data nguồn'!F:F, $B$1, 'Data nguồn'!C:C, P$3)</f>
      </c>
      <c r="Q135" s="3">
        <f>SUMIFS('Data nguồn'!J:J, 'Data nguồn'!D:D, $D135, 'Data nguồn'!F:F, $B$1, 'Data nguồn'!C:C, Q$3)</f>
      </c>
      <c r="R135" s="3">
        <f>SUMIFS('Data nguồn'!J:J, 'Data nguồn'!D:D, $D135, 'Data nguồn'!F:F, $B$1, 'Data nguồn'!C:C, R$3)</f>
      </c>
      <c r="S135" s="3">
        <f>SUMIFS('Data nguồn'!J:J, 'Data nguồn'!D:D, $D135, 'Data nguồn'!F:F, $B$1, 'Data nguồn'!C:C, S$3)</f>
      </c>
      <c r="T135" s="3">
        <f>SUMIFS('Data nguồn'!J:J, 'Data nguồn'!D:D, $D135, 'Data nguồn'!F:F, $B$1, 'Data nguồn'!C:C, T$3)</f>
      </c>
      <c r="V135" s="3">
        <f>SUM(E135:P135)</f>
      </c>
      <c r="W135" s="3">
        <f>SUM(Q135:T135)</f>
      </c>
      <c r="X135" s="3">
        <f>AVERAGE(R135:T135)</f>
      </c>
      <c r="Y135" s="3">
        <f>AVERAGE(O135:T135)</f>
      </c>
      <c r="Z135" s="3">
        <f>AVERAGE(L135:T135)</f>
      </c>
      <c r="AA135" s="4">
        <f>IFERROR((X135*2)/(Y135+Z135), 0)</f>
      </c>
      <c r="AB135" s="4">
        <f>IFERROR(W135/SUM(E135:H135), 0)</f>
      </c>
      <c r="AC135" s="4">
        <f>IFERROR(W135/SUM(E135:H135), 0)</f>
      </c>
      <c r="AD135" s="4">
        <f>IFERROR(T135/H135, 0)</f>
      </c>
    </row>
    <row r="136" ht="20" customHeight="1" spans="1:30" x14ac:dyDescent="0.25">
      <c r="A136">
        <v>133</v>
      </c>
      <c r="B136" t="s">
        <v>299</v>
      </c>
      <c r="C136" t="s">
        <v>369</v>
      </c>
      <c r="D136" s="2" t="s">
        <v>299</v>
      </c>
      <c r="E136" s="3">
        <f>SUMIFS('Data nguồn'!J:J, 'Data nguồn'!D:D, $D136, 'Data nguồn'!F:F, $B$1, 'Data nguồn'!C:C, E$3)</f>
      </c>
      <c r="F136" s="3">
        <f>SUMIFS('Data nguồn'!J:J, 'Data nguồn'!D:D, $D136, 'Data nguồn'!F:F, $B$1, 'Data nguồn'!C:C, F$3)</f>
      </c>
      <c r="G136" s="3">
        <f>SUMIFS('Data nguồn'!J:J, 'Data nguồn'!D:D, $D136, 'Data nguồn'!F:F, $B$1, 'Data nguồn'!C:C, G$3)</f>
      </c>
      <c r="H136" s="3">
        <f>SUMIFS('Data nguồn'!J:J, 'Data nguồn'!D:D, $D136, 'Data nguồn'!F:F, $B$1, 'Data nguồn'!C:C, H$3)</f>
      </c>
      <c r="I136" s="3">
        <f>SUMIFS('Data nguồn'!J:J, 'Data nguồn'!D:D, $D136, 'Data nguồn'!F:F, $B$1, 'Data nguồn'!C:C, I$3)</f>
      </c>
      <c r="J136" s="3">
        <f>SUMIFS('Data nguồn'!J:J, 'Data nguồn'!D:D, $D136, 'Data nguồn'!F:F, $B$1, 'Data nguồn'!C:C, J$3)</f>
      </c>
      <c r="K136" s="3">
        <f>SUMIFS('Data nguồn'!J:J, 'Data nguồn'!D:D, $D136, 'Data nguồn'!F:F, $B$1, 'Data nguồn'!C:C, K$3)</f>
      </c>
      <c r="L136" s="3">
        <f>SUMIFS('Data nguồn'!J:J, 'Data nguồn'!D:D, $D136, 'Data nguồn'!F:F, $B$1, 'Data nguồn'!C:C, L$3)</f>
      </c>
      <c r="M136" s="3">
        <f>SUMIFS('Data nguồn'!J:J, 'Data nguồn'!D:D, $D136, 'Data nguồn'!F:F, $B$1, 'Data nguồn'!C:C, M$3)</f>
      </c>
      <c r="N136" s="3">
        <f>SUMIFS('Data nguồn'!J:J, 'Data nguồn'!D:D, $D136, 'Data nguồn'!F:F, $B$1, 'Data nguồn'!C:C, N$3)</f>
      </c>
      <c r="O136" s="3">
        <f>SUMIFS('Data nguồn'!J:J, 'Data nguồn'!D:D, $D136, 'Data nguồn'!F:F, $B$1, 'Data nguồn'!C:C, O$3)</f>
      </c>
      <c r="P136" s="3">
        <f>SUMIFS('Data nguồn'!J:J, 'Data nguồn'!D:D, $D136, 'Data nguồn'!F:F, $B$1, 'Data nguồn'!C:C, P$3)</f>
      </c>
      <c r="Q136" s="3">
        <f>SUMIFS('Data nguồn'!J:J, 'Data nguồn'!D:D, $D136, 'Data nguồn'!F:F, $B$1, 'Data nguồn'!C:C, Q$3)</f>
      </c>
      <c r="R136" s="3">
        <f>SUMIFS('Data nguồn'!J:J, 'Data nguồn'!D:D, $D136, 'Data nguồn'!F:F, $B$1, 'Data nguồn'!C:C, R$3)</f>
      </c>
      <c r="S136" s="3">
        <f>SUMIFS('Data nguồn'!J:J, 'Data nguồn'!D:D, $D136, 'Data nguồn'!F:F, $B$1, 'Data nguồn'!C:C, S$3)</f>
      </c>
      <c r="T136" s="3">
        <f>SUMIFS('Data nguồn'!J:J, 'Data nguồn'!D:D, $D136, 'Data nguồn'!F:F, $B$1, 'Data nguồn'!C:C, T$3)</f>
      </c>
      <c r="V136" s="3">
        <f>SUM(E136:P136)</f>
      </c>
      <c r="W136" s="3">
        <f>SUM(Q136:T136)</f>
      </c>
      <c r="X136" s="3">
        <f>AVERAGE(R136:T136)</f>
      </c>
      <c r="Y136" s="3">
        <f>AVERAGE(O136:T136)</f>
      </c>
      <c r="Z136" s="3">
        <f>AVERAGE(L136:T136)</f>
      </c>
      <c r="AA136" s="4">
        <f>IFERROR((X136*2)/(Y136+Z136), 0)</f>
      </c>
      <c r="AB136" s="4">
        <f>IFERROR(W136/SUM(E136:H136), 0)</f>
      </c>
      <c r="AC136" s="4">
        <f>IFERROR(W136/SUM(E136:H136), 0)</f>
      </c>
      <c r="AD136" s="4">
        <f>IFERROR(T136/H136, 0)</f>
      </c>
    </row>
    <row r="137" ht="20" customHeight="1" spans="1:30" x14ac:dyDescent="0.25">
      <c r="A137">
        <v>134</v>
      </c>
      <c r="B137" t="s">
        <v>300</v>
      </c>
      <c r="C137" t="s">
        <v>364</v>
      </c>
      <c r="D137" s="2" t="s">
        <v>300</v>
      </c>
      <c r="E137" s="3">
        <f>SUMIFS('Data nguồn'!J:J, 'Data nguồn'!D:D, $D137, 'Data nguồn'!F:F, $B$1, 'Data nguồn'!C:C, E$3)</f>
      </c>
      <c r="F137" s="3">
        <f>SUMIFS('Data nguồn'!J:J, 'Data nguồn'!D:D, $D137, 'Data nguồn'!F:F, $B$1, 'Data nguồn'!C:C, F$3)</f>
      </c>
      <c r="G137" s="3">
        <f>SUMIFS('Data nguồn'!J:J, 'Data nguồn'!D:D, $D137, 'Data nguồn'!F:F, $B$1, 'Data nguồn'!C:C, G$3)</f>
      </c>
      <c r="H137" s="3">
        <f>SUMIFS('Data nguồn'!J:J, 'Data nguồn'!D:D, $D137, 'Data nguồn'!F:F, $B$1, 'Data nguồn'!C:C, H$3)</f>
      </c>
      <c r="I137" s="3">
        <f>SUMIFS('Data nguồn'!J:J, 'Data nguồn'!D:D, $D137, 'Data nguồn'!F:F, $B$1, 'Data nguồn'!C:C, I$3)</f>
      </c>
      <c r="J137" s="3">
        <f>SUMIFS('Data nguồn'!J:J, 'Data nguồn'!D:D, $D137, 'Data nguồn'!F:F, $B$1, 'Data nguồn'!C:C, J$3)</f>
      </c>
      <c r="K137" s="3">
        <f>SUMIFS('Data nguồn'!J:J, 'Data nguồn'!D:D, $D137, 'Data nguồn'!F:F, $B$1, 'Data nguồn'!C:C, K$3)</f>
      </c>
      <c r="L137" s="3">
        <f>SUMIFS('Data nguồn'!J:J, 'Data nguồn'!D:D, $D137, 'Data nguồn'!F:F, $B$1, 'Data nguồn'!C:C, L$3)</f>
      </c>
      <c r="M137" s="3">
        <f>SUMIFS('Data nguồn'!J:J, 'Data nguồn'!D:D, $D137, 'Data nguồn'!F:F, $B$1, 'Data nguồn'!C:C, M$3)</f>
      </c>
      <c r="N137" s="3">
        <f>SUMIFS('Data nguồn'!J:J, 'Data nguồn'!D:D, $D137, 'Data nguồn'!F:F, $B$1, 'Data nguồn'!C:C, N$3)</f>
      </c>
      <c r="O137" s="3">
        <f>SUMIFS('Data nguồn'!J:J, 'Data nguồn'!D:D, $D137, 'Data nguồn'!F:F, $B$1, 'Data nguồn'!C:C, O$3)</f>
      </c>
      <c r="P137" s="3">
        <f>SUMIFS('Data nguồn'!J:J, 'Data nguồn'!D:D, $D137, 'Data nguồn'!F:F, $B$1, 'Data nguồn'!C:C, P$3)</f>
      </c>
      <c r="Q137" s="3">
        <f>SUMIFS('Data nguồn'!J:J, 'Data nguồn'!D:D, $D137, 'Data nguồn'!F:F, $B$1, 'Data nguồn'!C:C, Q$3)</f>
      </c>
      <c r="R137" s="3">
        <f>SUMIFS('Data nguồn'!J:J, 'Data nguồn'!D:D, $D137, 'Data nguồn'!F:F, $B$1, 'Data nguồn'!C:C, R$3)</f>
      </c>
      <c r="S137" s="3">
        <f>SUMIFS('Data nguồn'!J:J, 'Data nguồn'!D:D, $D137, 'Data nguồn'!F:F, $B$1, 'Data nguồn'!C:C, S$3)</f>
      </c>
      <c r="T137" s="3">
        <f>SUMIFS('Data nguồn'!J:J, 'Data nguồn'!D:D, $D137, 'Data nguồn'!F:F, $B$1, 'Data nguồn'!C:C, T$3)</f>
      </c>
      <c r="V137" s="3">
        <f>SUM(E137:P137)</f>
      </c>
      <c r="W137" s="3">
        <f>SUM(Q137:T137)</f>
      </c>
      <c r="X137" s="3">
        <f>AVERAGE(R137:T137)</f>
      </c>
      <c r="Y137" s="3">
        <f>AVERAGE(O137:T137)</f>
      </c>
      <c r="Z137" s="3">
        <f>AVERAGE(L137:T137)</f>
      </c>
      <c r="AA137" s="4">
        <f>IFERROR((X137*2)/(Y137+Z137), 0)</f>
      </c>
      <c r="AB137" s="4">
        <f>IFERROR(W137/SUM(E137:H137), 0)</f>
      </c>
      <c r="AC137" s="4">
        <f>IFERROR(W137/SUM(E137:H137), 0)</f>
      </c>
      <c r="AD137" s="4">
        <f>IFERROR(T137/H137, 0)</f>
      </c>
    </row>
    <row r="138" ht="20" customHeight="1" spans="1:30" x14ac:dyDescent="0.25">
      <c r="A138">
        <v>135</v>
      </c>
      <c r="B138" t="s">
        <v>301</v>
      </c>
      <c r="C138" t="s">
        <v>364</v>
      </c>
      <c r="D138" s="2" t="s">
        <v>301</v>
      </c>
      <c r="E138" s="3">
        <f>SUMIFS('Data nguồn'!J:J, 'Data nguồn'!D:D, $D138, 'Data nguồn'!F:F, $B$1, 'Data nguồn'!C:C, E$3)</f>
      </c>
      <c r="F138" s="3">
        <f>SUMIFS('Data nguồn'!J:J, 'Data nguồn'!D:D, $D138, 'Data nguồn'!F:F, $B$1, 'Data nguồn'!C:C, F$3)</f>
      </c>
      <c r="G138" s="3">
        <f>SUMIFS('Data nguồn'!J:J, 'Data nguồn'!D:D, $D138, 'Data nguồn'!F:F, $B$1, 'Data nguồn'!C:C, G$3)</f>
      </c>
      <c r="H138" s="3">
        <f>SUMIFS('Data nguồn'!J:J, 'Data nguồn'!D:D, $D138, 'Data nguồn'!F:F, $B$1, 'Data nguồn'!C:C, H$3)</f>
      </c>
      <c r="I138" s="3">
        <f>SUMIFS('Data nguồn'!J:J, 'Data nguồn'!D:D, $D138, 'Data nguồn'!F:F, $B$1, 'Data nguồn'!C:C, I$3)</f>
      </c>
      <c r="J138" s="3">
        <f>SUMIFS('Data nguồn'!J:J, 'Data nguồn'!D:D, $D138, 'Data nguồn'!F:F, $B$1, 'Data nguồn'!C:C, J$3)</f>
      </c>
      <c r="K138" s="3">
        <f>SUMIFS('Data nguồn'!J:J, 'Data nguồn'!D:D, $D138, 'Data nguồn'!F:F, $B$1, 'Data nguồn'!C:C, K$3)</f>
      </c>
      <c r="L138" s="3">
        <f>SUMIFS('Data nguồn'!J:J, 'Data nguồn'!D:D, $D138, 'Data nguồn'!F:F, $B$1, 'Data nguồn'!C:C, L$3)</f>
      </c>
      <c r="M138" s="3">
        <f>SUMIFS('Data nguồn'!J:J, 'Data nguồn'!D:D, $D138, 'Data nguồn'!F:F, $B$1, 'Data nguồn'!C:C, M$3)</f>
      </c>
      <c r="N138" s="3">
        <f>SUMIFS('Data nguồn'!J:J, 'Data nguồn'!D:D, $D138, 'Data nguồn'!F:F, $B$1, 'Data nguồn'!C:C, N$3)</f>
      </c>
      <c r="O138" s="3">
        <f>SUMIFS('Data nguồn'!J:J, 'Data nguồn'!D:D, $D138, 'Data nguồn'!F:F, $B$1, 'Data nguồn'!C:C, O$3)</f>
      </c>
      <c r="P138" s="3">
        <f>SUMIFS('Data nguồn'!J:J, 'Data nguồn'!D:D, $D138, 'Data nguồn'!F:F, $B$1, 'Data nguồn'!C:C, P$3)</f>
      </c>
      <c r="Q138" s="3">
        <f>SUMIFS('Data nguồn'!J:J, 'Data nguồn'!D:D, $D138, 'Data nguồn'!F:F, $B$1, 'Data nguồn'!C:C, Q$3)</f>
      </c>
      <c r="R138" s="3">
        <f>SUMIFS('Data nguồn'!J:J, 'Data nguồn'!D:D, $D138, 'Data nguồn'!F:F, $B$1, 'Data nguồn'!C:C, R$3)</f>
      </c>
      <c r="S138" s="3">
        <f>SUMIFS('Data nguồn'!J:J, 'Data nguồn'!D:D, $D138, 'Data nguồn'!F:F, $B$1, 'Data nguồn'!C:C, S$3)</f>
      </c>
      <c r="T138" s="3">
        <f>SUMIFS('Data nguồn'!J:J, 'Data nguồn'!D:D, $D138, 'Data nguồn'!F:F, $B$1, 'Data nguồn'!C:C, T$3)</f>
      </c>
      <c r="V138" s="3">
        <f>SUM(E138:P138)</f>
      </c>
      <c r="W138" s="3">
        <f>SUM(Q138:T138)</f>
      </c>
      <c r="X138" s="3">
        <f>AVERAGE(R138:T138)</f>
      </c>
      <c r="Y138" s="3">
        <f>AVERAGE(O138:T138)</f>
      </c>
      <c r="Z138" s="3">
        <f>AVERAGE(L138:T138)</f>
      </c>
      <c r="AA138" s="4">
        <f>IFERROR((X138*2)/(Y138+Z138), 0)</f>
      </c>
      <c r="AB138" s="4">
        <f>IFERROR(W138/SUM(E138:H138), 0)</f>
      </c>
      <c r="AC138" s="4">
        <f>IFERROR(W138/SUM(E138:H138), 0)</f>
      </c>
      <c r="AD138" s="4">
        <f>IFERROR(T138/H138, 0)</f>
      </c>
    </row>
    <row r="139" ht="20" customHeight="1" spans="1:30" x14ac:dyDescent="0.25">
      <c r="A139">
        <v>136</v>
      </c>
      <c r="B139" t="s">
        <v>302</v>
      </c>
      <c r="C139" t="s">
        <v>364</v>
      </c>
      <c r="D139" s="2" t="s">
        <v>302</v>
      </c>
      <c r="E139" s="3">
        <f>SUMIFS('Data nguồn'!J:J, 'Data nguồn'!D:D, $D139, 'Data nguồn'!F:F, $B$1, 'Data nguồn'!C:C, E$3)</f>
      </c>
      <c r="F139" s="3">
        <f>SUMIFS('Data nguồn'!J:J, 'Data nguồn'!D:D, $D139, 'Data nguồn'!F:F, $B$1, 'Data nguồn'!C:C, F$3)</f>
      </c>
      <c r="G139" s="3">
        <f>SUMIFS('Data nguồn'!J:J, 'Data nguồn'!D:D, $D139, 'Data nguồn'!F:F, $B$1, 'Data nguồn'!C:C, G$3)</f>
      </c>
      <c r="H139" s="3">
        <f>SUMIFS('Data nguồn'!J:J, 'Data nguồn'!D:D, $D139, 'Data nguồn'!F:F, $B$1, 'Data nguồn'!C:C, H$3)</f>
      </c>
      <c r="I139" s="3">
        <f>SUMIFS('Data nguồn'!J:J, 'Data nguồn'!D:D, $D139, 'Data nguồn'!F:F, $B$1, 'Data nguồn'!C:C, I$3)</f>
      </c>
      <c r="J139" s="3">
        <f>SUMIFS('Data nguồn'!J:J, 'Data nguồn'!D:D, $D139, 'Data nguồn'!F:F, $B$1, 'Data nguồn'!C:C, J$3)</f>
      </c>
      <c r="K139" s="3">
        <f>SUMIFS('Data nguồn'!J:J, 'Data nguồn'!D:D, $D139, 'Data nguồn'!F:F, $B$1, 'Data nguồn'!C:C, K$3)</f>
      </c>
      <c r="L139" s="3">
        <f>SUMIFS('Data nguồn'!J:J, 'Data nguồn'!D:D, $D139, 'Data nguồn'!F:F, $B$1, 'Data nguồn'!C:C, L$3)</f>
      </c>
      <c r="M139" s="3">
        <f>SUMIFS('Data nguồn'!J:J, 'Data nguồn'!D:D, $D139, 'Data nguồn'!F:F, $B$1, 'Data nguồn'!C:C, M$3)</f>
      </c>
      <c r="N139" s="3">
        <f>SUMIFS('Data nguồn'!J:J, 'Data nguồn'!D:D, $D139, 'Data nguồn'!F:F, $B$1, 'Data nguồn'!C:C, N$3)</f>
      </c>
      <c r="O139" s="3">
        <f>SUMIFS('Data nguồn'!J:J, 'Data nguồn'!D:D, $D139, 'Data nguồn'!F:F, $B$1, 'Data nguồn'!C:C, O$3)</f>
      </c>
      <c r="P139" s="3">
        <f>SUMIFS('Data nguồn'!J:J, 'Data nguồn'!D:D, $D139, 'Data nguồn'!F:F, $B$1, 'Data nguồn'!C:C, P$3)</f>
      </c>
      <c r="Q139" s="3">
        <f>SUMIFS('Data nguồn'!J:J, 'Data nguồn'!D:D, $D139, 'Data nguồn'!F:F, $B$1, 'Data nguồn'!C:C, Q$3)</f>
      </c>
      <c r="R139" s="3">
        <f>SUMIFS('Data nguồn'!J:J, 'Data nguồn'!D:D, $D139, 'Data nguồn'!F:F, $B$1, 'Data nguồn'!C:C, R$3)</f>
      </c>
      <c r="S139" s="3">
        <f>SUMIFS('Data nguồn'!J:J, 'Data nguồn'!D:D, $D139, 'Data nguồn'!F:F, $B$1, 'Data nguồn'!C:C, S$3)</f>
      </c>
      <c r="T139" s="3">
        <f>SUMIFS('Data nguồn'!J:J, 'Data nguồn'!D:D, $D139, 'Data nguồn'!F:F, $B$1, 'Data nguồn'!C:C, T$3)</f>
      </c>
      <c r="V139" s="3">
        <f>SUM(E139:P139)</f>
      </c>
      <c r="W139" s="3">
        <f>SUM(Q139:T139)</f>
      </c>
      <c r="X139" s="3">
        <f>AVERAGE(R139:T139)</f>
      </c>
      <c r="Y139" s="3">
        <f>AVERAGE(O139:T139)</f>
      </c>
      <c r="Z139" s="3">
        <f>AVERAGE(L139:T139)</f>
      </c>
      <c r="AA139" s="4">
        <f>IFERROR((X139*2)/(Y139+Z139), 0)</f>
      </c>
      <c r="AB139" s="4">
        <f>IFERROR(W139/SUM(E139:H139), 0)</f>
      </c>
      <c r="AC139" s="4">
        <f>IFERROR(W139/SUM(E139:H139), 0)</f>
      </c>
      <c r="AD139" s="4">
        <f>IFERROR(T139/H139, 0)</f>
      </c>
    </row>
    <row r="140" ht="20" customHeight="1" spans="1:30" x14ac:dyDescent="0.25">
      <c r="A140">
        <v>137</v>
      </c>
      <c r="B140" t="s">
        <v>303</v>
      </c>
      <c r="C140" t="s">
        <v>366</v>
      </c>
      <c r="D140" s="2" t="s">
        <v>303</v>
      </c>
      <c r="E140" s="3">
        <f>SUMIFS('Data nguồn'!J:J, 'Data nguồn'!D:D, $D140, 'Data nguồn'!F:F, $B$1, 'Data nguồn'!C:C, E$3)</f>
      </c>
      <c r="F140" s="3">
        <f>SUMIFS('Data nguồn'!J:J, 'Data nguồn'!D:D, $D140, 'Data nguồn'!F:F, $B$1, 'Data nguồn'!C:C, F$3)</f>
      </c>
      <c r="G140" s="3">
        <f>SUMIFS('Data nguồn'!J:J, 'Data nguồn'!D:D, $D140, 'Data nguồn'!F:F, $B$1, 'Data nguồn'!C:C, G$3)</f>
      </c>
      <c r="H140" s="3">
        <f>SUMIFS('Data nguồn'!J:J, 'Data nguồn'!D:D, $D140, 'Data nguồn'!F:F, $B$1, 'Data nguồn'!C:C, H$3)</f>
      </c>
      <c r="I140" s="3">
        <f>SUMIFS('Data nguồn'!J:J, 'Data nguồn'!D:D, $D140, 'Data nguồn'!F:F, $B$1, 'Data nguồn'!C:C, I$3)</f>
      </c>
      <c r="J140" s="3">
        <f>SUMIFS('Data nguồn'!J:J, 'Data nguồn'!D:D, $D140, 'Data nguồn'!F:F, $B$1, 'Data nguồn'!C:C, J$3)</f>
      </c>
      <c r="K140" s="3">
        <f>SUMIFS('Data nguồn'!J:J, 'Data nguồn'!D:D, $D140, 'Data nguồn'!F:F, $B$1, 'Data nguồn'!C:C, K$3)</f>
      </c>
      <c r="L140" s="3">
        <f>SUMIFS('Data nguồn'!J:J, 'Data nguồn'!D:D, $D140, 'Data nguồn'!F:F, $B$1, 'Data nguồn'!C:C, L$3)</f>
      </c>
      <c r="M140" s="3">
        <f>SUMIFS('Data nguồn'!J:J, 'Data nguồn'!D:D, $D140, 'Data nguồn'!F:F, $B$1, 'Data nguồn'!C:C, M$3)</f>
      </c>
      <c r="N140" s="3">
        <f>SUMIFS('Data nguồn'!J:J, 'Data nguồn'!D:D, $D140, 'Data nguồn'!F:F, $B$1, 'Data nguồn'!C:C, N$3)</f>
      </c>
      <c r="O140" s="3">
        <f>SUMIFS('Data nguồn'!J:J, 'Data nguồn'!D:D, $D140, 'Data nguồn'!F:F, $B$1, 'Data nguồn'!C:C, O$3)</f>
      </c>
      <c r="P140" s="3">
        <f>SUMIFS('Data nguồn'!J:J, 'Data nguồn'!D:D, $D140, 'Data nguồn'!F:F, $B$1, 'Data nguồn'!C:C, P$3)</f>
      </c>
      <c r="Q140" s="3">
        <f>SUMIFS('Data nguồn'!J:J, 'Data nguồn'!D:D, $D140, 'Data nguồn'!F:F, $B$1, 'Data nguồn'!C:C, Q$3)</f>
      </c>
      <c r="R140" s="3">
        <f>SUMIFS('Data nguồn'!J:J, 'Data nguồn'!D:D, $D140, 'Data nguồn'!F:F, $B$1, 'Data nguồn'!C:C, R$3)</f>
      </c>
      <c r="S140" s="3">
        <f>SUMIFS('Data nguồn'!J:J, 'Data nguồn'!D:D, $D140, 'Data nguồn'!F:F, $B$1, 'Data nguồn'!C:C, S$3)</f>
      </c>
      <c r="T140" s="3">
        <f>SUMIFS('Data nguồn'!J:J, 'Data nguồn'!D:D, $D140, 'Data nguồn'!F:F, $B$1, 'Data nguồn'!C:C, T$3)</f>
      </c>
      <c r="V140" s="3">
        <f>SUM(E140:P140)</f>
      </c>
      <c r="W140" s="3">
        <f>SUM(Q140:T140)</f>
      </c>
      <c r="X140" s="3">
        <f>AVERAGE(R140:T140)</f>
      </c>
      <c r="Y140" s="3">
        <f>AVERAGE(O140:T140)</f>
      </c>
      <c r="Z140" s="3">
        <f>AVERAGE(L140:T140)</f>
      </c>
      <c r="AA140" s="4">
        <f>IFERROR((X140*2)/(Y140+Z140), 0)</f>
      </c>
      <c r="AB140" s="4">
        <f>IFERROR(W140/SUM(E140:H140), 0)</f>
      </c>
      <c r="AC140" s="4">
        <f>IFERROR(W140/SUM(E140:H140), 0)</f>
      </c>
      <c r="AD140" s="4">
        <f>IFERROR(T140/H140, 0)</f>
      </c>
    </row>
    <row r="141" ht="20" customHeight="1" spans="1:30" x14ac:dyDescent="0.25">
      <c r="A141">
        <v>138</v>
      </c>
      <c r="B141" t="s">
        <v>304</v>
      </c>
      <c r="C141" t="s">
        <v>366</v>
      </c>
      <c r="D141" s="2" t="s">
        <v>304</v>
      </c>
      <c r="E141" s="3">
        <f>SUMIFS('Data nguồn'!J:J, 'Data nguồn'!D:D, $D141, 'Data nguồn'!F:F, $B$1, 'Data nguồn'!C:C, E$3)</f>
      </c>
      <c r="F141" s="3">
        <f>SUMIFS('Data nguồn'!J:J, 'Data nguồn'!D:D, $D141, 'Data nguồn'!F:F, $B$1, 'Data nguồn'!C:C, F$3)</f>
      </c>
      <c r="G141" s="3">
        <f>SUMIFS('Data nguồn'!J:J, 'Data nguồn'!D:D, $D141, 'Data nguồn'!F:F, $B$1, 'Data nguồn'!C:C, G$3)</f>
      </c>
      <c r="H141" s="3">
        <f>SUMIFS('Data nguồn'!J:J, 'Data nguồn'!D:D, $D141, 'Data nguồn'!F:F, $B$1, 'Data nguồn'!C:C, H$3)</f>
      </c>
      <c r="I141" s="3">
        <f>SUMIFS('Data nguồn'!J:J, 'Data nguồn'!D:D, $D141, 'Data nguồn'!F:F, $B$1, 'Data nguồn'!C:C, I$3)</f>
      </c>
      <c r="J141" s="3">
        <f>SUMIFS('Data nguồn'!J:J, 'Data nguồn'!D:D, $D141, 'Data nguồn'!F:F, $B$1, 'Data nguồn'!C:C, J$3)</f>
      </c>
      <c r="K141" s="3">
        <f>SUMIFS('Data nguồn'!J:J, 'Data nguồn'!D:D, $D141, 'Data nguồn'!F:F, $B$1, 'Data nguồn'!C:C, K$3)</f>
      </c>
      <c r="L141" s="3">
        <f>SUMIFS('Data nguồn'!J:J, 'Data nguồn'!D:D, $D141, 'Data nguồn'!F:F, $B$1, 'Data nguồn'!C:C, L$3)</f>
      </c>
      <c r="M141" s="3">
        <f>SUMIFS('Data nguồn'!J:J, 'Data nguồn'!D:D, $D141, 'Data nguồn'!F:F, $B$1, 'Data nguồn'!C:C, M$3)</f>
      </c>
      <c r="N141" s="3">
        <f>SUMIFS('Data nguồn'!J:J, 'Data nguồn'!D:D, $D141, 'Data nguồn'!F:F, $B$1, 'Data nguồn'!C:C, N$3)</f>
      </c>
      <c r="O141" s="3">
        <f>SUMIFS('Data nguồn'!J:J, 'Data nguồn'!D:D, $D141, 'Data nguồn'!F:F, $B$1, 'Data nguồn'!C:C, O$3)</f>
      </c>
      <c r="P141" s="3">
        <f>SUMIFS('Data nguồn'!J:J, 'Data nguồn'!D:D, $D141, 'Data nguồn'!F:F, $B$1, 'Data nguồn'!C:C, P$3)</f>
      </c>
      <c r="Q141" s="3">
        <f>SUMIFS('Data nguồn'!J:J, 'Data nguồn'!D:D, $D141, 'Data nguồn'!F:F, $B$1, 'Data nguồn'!C:C, Q$3)</f>
      </c>
      <c r="R141" s="3">
        <f>SUMIFS('Data nguồn'!J:J, 'Data nguồn'!D:D, $D141, 'Data nguồn'!F:F, $B$1, 'Data nguồn'!C:C, R$3)</f>
      </c>
      <c r="S141" s="3">
        <f>SUMIFS('Data nguồn'!J:J, 'Data nguồn'!D:D, $D141, 'Data nguồn'!F:F, $B$1, 'Data nguồn'!C:C, S$3)</f>
      </c>
      <c r="T141" s="3">
        <f>SUMIFS('Data nguồn'!J:J, 'Data nguồn'!D:D, $D141, 'Data nguồn'!F:F, $B$1, 'Data nguồn'!C:C, T$3)</f>
      </c>
      <c r="V141" s="3">
        <f>SUM(E141:P141)</f>
      </c>
      <c r="W141" s="3">
        <f>SUM(Q141:T141)</f>
      </c>
      <c r="X141" s="3">
        <f>AVERAGE(R141:T141)</f>
      </c>
      <c r="Y141" s="3">
        <f>AVERAGE(O141:T141)</f>
      </c>
      <c r="Z141" s="3">
        <f>AVERAGE(L141:T141)</f>
      </c>
      <c r="AA141" s="4">
        <f>IFERROR((X141*2)/(Y141+Z141), 0)</f>
      </c>
      <c r="AB141" s="4">
        <f>IFERROR(W141/SUM(E141:H141), 0)</f>
      </c>
      <c r="AC141" s="4">
        <f>IFERROR(W141/SUM(E141:H141), 0)</f>
      </c>
      <c r="AD141" s="4">
        <f>IFERROR(T141/H141, 0)</f>
      </c>
    </row>
    <row r="142" ht="20" customHeight="1" spans="1:30" x14ac:dyDescent="0.25">
      <c r="A142">
        <v>139</v>
      </c>
      <c r="B142" t="s">
        <v>305</v>
      </c>
      <c r="C142" t="s">
        <v>366</v>
      </c>
      <c r="D142" s="2" t="s">
        <v>305</v>
      </c>
      <c r="E142" s="3">
        <f>SUMIFS('Data nguồn'!J:J, 'Data nguồn'!D:D, $D142, 'Data nguồn'!F:F, $B$1, 'Data nguồn'!C:C, E$3)</f>
      </c>
      <c r="F142" s="3">
        <f>SUMIFS('Data nguồn'!J:J, 'Data nguồn'!D:D, $D142, 'Data nguồn'!F:F, $B$1, 'Data nguồn'!C:C, F$3)</f>
      </c>
      <c r="G142" s="3">
        <f>SUMIFS('Data nguồn'!J:J, 'Data nguồn'!D:D, $D142, 'Data nguồn'!F:F, $B$1, 'Data nguồn'!C:C, G$3)</f>
      </c>
      <c r="H142" s="3">
        <f>SUMIFS('Data nguồn'!J:J, 'Data nguồn'!D:D, $D142, 'Data nguồn'!F:F, $B$1, 'Data nguồn'!C:C, H$3)</f>
      </c>
      <c r="I142" s="3">
        <f>SUMIFS('Data nguồn'!J:J, 'Data nguồn'!D:D, $D142, 'Data nguồn'!F:F, $B$1, 'Data nguồn'!C:C, I$3)</f>
      </c>
      <c r="J142" s="3">
        <f>SUMIFS('Data nguồn'!J:J, 'Data nguồn'!D:D, $D142, 'Data nguồn'!F:F, $B$1, 'Data nguồn'!C:C, J$3)</f>
      </c>
      <c r="K142" s="3">
        <f>SUMIFS('Data nguồn'!J:J, 'Data nguồn'!D:D, $D142, 'Data nguồn'!F:F, $B$1, 'Data nguồn'!C:C, K$3)</f>
      </c>
      <c r="L142" s="3">
        <f>SUMIFS('Data nguồn'!J:J, 'Data nguồn'!D:D, $D142, 'Data nguồn'!F:F, $B$1, 'Data nguồn'!C:C, L$3)</f>
      </c>
      <c r="M142" s="3">
        <f>SUMIFS('Data nguồn'!J:J, 'Data nguồn'!D:D, $D142, 'Data nguồn'!F:F, $B$1, 'Data nguồn'!C:C, M$3)</f>
      </c>
      <c r="N142" s="3">
        <f>SUMIFS('Data nguồn'!J:J, 'Data nguồn'!D:D, $D142, 'Data nguồn'!F:F, $B$1, 'Data nguồn'!C:C, N$3)</f>
      </c>
      <c r="O142" s="3">
        <f>SUMIFS('Data nguồn'!J:J, 'Data nguồn'!D:D, $D142, 'Data nguồn'!F:F, $B$1, 'Data nguồn'!C:C, O$3)</f>
      </c>
      <c r="P142" s="3">
        <f>SUMIFS('Data nguồn'!J:J, 'Data nguồn'!D:D, $D142, 'Data nguồn'!F:F, $B$1, 'Data nguồn'!C:C, P$3)</f>
      </c>
      <c r="Q142" s="3">
        <f>SUMIFS('Data nguồn'!J:J, 'Data nguồn'!D:D, $D142, 'Data nguồn'!F:F, $B$1, 'Data nguồn'!C:C, Q$3)</f>
      </c>
      <c r="R142" s="3">
        <f>SUMIFS('Data nguồn'!J:J, 'Data nguồn'!D:D, $D142, 'Data nguồn'!F:F, $B$1, 'Data nguồn'!C:C, R$3)</f>
      </c>
      <c r="S142" s="3">
        <f>SUMIFS('Data nguồn'!J:J, 'Data nguồn'!D:D, $D142, 'Data nguồn'!F:F, $B$1, 'Data nguồn'!C:C, S$3)</f>
      </c>
      <c r="T142" s="3">
        <f>SUMIFS('Data nguồn'!J:J, 'Data nguồn'!D:D, $D142, 'Data nguồn'!F:F, $B$1, 'Data nguồn'!C:C, T$3)</f>
      </c>
      <c r="V142" s="3">
        <f>SUM(E142:P142)</f>
      </c>
      <c r="W142" s="3">
        <f>SUM(Q142:T142)</f>
      </c>
      <c r="X142" s="3">
        <f>AVERAGE(R142:T142)</f>
      </c>
      <c r="Y142" s="3">
        <f>AVERAGE(O142:T142)</f>
      </c>
      <c r="Z142" s="3">
        <f>AVERAGE(L142:T142)</f>
      </c>
      <c r="AA142" s="4">
        <f>IFERROR((X142*2)/(Y142+Z142), 0)</f>
      </c>
      <c r="AB142" s="4">
        <f>IFERROR(W142/SUM(E142:H142), 0)</f>
      </c>
      <c r="AC142" s="4">
        <f>IFERROR(W142/SUM(E142:H142), 0)</f>
      </c>
      <c r="AD142" s="4">
        <f>IFERROR(T142/H142, 0)</f>
      </c>
    </row>
    <row r="143" ht="20" customHeight="1" spans="1:30" x14ac:dyDescent="0.25">
      <c r="A143">
        <v>140</v>
      </c>
      <c r="B143" t="s">
        <v>306</v>
      </c>
      <c r="C143" t="s">
        <v>366</v>
      </c>
      <c r="D143" s="2" t="s">
        <v>306</v>
      </c>
      <c r="E143" s="3">
        <f>SUMIFS('Data nguồn'!J:J, 'Data nguồn'!D:D, $D143, 'Data nguồn'!F:F, $B$1, 'Data nguồn'!C:C, E$3)</f>
      </c>
      <c r="F143" s="3">
        <f>SUMIFS('Data nguồn'!J:J, 'Data nguồn'!D:D, $D143, 'Data nguồn'!F:F, $B$1, 'Data nguồn'!C:C, F$3)</f>
      </c>
      <c r="G143" s="3">
        <f>SUMIFS('Data nguồn'!J:J, 'Data nguồn'!D:D, $D143, 'Data nguồn'!F:F, $B$1, 'Data nguồn'!C:C, G$3)</f>
      </c>
      <c r="H143" s="3">
        <f>SUMIFS('Data nguồn'!J:J, 'Data nguồn'!D:D, $D143, 'Data nguồn'!F:F, $B$1, 'Data nguồn'!C:C, H$3)</f>
      </c>
      <c r="I143" s="3">
        <f>SUMIFS('Data nguồn'!J:J, 'Data nguồn'!D:D, $D143, 'Data nguồn'!F:F, $B$1, 'Data nguồn'!C:C, I$3)</f>
      </c>
      <c r="J143" s="3">
        <f>SUMIFS('Data nguồn'!J:J, 'Data nguồn'!D:D, $D143, 'Data nguồn'!F:F, $B$1, 'Data nguồn'!C:C, J$3)</f>
      </c>
      <c r="K143" s="3">
        <f>SUMIFS('Data nguồn'!J:J, 'Data nguồn'!D:D, $D143, 'Data nguồn'!F:F, $B$1, 'Data nguồn'!C:C, K$3)</f>
      </c>
      <c r="L143" s="3">
        <f>SUMIFS('Data nguồn'!J:J, 'Data nguồn'!D:D, $D143, 'Data nguồn'!F:F, $B$1, 'Data nguồn'!C:C, L$3)</f>
      </c>
      <c r="M143" s="3">
        <f>SUMIFS('Data nguồn'!J:J, 'Data nguồn'!D:D, $D143, 'Data nguồn'!F:F, $B$1, 'Data nguồn'!C:C, M$3)</f>
      </c>
      <c r="N143" s="3">
        <f>SUMIFS('Data nguồn'!J:J, 'Data nguồn'!D:D, $D143, 'Data nguồn'!F:F, $B$1, 'Data nguồn'!C:C, N$3)</f>
      </c>
      <c r="O143" s="3">
        <f>SUMIFS('Data nguồn'!J:J, 'Data nguồn'!D:D, $D143, 'Data nguồn'!F:F, $B$1, 'Data nguồn'!C:C, O$3)</f>
      </c>
      <c r="P143" s="3">
        <f>SUMIFS('Data nguồn'!J:J, 'Data nguồn'!D:D, $D143, 'Data nguồn'!F:F, $B$1, 'Data nguồn'!C:C, P$3)</f>
      </c>
      <c r="Q143" s="3">
        <f>SUMIFS('Data nguồn'!J:J, 'Data nguồn'!D:D, $D143, 'Data nguồn'!F:F, $B$1, 'Data nguồn'!C:C, Q$3)</f>
      </c>
      <c r="R143" s="3">
        <f>SUMIFS('Data nguồn'!J:J, 'Data nguồn'!D:D, $D143, 'Data nguồn'!F:F, $B$1, 'Data nguồn'!C:C, R$3)</f>
      </c>
      <c r="S143" s="3">
        <f>SUMIFS('Data nguồn'!J:J, 'Data nguồn'!D:D, $D143, 'Data nguồn'!F:F, $B$1, 'Data nguồn'!C:C, S$3)</f>
      </c>
      <c r="T143" s="3">
        <f>SUMIFS('Data nguồn'!J:J, 'Data nguồn'!D:D, $D143, 'Data nguồn'!F:F, $B$1, 'Data nguồn'!C:C, T$3)</f>
      </c>
      <c r="V143" s="3">
        <f>SUM(E143:P143)</f>
      </c>
      <c r="W143" s="3">
        <f>SUM(Q143:T143)</f>
      </c>
      <c r="X143" s="3">
        <f>AVERAGE(R143:T143)</f>
      </c>
      <c r="Y143" s="3">
        <f>AVERAGE(O143:T143)</f>
      </c>
      <c r="Z143" s="3">
        <f>AVERAGE(L143:T143)</f>
      </c>
      <c r="AA143" s="4">
        <f>IFERROR((X143*2)/(Y143+Z143), 0)</f>
      </c>
      <c r="AB143" s="4">
        <f>IFERROR(W143/SUM(E143:H143), 0)</f>
      </c>
      <c r="AC143" s="4">
        <f>IFERROR(W143/SUM(E143:H143), 0)</f>
      </c>
      <c r="AD143" s="4">
        <f>IFERROR(T143/H143, 0)</f>
      </c>
    </row>
    <row r="144" ht="20" customHeight="1" spans="1:30" x14ac:dyDescent="0.25">
      <c r="A144">
        <v>141</v>
      </c>
      <c r="B144" t="s">
        <v>307</v>
      </c>
      <c r="C144" t="s">
        <v>367</v>
      </c>
      <c r="D144" s="2" t="s">
        <v>307</v>
      </c>
      <c r="E144" s="3">
        <f>SUMIFS('Data nguồn'!J:J, 'Data nguồn'!D:D, $D144, 'Data nguồn'!F:F, $B$1, 'Data nguồn'!C:C, E$3)</f>
      </c>
      <c r="F144" s="3">
        <f>SUMIFS('Data nguồn'!J:J, 'Data nguồn'!D:D, $D144, 'Data nguồn'!F:F, $B$1, 'Data nguồn'!C:C, F$3)</f>
      </c>
      <c r="G144" s="3">
        <f>SUMIFS('Data nguồn'!J:J, 'Data nguồn'!D:D, $D144, 'Data nguồn'!F:F, $B$1, 'Data nguồn'!C:C, G$3)</f>
      </c>
      <c r="H144" s="3">
        <f>SUMIFS('Data nguồn'!J:J, 'Data nguồn'!D:D, $D144, 'Data nguồn'!F:F, $B$1, 'Data nguồn'!C:C, H$3)</f>
      </c>
      <c r="I144" s="3">
        <f>SUMIFS('Data nguồn'!J:J, 'Data nguồn'!D:D, $D144, 'Data nguồn'!F:F, $B$1, 'Data nguồn'!C:C, I$3)</f>
      </c>
      <c r="J144" s="3">
        <f>SUMIFS('Data nguồn'!J:J, 'Data nguồn'!D:D, $D144, 'Data nguồn'!F:F, $B$1, 'Data nguồn'!C:C, J$3)</f>
      </c>
      <c r="K144" s="3">
        <f>SUMIFS('Data nguồn'!J:J, 'Data nguồn'!D:D, $D144, 'Data nguồn'!F:F, $B$1, 'Data nguồn'!C:C, K$3)</f>
      </c>
      <c r="L144" s="3">
        <f>SUMIFS('Data nguồn'!J:J, 'Data nguồn'!D:D, $D144, 'Data nguồn'!F:F, $B$1, 'Data nguồn'!C:C, L$3)</f>
      </c>
      <c r="M144" s="3">
        <f>SUMIFS('Data nguồn'!J:J, 'Data nguồn'!D:D, $D144, 'Data nguồn'!F:F, $B$1, 'Data nguồn'!C:C, M$3)</f>
      </c>
      <c r="N144" s="3">
        <f>SUMIFS('Data nguồn'!J:J, 'Data nguồn'!D:D, $D144, 'Data nguồn'!F:F, $B$1, 'Data nguồn'!C:C, N$3)</f>
      </c>
      <c r="O144" s="3">
        <f>SUMIFS('Data nguồn'!J:J, 'Data nguồn'!D:D, $D144, 'Data nguồn'!F:F, $B$1, 'Data nguồn'!C:C, O$3)</f>
      </c>
      <c r="P144" s="3">
        <f>SUMIFS('Data nguồn'!J:J, 'Data nguồn'!D:D, $D144, 'Data nguồn'!F:F, $B$1, 'Data nguồn'!C:C, P$3)</f>
      </c>
      <c r="Q144" s="3">
        <f>SUMIFS('Data nguồn'!J:J, 'Data nguồn'!D:D, $D144, 'Data nguồn'!F:F, $B$1, 'Data nguồn'!C:C, Q$3)</f>
      </c>
      <c r="R144" s="3">
        <f>SUMIFS('Data nguồn'!J:J, 'Data nguồn'!D:D, $D144, 'Data nguồn'!F:F, $B$1, 'Data nguồn'!C:C, R$3)</f>
      </c>
      <c r="S144" s="3">
        <f>SUMIFS('Data nguồn'!J:J, 'Data nguồn'!D:D, $D144, 'Data nguồn'!F:F, $B$1, 'Data nguồn'!C:C, S$3)</f>
      </c>
      <c r="T144" s="3">
        <f>SUMIFS('Data nguồn'!J:J, 'Data nguồn'!D:D, $D144, 'Data nguồn'!F:F, $B$1, 'Data nguồn'!C:C, T$3)</f>
      </c>
      <c r="V144" s="3">
        <f>SUM(E144:P144)</f>
      </c>
      <c r="W144" s="3">
        <f>SUM(Q144:T144)</f>
      </c>
      <c r="X144" s="3">
        <f>AVERAGE(R144:T144)</f>
      </c>
      <c r="Y144" s="3">
        <f>AVERAGE(O144:T144)</f>
      </c>
      <c r="Z144" s="3">
        <f>AVERAGE(L144:T144)</f>
      </c>
      <c r="AA144" s="4">
        <f>IFERROR((X144*2)/(Y144+Z144), 0)</f>
      </c>
      <c r="AB144" s="4">
        <f>IFERROR(W144/SUM(E144:H144), 0)</f>
      </c>
      <c r="AC144" s="4">
        <f>IFERROR(W144/SUM(E144:H144), 0)</f>
      </c>
      <c r="AD144" s="4">
        <f>IFERROR(T144/H144, 0)</f>
      </c>
    </row>
    <row r="145" ht="20" customHeight="1" spans="1:30" x14ac:dyDescent="0.25">
      <c r="A145">
        <v>142</v>
      </c>
      <c r="B145" t="s">
        <v>308</v>
      </c>
      <c r="C145" t="s">
        <v>366</v>
      </c>
      <c r="D145" s="2" t="s">
        <v>308</v>
      </c>
      <c r="E145" s="3">
        <f>SUMIFS('Data nguồn'!J:J, 'Data nguồn'!D:D, $D145, 'Data nguồn'!F:F, $B$1, 'Data nguồn'!C:C, E$3)</f>
      </c>
      <c r="F145" s="3">
        <f>SUMIFS('Data nguồn'!J:J, 'Data nguồn'!D:D, $D145, 'Data nguồn'!F:F, $B$1, 'Data nguồn'!C:C, F$3)</f>
      </c>
      <c r="G145" s="3">
        <f>SUMIFS('Data nguồn'!J:J, 'Data nguồn'!D:D, $D145, 'Data nguồn'!F:F, $B$1, 'Data nguồn'!C:C, G$3)</f>
      </c>
      <c r="H145" s="3">
        <f>SUMIFS('Data nguồn'!J:J, 'Data nguồn'!D:D, $D145, 'Data nguồn'!F:F, $B$1, 'Data nguồn'!C:C, H$3)</f>
      </c>
      <c r="I145" s="3">
        <f>SUMIFS('Data nguồn'!J:J, 'Data nguồn'!D:D, $D145, 'Data nguồn'!F:F, $B$1, 'Data nguồn'!C:C, I$3)</f>
      </c>
      <c r="J145" s="3">
        <f>SUMIFS('Data nguồn'!J:J, 'Data nguồn'!D:D, $D145, 'Data nguồn'!F:F, $B$1, 'Data nguồn'!C:C, J$3)</f>
      </c>
      <c r="K145" s="3">
        <f>SUMIFS('Data nguồn'!J:J, 'Data nguồn'!D:D, $D145, 'Data nguồn'!F:F, $B$1, 'Data nguồn'!C:C, K$3)</f>
      </c>
      <c r="L145" s="3">
        <f>SUMIFS('Data nguồn'!J:J, 'Data nguồn'!D:D, $D145, 'Data nguồn'!F:F, $B$1, 'Data nguồn'!C:C, L$3)</f>
      </c>
      <c r="M145" s="3">
        <f>SUMIFS('Data nguồn'!J:J, 'Data nguồn'!D:D, $D145, 'Data nguồn'!F:F, $B$1, 'Data nguồn'!C:C, M$3)</f>
      </c>
      <c r="N145" s="3">
        <f>SUMIFS('Data nguồn'!J:J, 'Data nguồn'!D:D, $D145, 'Data nguồn'!F:F, $B$1, 'Data nguồn'!C:C, N$3)</f>
      </c>
      <c r="O145" s="3">
        <f>SUMIFS('Data nguồn'!J:J, 'Data nguồn'!D:D, $D145, 'Data nguồn'!F:F, $B$1, 'Data nguồn'!C:C, O$3)</f>
      </c>
      <c r="P145" s="3">
        <f>SUMIFS('Data nguồn'!J:J, 'Data nguồn'!D:D, $D145, 'Data nguồn'!F:F, $B$1, 'Data nguồn'!C:C, P$3)</f>
      </c>
      <c r="Q145" s="3">
        <f>SUMIFS('Data nguồn'!J:J, 'Data nguồn'!D:D, $D145, 'Data nguồn'!F:F, $B$1, 'Data nguồn'!C:C, Q$3)</f>
      </c>
      <c r="R145" s="3">
        <f>SUMIFS('Data nguồn'!J:J, 'Data nguồn'!D:D, $D145, 'Data nguồn'!F:F, $B$1, 'Data nguồn'!C:C, R$3)</f>
      </c>
      <c r="S145" s="3">
        <f>SUMIFS('Data nguồn'!J:J, 'Data nguồn'!D:D, $D145, 'Data nguồn'!F:F, $B$1, 'Data nguồn'!C:C, S$3)</f>
      </c>
      <c r="T145" s="3">
        <f>SUMIFS('Data nguồn'!J:J, 'Data nguồn'!D:D, $D145, 'Data nguồn'!F:F, $B$1, 'Data nguồn'!C:C, T$3)</f>
      </c>
      <c r="V145" s="3">
        <f>SUM(E145:P145)</f>
      </c>
      <c r="W145" s="3">
        <f>SUM(Q145:T145)</f>
      </c>
      <c r="X145" s="3">
        <f>AVERAGE(R145:T145)</f>
      </c>
      <c r="Y145" s="3">
        <f>AVERAGE(O145:T145)</f>
      </c>
      <c r="Z145" s="3">
        <f>AVERAGE(L145:T145)</f>
      </c>
      <c r="AA145" s="4">
        <f>IFERROR((X145*2)/(Y145+Z145), 0)</f>
      </c>
      <c r="AB145" s="4">
        <f>IFERROR(W145/SUM(E145:H145), 0)</f>
      </c>
      <c r="AC145" s="4">
        <f>IFERROR(W145/SUM(E145:H145), 0)</f>
      </c>
      <c r="AD145" s="4">
        <f>IFERROR(T145/H145, 0)</f>
      </c>
    </row>
    <row r="146" ht="20" customHeight="1" spans="1:30" x14ac:dyDescent="0.25">
      <c r="A146">
        <v>143</v>
      </c>
      <c r="B146" t="s">
        <v>309</v>
      </c>
      <c r="C146" t="s">
        <v>367</v>
      </c>
      <c r="D146" s="2" t="s">
        <v>309</v>
      </c>
      <c r="E146" s="3">
        <f>SUMIFS('Data nguồn'!J:J, 'Data nguồn'!D:D, $D146, 'Data nguồn'!F:F, $B$1, 'Data nguồn'!C:C, E$3)</f>
      </c>
      <c r="F146" s="3">
        <f>SUMIFS('Data nguồn'!J:J, 'Data nguồn'!D:D, $D146, 'Data nguồn'!F:F, $B$1, 'Data nguồn'!C:C, F$3)</f>
      </c>
      <c r="G146" s="3">
        <f>SUMIFS('Data nguồn'!J:J, 'Data nguồn'!D:D, $D146, 'Data nguồn'!F:F, $B$1, 'Data nguồn'!C:C, G$3)</f>
      </c>
      <c r="H146" s="3">
        <f>SUMIFS('Data nguồn'!J:J, 'Data nguồn'!D:D, $D146, 'Data nguồn'!F:F, $B$1, 'Data nguồn'!C:C, H$3)</f>
      </c>
      <c r="I146" s="3">
        <f>SUMIFS('Data nguồn'!J:J, 'Data nguồn'!D:D, $D146, 'Data nguồn'!F:F, $B$1, 'Data nguồn'!C:C, I$3)</f>
      </c>
      <c r="J146" s="3">
        <f>SUMIFS('Data nguồn'!J:J, 'Data nguồn'!D:D, $D146, 'Data nguồn'!F:F, $B$1, 'Data nguồn'!C:C, J$3)</f>
      </c>
      <c r="K146" s="3">
        <f>SUMIFS('Data nguồn'!J:J, 'Data nguồn'!D:D, $D146, 'Data nguồn'!F:F, $B$1, 'Data nguồn'!C:C, K$3)</f>
      </c>
      <c r="L146" s="3">
        <f>SUMIFS('Data nguồn'!J:J, 'Data nguồn'!D:D, $D146, 'Data nguồn'!F:F, $B$1, 'Data nguồn'!C:C, L$3)</f>
      </c>
      <c r="M146" s="3">
        <f>SUMIFS('Data nguồn'!J:J, 'Data nguồn'!D:D, $D146, 'Data nguồn'!F:F, $B$1, 'Data nguồn'!C:C, M$3)</f>
      </c>
      <c r="N146" s="3">
        <f>SUMIFS('Data nguồn'!J:J, 'Data nguồn'!D:D, $D146, 'Data nguồn'!F:F, $B$1, 'Data nguồn'!C:C, N$3)</f>
      </c>
      <c r="O146" s="3">
        <f>SUMIFS('Data nguồn'!J:J, 'Data nguồn'!D:D, $D146, 'Data nguồn'!F:F, $B$1, 'Data nguồn'!C:C, O$3)</f>
      </c>
      <c r="P146" s="3">
        <f>SUMIFS('Data nguồn'!J:J, 'Data nguồn'!D:D, $D146, 'Data nguồn'!F:F, $B$1, 'Data nguồn'!C:C, P$3)</f>
      </c>
      <c r="Q146" s="3">
        <f>SUMIFS('Data nguồn'!J:J, 'Data nguồn'!D:D, $D146, 'Data nguồn'!F:F, $B$1, 'Data nguồn'!C:C, Q$3)</f>
      </c>
      <c r="R146" s="3">
        <f>SUMIFS('Data nguồn'!J:J, 'Data nguồn'!D:D, $D146, 'Data nguồn'!F:F, $B$1, 'Data nguồn'!C:C, R$3)</f>
      </c>
      <c r="S146" s="3">
        <f>SUMIFS('Data nguồn'!J:J, 'Data nguồn'!D:D, $D146, 'Data nguồn'!F:F, $B$1, 'Data nguồn'!C:C, S$3)</f>
      </c>
      <c r="T146" s="3">
        <f>SUMIFS('Data nguồn'!J:J, 'Data nguồn'!D:D, $D146, 'Data nguồn'!F:F, $B$1, 'Data nguồn'!C:C, T$3)</f>
      </c>
      <c r="V146" s="3">
        <f>SUM(E146:P146)</f>
      </c>
      <c r="W146" s="3">
        <f>SUM(Q146:T146)</f>
      </c>
      <c r="X146" s="3">
        <f>AVERAGE(R146:T146)</f>
      </c>
      <c r="Y146" s="3">
        <f>AVERAGE(O146:T146)</f>
      </c>
      <c r="Z146" s="3">
        <f>AVERAGE(L146:T146)</f>
      </c>
      <c r="AA146" s="4">
        <f>IFERROR((X146*2)/(Y146+Z146), 0)</f>
      </c>
      <c r="AB146" s="4">
        <f>IFERROR(W146/SUM(E146:H146), 0)</f>
      </c>
      <c r="AC146" s="4">
        <f>IFERROR(W146/SUM(E146:H146), 0)</f>
      </c>
      <c r="AD146" s="4">
        <f>IFERROR(T146/H146, 0)</f>
      </c>
    </row>
    <row r="147" ht="20" customHeight="1" spans="1:30" x14ac:dyDescent="0.25">
      <c r="A147">
        <v>144</v>
      </c>
      <c r="B147" t="s">
        <v>310</v>
      </c>
      <c r="C147" t="s">
        <v>369</v>
      </c>
      <c r="D147" s="2" t="s">
        <v>310</v>
      </c>
      <c r="E147" s="3">
        <f>SUMIFS('Data nguồn'!J:J, 'Data nguồn'!D:D, $D147, 'Data nguồn'!F:F, $B$1, 'Data nguồn'!C:C, E$3)</f>
      </c>
      <c r="F147" s="3">
        <f>SUMIFS('Data nguồn'!J:J, 'Data nguồn'!D:D, $D147, 'Data nguồn'!F:F, $B$1, 'Data nguồn'!C:C, F$3)</f>
      </c>
      <c r="G147" s="3">
        <f>SUMIFS('Data nguồn'!J:J, 'Data nguồn'!D:D, $D147, 'Data nguồn'!F:F, $B$1, 'Data nguồn'!C:C, G$3)</f>
      </c>
      <c r="H147" s="3">
        <f>SUMIFS('Data nguồn'!J:J, 'Data nguồn'!D:D, $D147, 'Data nguồn'!F:F, $B$1, 'Data nguồn'!C:C, H$3)</f>
      </c>
      <c r="I147" s="3">
        <f>SUMIFS('Data nguồn'!J:J, 'Data nguồn'!D:D, $D147, 'Data nguồn'!F:F, $B$1, 'Data nguồn'!C:C, I$3)</f>
      </c>
      <c r="J147" s="3">
        <f>SUMIFS('Data nguồn'!J:J, 'Data nguồn'!D:D, $D147, 'Data nguồn'!F:F, $B$1, 'Data nguồn'!C:C, J$3)</f>
      </c>
      <c r="K147" s="3">
        <f>SUMIFS('Data nguồn'!J:J, 'Data nguồn'!D:D, $D147, 'Data nguồn'!F:F, $B$1, 'Data nguồn'!C:C, K$3)</f>
      </c>
      <c r="L147" s="3">
        <f>SUMIFS('Data nguồn'!J:J, 'Data nguồn'!D:D, $D147, 'Data nguồn'!F:F, $B$1, 'Data nguồn'!C:C, L$3)</f>
      </c>
      <c r="M147" s="3">
        <f>SUMIFS('Data nguồn'!J:J, 'Data nguồn'!D:D, $D147, 'Data nguồn'!F:F, $B$1, 'Data nguồn'!C:C, M$3)</f>
      </c>
      <c r="N147" s="3">
        <f>SUMIFS('Data nguồn'!J:J, 'Data nguồn'!D:D, $D147, 'Data nguồn'!F:F, $B$1, 'Data nguồn'!C:C, N$3)</f>
      </c>
      <c r="O147" s="3">
        <f>SUMIFS('Data nguồn'!J:J, 'Data nguồn'!D:D, $D147, 'Data nguồn'!F:F, $B$1, 'Data nguồn'!C:C, O$3)</f>
      </c>
      <c r="P147" s="3">
        <f>SUMIFS('Data nguồn'!J:J, 'Data nguồn'!D:D, $D147, 'Data nguồn'!F:F, $B$1, 'Data nguồn'!C:C, P$3)</f>
      </c>
      <c r="Q147" s="3">
        <f>SUMIFS('Data nguồn'!J:J, 'Data nguồn'!D:D, $D147, 'Data nguồn'!F:F, $B$1, 'Data nguồn'!C:C, Q$3)</f>
      </c>
      <c r="R147" s="3">
        <f>SUMIFS('Data nguồn'!J:J, 'Data nguồn'!D:D, $D147, 'Data nguồn'!F:F, $B$1, 'Data nguồn'!C:C, R$3)</f>
      </c>
      <c r="S147" s="3">
        <f>SUMIFS('Data nguồn'!J:J, 'Data nguồn'!D:D, $D147, 'Data nguồn'!F:F, $B$1, 'Data nguồn'!C:C, S$3)</f>
      </c>
      <c r="T147" s="3">
        <f>SUMIFS('Data nguồn'!J:J, 'Data nguồn'!D:D, $D147, 'Data nguồn'!F:F, $B$1, 'Data nguồn'!C:C, T$3)</f>
      </c>
      <c r="V147" s="3">
        <f>SUM(E147:P147)</f>
      </c>
      <c r="W147" s="3">
        <f>SUM(Q147:T147)</f>
      </c>
      <c r="X147" s="3">
        <f>AVERAGE(R147:T147)</f>
      </c>
      <c r="Y147" s="3">
        <f>AVERAGE(O147:T147)</f>
      </c>
      <c r="Z147" s="3">
        <f>AVERAGE(L147:T147)</f>
      </c>
      <c r="AA147" s="4">
        <f>IFERROR((X147*2)/(Y147+Z147), 0)</f>
      </c>
      <c r="AB147" s="4">
        <f>IFERROR(W147/SUM(E147:H147), 0)</f>
      </c>
      <c r="AC147" s="4">
        <f>IFERROR(W147/SUM(E147:H147), 0)</f>
      </c>
      <c r="AD147" s="4">
        <f>IFERROR(T147/H147, 0)</f>
      </c>
    </row>
    <row r="148" ht="20" customHeight="1" spans="1:30" x14ac:dyDescent="0.25">
      <c r="A148">
        <v>145</v>
      </c>
      <c r="B148" t="s">
        <v>311</v>
      </c>
      <c r="C148" t="s">
        <v>369</v>
      </c>
      <c r="D148" s="2" t="s">
        <v>311</v>
      </c>
      <c r="E148" s="3">
        <f>SUMIFS('Data nguồn'!J:J, 'Data nguồn'!D:D, $D148, 'Data nguồn'!F:F, $B$1, 'Data nguồn'!C:C, E$3)</f>
      </c>
      <c r="F148" s="3">
        <f>SUMIFS('Data nguồn'!J:J, 'Data nguồn'!D:D, $D148, 'Data nguồn'!F:F, $B$1, 'Data nguồn'!C:C, F$3)</f>
      </c>
      <c r="G148" s="3">
        <f>SUMIFS('Data nguồn'!J:J, 'Data nguồn'!D:D, $D148, 'Data nguồn'!F:F, $B$1, 'Data nguồn'!C:C, G$3)</f>
      </c>
      <c r="H148" s="3">
        <f>SUMIFS('Data nguồn'!J:J, 'Data nguồn'!D:D, $D148, 'Data nguồn'!F:F, $B$1, 'Data nguồn'!C:C, H$3)</f>
      </c>
      <c r="I148" s="3">
        <f>SUMIFS('Data nguồn'!J:J, 'Data nguồn'!D:D, $D148, 'Data nguồn'!F:F, $B$1, 'Data nguồn'!C:C, I$3)</f>
      </c>
      <c r="J148" s="3">
        <f>SUMIFS('Data nguồn'!J:J, 'Data nguồn'!D:D, $D148, 'Data nguồn'!F:F, $B$1, 'Data nguồn'!C:C, J$3)</f>
      </c>
      <c r="K148" s="3">
        <f>SUMIFS('Data nguồn'!J:J, 'Data nguồn'!D:D, $D148, 'Data nguồn'!F:F, $B$1, 'Data nguồn'!C:C, K$3)</f>
      </c>
      <c r="L148" s="3">
        <f>SUMIFS('Data nguồn'!J:J, 'Data nguồn'!D:D, $D148, 'Data nguồn'!F:F, $B$1, 'Data nguồn'!C:C, L$3)</f>
      </c>
      <c r="M148" s="3">
        <f>SUMIFS('Data nguồn'!J:J, 'Data nguồn'!D:D, $D148, 'Data nguồn'!F:F, $B$1, 'Data nguồn'!C:C, M$3)</f>
      </c>
      <c r="N148" s="3">
        <f>SUMIFS('Data nguồn'!J:J, 'Data nguồn'!D:D, $D148, 'Data nguồn'!F:F, $B$1, 'Data nguồn'!C:C, N$3)</f>
      </c>
      <c r="O148" s="3">
        <f>SUMIFS('Data nguồn'!J:J, 'Data nguồn'!D:D, $D148, 'Data nguồn'!F:F, $B$1, 'Data nguồn'!C:C, O$3)</f>
      </c>
      <c r="P148" s="3">
        <f>SUMIFS('Data nguồn'!J:J, 'Data nguồn'!D:D, $D148, 'Data nguồn'!F:F, $B$1, 'Data nguồn'!C:C, P$3)</f>
      </c>
      <c r="Q148" s="3">
        <f>SUMIFS('Data nguồn'!J:J, 'Data nguồn'!D:D, $D148, 'Data nguồn'!F:F, $B$1, 'Data nguồn'!C:C, Q$3)</f>
      </c>
      <c r="R148" s="3">
        <f>SUMIFS('Data nguồn'!J:J, 'Data nguồn'!D:D, $D148, 'Data nguồn'!F:F, $B$1, 'Data nguồn'!C:C, R$3)</f>
      </c>
      <c r="S148" s="3">
        <f>SUMIFS('Data nguồn'!J:J, 'Data nguồn'!D:D, $D148, 'Data nguồn'!F:F, $B$1, 'Data nguồn'!C:C, S$3)</f>
      </c>
      <c r="T148" s="3">
        <f>SUMIFS('Data nguồn'!J:J, 'Data nguồn'!D:D, $D148, 'Data nguồn'!F:F, $B$1, 'Data nguồn'!C:C, T$3)</f>
      </c>
      <c r="V148" s="3">
        <f>SUM(E148:P148)</f>
      </c>
      <c r="W148" s="3">
        <f>SUM(Q148:T148)</f>
      </c>
      <c r="X148" s="3">
        <f>AVERAGE(R148:T148)</f>
      </c>
      <c r="Y148" s="3">
        <f>AVERAGE(O148:T148)</f>
      </c>
      <c r="Z148" s="3">
        <f>AVERAGE(L148:T148)</f>
      </c>
      <c r="AA148" s="4">
        <f>IFERROR((X148*2)/(Y148+Z148), 0)</f>
      </c>
      <c r="AB148" s="4">
        <f>IFERROR(W148/SUM(E148:H148), 0)</f>
      </c>
      <c r="AC148" s="4">
        <f>IFERROR(W148/SUM(E148:H148), 0)</f>
      </c>
      <c r="AD148" s="4">
        <f>IFERROR(T148/H148, 0)</f>
      </c>
    </row>
    <row r="149" ht="20" customHeight="1" spans="1:30" x14ac:dyDescent="0.25">
      <c r="A149">
        <v>146</v>
      </c>
      <c r="B149" t="s">
        <v>312</v>
      </c>
      <c r="C149" t="s">
        <v>369</v>
      </c>
      <c r="D149" s="2" t="s">
        <v>312</v>
      </c>
      <c r="E149" s="3">
        <f>SUMIFS('Data nguồn'!J:J, 'Data nguồn'!D:D, $D149, 'Data nguồn'!F:F, $B$1, 'Data nguồn'!C:C, E$3)</f>
      </c>
      <c r="F149" s="3">
        <f>SUMIFS('Data nguồn'!J:J, 'Data nguồn'!D:D, $D149, 'Data nguồn'!F:F, $B$1, 'Data nguồn'!C:C, F$3)</f>
      </c>
      <c r="G149" s="3">
        <f>SUMIFS('Data nguồn'!J:J, 'Data nguồn'!D:D, $D149, 'Data nguồn'!F:F, $B$1, 'Data nguồn'!C:C, G$3)</f>
      </c>
      <c r="H149" s="3">
        <f>SUMIFS('Data nguồn'!J:J, 'Data nguồn'!D:D, $D149, 'Data nguồn'!F:F, $B$1, 'Data nguồn'!C:C, H$3)</f>
      </c>
      <c r="I149" s="3">
        <f>SUMIFS('Data nguồn'!J:J, 'Data nguồn'!D:D, $D149, 'Data nguồn'!F:F, $B$1, 'Data nguồn'!C:C, I$3)</f>
      </c>
      <c r="J149" s="3">
        <f>SUMIFS('Data nguồn'!J:J, 'Data nguồn'!D:D, $D149, 'Data nguồn'!F:F, $B$1, 'Data nguồn'!C:C, J$3)</f>
      </c>
      <c r="K149" s="3">
        <f>SUMIFS('Data nguồn'!J:J, 'Data nguồn'!D:D, $D149, 'Data nguồn'!F:F, $B$1, 'Data nguồn'!C:C, K$3)</f>
      </c>
      <c r="L149" s="3">
        <f>SUMIFS('Data nguồn'!J:J, 'Data nguồn'!D:D, $D149, 'Data nguồn'!F:F, $B$1, 'Data nguồn'!C:C, L$3)</f>
      </c>
      <c r="M149" s="3">
        <f>SUMIFS('Data nguồn'!J:J, 'Data nguồn'!D:D, $D149, 'Data nguồn'!F:F, $B$1, 'Data nguồn'!C:C, M$3)</f>
      </c>
      <c r="N149" s="3">
        <f>SUMIFS('Data nguồn'!J:J, 'Data nguồn'!D:D, $D149, 'Data nguồn'!F:F, $B$1, 'Data nguồn'!C:C, N$3)</f>
      </c>
      <c r="O149" s="3">
        <f>SUMIFS('Data nguồn'!J:J, 'Data nguồn'!D:D, $D149, 'Data nguồn'!F:F, $B$1, 'Data nguồn'!C:C, O$3)</f>
      </c>
      <c r="P149" s="3">
        <f>SUMIFS('Data nguồn'!J:J, 'Data nguồn'!D:D, $D149, 'Data nguồn'!F:F, $B$1, 'Data nguồn'!C:C, P$3)</f>
      </c>
      <c r="Q149" s="3">
        <f>SUMIFS('Data nguồn'!J:J, 'Data nguồn'!D:D, $D149, 'Data nguồn'!F:F, $B$1, 'Data nguồn'!C:C, Q$3)</f>
      </c>
      <c r="R149" s="3">
        <f>SUMIFS('Data nguồn'!J:J, 'Data nguồn'!D:D, $D149, 'Data nguồn'!F:F, $B$1, 'Data nguồn'!C:C, R$3)</f>
      </c>
      <c r="S149" s="3">
        <f>SUMIFS('Data nguồn'!J:J, 'Data nguồn'!D:D, $D149, 'Data nguồn'!F:F, $B$1, 'Data nguồn'!C:C, S$3)</f>
      </c>
      <c r="T149" s="3">
        <f>SUMIFS('Data nguồn'!J:J, 'Data nguồn'!D:D, $D149, 'Data nguồn'!F:F, $B$1, 'Data nguồn'!C:C, T$3)</f>
      </c>
      <c r="V149" s="3">
        <f>SUM(E149:P149)</f>
      </c>
      <c r="W149" s="3">
        <f>SUM(Q149:T149)</f>
      </c>
      <c r="X149" s="3">
        <f>AVERAGE(R149:T149)</f>
      </c>
      <c r="Y149" s="3">
        <f>AVERAGE(O149:T149)</f>
      </c>
      <c r="Z149" s="3">
        <f>AVERAGE(L149:T149)</f>
      </c>
      <c r="AA149" s="4">
        <f>IFERROR((X149*2)/(Y149+Z149), 0)</f>
      </c>
      <c r="AB149" s="4">
        <f>IFERROR(W149/SUM(E149:H149), 0)</f>
      </c>
      <c r="AC149" s="4">
        <f>IFERROR(W149/SUM(E149:H149), 0)</f>
      </c>
      <c r="AD149" s="4">
        <f>IFERROR(T149/H149, 0)</f>
      </c>
    </row>
    <row r="150" ht="20" customHeight="1" spans="1:30" x14ac:dyDescent="0.25">
      <c r="A150">
        <v>147</v>
      </c>
      <c r="B150" t="s">
        <v>313</v>
      </c>
      <c r="C150" t="s">
        <v>369</v>
      </c>
      <c r="D150" s="2" t="s">
        <v>313</v>
      </c>
      <c r="E150" s="3">
        <f>SUMIFS('Data nguồn'!J:J, 'Data nguồn'!D:D, $D150, 'Data nguồn'!F:F, $B$1, 'Data nguồn'!C:C, E$3)</f>
      </c>
      <c r="F150" s="3">
        <f>SUMIFS('Data nguồn'!J:J, 'Data nguồn'!D:D, $D150, 'Data nguồn'!F:F, $B$1, 'Data nguồn'!C:C, F$3)</f>
      </c>
      <c r="G150" s="3">
        <f>SUMIFS('Data nguồn'!J:J, 'Data nguồn'!D:D, $D150, 'Data nguồn'!F:F, $B$1, 'Data nguồn'!C:C, G$3)</f>
      </c>
      <c r="H150" s="3">
        <f>SUMIFS('Data nguồn'!J:J, 'Data nguồn'!D:D, $D150, 'Data nguồn'!F:F, $B$1, 'Data nguồn'!C:C, H$3)</f>
      </c>
      <c r="I150" s="3">
        <f>SUMIFS('Data nguồn'!J:J, 'Data nguồn'!D:D, $D150, 'Data nguồn'!F:F, $B$1, 'Data nguồn'!C:C, I$3)</f>
      </c>
      <c r="J150" s="3">
        <f>SUMIFS('Data nguồn'!J:J, 'Data nguồn'!D:D, $D150, 'Data nguồn'!F:F, $B$1, 'Data nguồn'!C:C, J$3)</f>
      </c>
      <c r="K150" s="3">
        <f>SUMIFS('Data nguồn'!J:J, 'Data nguồn'!D:D, $D150, 'Data nguồn'!F:F, $B$1, 'Data nguồn'!C:C, K$3)</f>
      </c>
      <c r="L150" s="3">
        <f>SUMIFS('Data nguồn'!J:J, 'Data nguồn'!D:D, $D150, 'Data nguồn'!F:F, $B$1, 'Data nguồn'!C:C, L$3)</f>
      </c>
      <c r="M150" s="3">
        <f>SUMIFS('Data nguồn'!J:J, 'Data nguồn'!D:D, $D150, 'Data nguồn'!F:F, $B$1, 'Data nguồn'!C:C, M$3)</f>
      </c>
      <c r="N150" s="3">
        <f>SUMIFS('Data nguồn'!J:J, 'Data nguồn'!D:D, $D150, 'Data nguồn'!F:F, $B$1, 'Data nguồn'!C:C, N$3)</f>
      </c>
      <c r="O150" s="3">
        <f>SUMIFS('Data nguồn'!J:J, 'Data nguồn'!D:D, $D150, 'Data nguồn'!F:F, $B$1, 'Data nguồn'!C:C, O$3)</f>
      </c>
      <c r="P150" s="3">
        <f>SUMIFS('Data nguồn'!J:J, 'Data nguồn'!D:D, $D150, 'Data nguồn'!F:F, $B$1, 'Data nguồn'!C:C, P$3)</f>
      </c>
      <c r="Q150" s="3">
        <f>SUMIFS('Data nguồn'!J:J, 'Data nguồn'!D:D, $D150, 'Data nguồn'!F:F, $B$1, 'Data nguồn'!C:C, Q$3)</f>
      </c>
      <c r="R150" s="3">
        <f>SUMIFS('Data nguồn'!J:J, 'Data nguồn'!D:D, $D150, 'Data nguồn'!F:F, $B$1, 'Data nguồn'!C:C, R$3)</f>
      </c>
      <c r="S150" s="3">
        <f>SUMIFS('Data nguồn'!J:J, 'Data nguồn'!D:D, $D150, 'Data nguồn'!F:F, $B$1, 'Data nguồn'!C:C, S$3)</f>
      </c>
      <c r="T150" s="3">
        <f>SUMIFS('Data nguồn'!J:J, 'Data nguồn'!D:D, $D150, 'Data nguồn'!F:F, $B$1, 'Data nguồn'!C:C, T$3)</f>
      </c>
      <c r="V150" s="3">
        <f>SUM(E150:P150)</f>
      </c>
      <c r="W150" s="3">
        <f>SUM(Q150:T150)</f>
      </c>
      <c r="X150" s="3">
        <f>AVERAGE(R150:T150)</f>
      </c>
      <c r="Y150" s="3">
        <f>AVERAGE(O150:T150)</f>
      </c>
      <c r="Z150" s="3">
        <f>AVERAGE(L150:T150)</f>
      </c>
      <c r="AA150" s="4">
        <f>IFERROR((X150*2)/(Y150+Z150), 0)</f>
      </c>
      <c r="AB150" s="4">
        <f>IFERROR(W150/SUM(E150:H150), 0)</f>
      </c>
      <c r="AC150" s="4">
        <f>IFERROR(W150/SUM(E150:H150), 0)</f>
      </c>
      <c r="AD150" s="4">
        <f>IFERROR(T150/H150, 0)</f>
      </c>
    </row>
    <row r="151" ht="20" customHeight="1" spans="1:30" x14ac:dyDescent="0.25">
      <c r="A151">
        <v>148</v>
      </c>
      <c r="B151" t="s">
        <v>314</v>
      </c>
      <c r="C151" t="s">
        <v>369</v>
      </c>
      <c r="D151" s="2" t="s">
        <v>314</v>
      </c>
      <c r="E151" s="3">
        <f>SUMIFS('Data nguồn'!J:J, 'Data nguồn'!D:D, $D151, 'Data nguồn'!F:F, $B$1, 'Data nguồn'!C:C, E$3)</f>
      </c>
      <c r="F151" s="3">
        <f>SUMIFS('Data nguồn'!J:J, 'Data nguồn'!D:D, $D151, 'Data nguồn'!F:F, $B$1, 'Data nguồn'!C:C, F$3)</f>
      </c>
      <c r="G151" s="3">
        <f>SUMIFS('Data nguồn'!J:J, 'Data nguồn'!D:D, $D151, 'Data nguồn'!F:F, $B$1, 'Data nguồn'!C:C, G$3)</f>
      </c>
      <c r="H151" s="3">
        <f>SUMIFS('Data nguồn'!J:J, 'Data nguồn'!D:D, $D151, 'Data nguồn'!F:F, $B$1, 'Data nguồn'!C:C, H$3)</f>
      </c>
      <c r="I151" s="3">
        <f>SUMIFS('Data nguồn'!J:J, 'Data nguồn'!D:D, $D151, 'Data nguồn'!F:F, $B$1, 'Data nguồn'!C:C, I$3)</f>
      </c>
      <c r="J151" s="3">
        <f>SUMIFS('Data nguồn'!J:J, 'Data nguồn'!D:D, $D151, 'Data nguồn'!F:F, $B$1, 'Data nguồn'!C:C, J$3)</f>
      </c>
      <c r="K151" s="3">
        <f>SUMIFS('Data nguồn'!J:J, 'Data nguồn'!D:D, $D151, 'Data nguồn'!F:F, $B$1, 'Data nguồn'!C:C, K$3)</f>
      </c>
      <c r="L151" s="3">
        <f>SUMIFS('Data nguồn'!J:J, 'Data nguồn'!D:D, $D151, 'Data nguồn'!F:F, $B$1, 'Data nguồn'!C:C, L$3)</f>
      </c>
      <c r="M151" s="3">
        <f>SUMIFS('Data nguồn'!J:J, 'Data nguồn'!D:D, $D151, 'Data nguồn'!F:F, $B$1, 'Data nguồn'!C:C, M$3)</f>
      </c>
      <c r="N151" s="3">
        <f>SUMIFS('Data nguồn'!J:J, 'Data nguồn'!D:D, $D151, 'Data nguồn'!F:F, $B$1, 'Data nguồn'!C:C, N$3)</f>
      </c>
      <c r="O151" s="3">
        <f>SUMIFS('Data nguồn'!J:J, 'Data nguồn'!D:D, $D151, 'Data nguồn'!F:F, $B$1, 'Data nguồn'!C:C, O$3)</f>
      </c>
      <c r="P151" s="3">
        <f>SUMIFS('Data nguồn'!J:J, 'Data nguồn'!D:D, $D151, 'Data nguồn'!F:F, $B$1, 'Data nguồn'!C:C, P$3)</f>
      </c>
      <c r="Q151" s="3">
        <f>SUMIFS('Data nguồn'!J:J, 'Data nguồn'!D:D, $D151, 'Data nguồn'!F:F, $B$1, 'Data nguồn'!C:C, Q$3)</f>
      </c>
      <c r="R151" s="3">
        <f>SUMIFS('Data nguồn'!J:J, 'Data nguồn'!D:D, $D151, 'Data nguồn'!F:F, $B$1, 'Data nguồn'!C:C, R$3)</f>
      </c>
      <c r="S151" s="3">
        <f>SUMIFS('Data nguồn'!J:J, 'Data nguồn'!D:D, $D151, 'Data nguồn'!F:F, $B$1, 'Data nguồn'!C:C, S$3)</f>
      </c>
      <c r="T151" s="3">
        <f>SUMIFS('Data nguồn'!J:J, 'Data nguồn'!D:D, $D151, 'Data nguồn'!F:F, $B$1, 'Data nguồn'!C:C, T$3)</f>
      </c>
      <c r="V151" s="3">
        <f>SUM(E151:P151)</f>
      </c>
      <c r="W151" s="3">
        <f>SUM(Q151:T151)</f>
      </c>
      <c r="X151" s="3">
        <f>AVERAGE(R151:T151)</f>
      </c>
      <c r="Y151" s="3">
        <f>AVERAGE(O151:T151)</f>
      </c>
      <c r="Z151" s="3">
        <f>AVERAGE(L151:T151)</f>
      </c>
      <c r="AA151" s="4">
        <f>IFERROR((X151*2)/(Y151+Z151), 0)</f>
      </c>
      <c r="AB151" s="4">
        <f>IFERROR(W151/SUM(E151:H151), 0)</f>
      </c>
      <c r="AC151" s="4">
        <f>IFERROR(W151/SUM(E151:H151), 0)</f>
      </c>
      <c r="AD151" s="4">
        <f>IFERROR(T151/H151, 0)</f>
      </c>
    </row>
    <row r="152" ht="20" customHeight="1" spans="1:30" x14ac:dyDescent="0.25">
      <c r="A152">
        <v>149</v>
      </c>
      <c r="B152" t="s">
        <v>315</v>
      </c>
      <c r="C152" t="s">
        <v>363</v>
      </c>
      <c r="D152" s="2" t="s">
        <v>315</v>
      </c>
      <c r="E152" s="3">
        <f>SUMIFS('Data nguồn'!J:J, 'Data nguồn'!D:D, $D152, 'Data nguồn'!F:F, $B$1, 'Data nguồn'!C:C, E$3)</f>
      </c>
      <c r="F152" s="3">
        <f>SUMIFS('Data nguồn'!J:J, 'Data nguồn'!D:D, $D152, 'Data nguồn'!F:F, $B$1, 'Data nguồn'!C:C, F$3)</f>
      </c>
      <c r="G152" s="3">
        <f>SUMIFS('Data nguồn'!J:J, 'Data nguồn'!D:D, $D152, 'Data nguồn'!F:F, $B$1, 'Data nguồn'!C:C, G$3)</f>
      </c>
      <c r="H152" s="3">
        <f>SUMIFS('Data nguồn'!J:J, 'Data nguồn'!D:D, $D152, 'Data nguồn'!F:F, $B$1, 'Data nguồn'!C:C, H$3)</f>
      </c>
      <c r="I152" s="3">
        <f>SUMIFS('Data nguồn'!J:J, 'Data nguồn'!D:D, $D152, 'Data nguồn'!F:F, $B$1, 'Data nguồn'!C:C, I$3)</f>
      </c>
      <c r="J152" s="3">
        <f>SUMIFS('Data nguồn'!J:J, 'Data nguồn'!D:D, $D152, 'Data nguồn'!F:F, $B$1, 'Data nguồn'!C:C, J$3)</f>
      </c>
      <c r="K152" s="3">
        <f>SUMIFS('Data nguồn'!J:J, 'Data nguồn'!D:D, $D152, 'Data nguồn'!F:F, $B$1, 'Data nguồn'!C:C, K$3)</f>
      </c>
      <c r="L152" s="3">
        <f>SUMIFS('Data nguồn'!J:J, 'Data nguồn'!D:D, $D152, 'Data nguồn'!F:F, $B$1, 'Data nguồn'!C:C, L$3)</f>
      </c>
      <c r="M152" s="3">
        <f>SUMIFS('Data nguồn'!J:J, 'Data nguồn'!D:D, $D152, 'Data nguồn'!F:F, $B$1, 'Data nguồn'!C:C, M$3)</f>
      </c>
      <c r="N152" s="3">
        <f>SUMIFS('Data nguồn'!J:J, 'Data nguồn'!D:D, $D152, 'Data nguồn'!F:F, $B$1, 'Data nguồn'!C:C, N$3)</f>
      </c>
      <c r="O152" s="3">
        <f>SUMIFS('Data nguồn'!J:J, 'Data nguồn'!D:D, $D152, 'Data nguồn'!F:F, $B$1, 'Data nguồn'!C:C, O$3)</f>
      </c>
      <c r="P152" s="3">
        <f>SUMIFS('Data nguồn'!J:J, 'Data nguồn'!D:D, $D152, 'Data nguồn'!F:F, $B$1, 'Data nguồn'!C:C, P$3)</f>
      </c>
      <c r="Q152" s="3">
        <f>SUMIFS('Data nguồn'!J:J, 'Data nguồn'!D:D, $D152, 'Data nguồn'!F:F, $B$1, 'Data nguồn'!C:C, Q$3)</f>
      </c>
      <c r="R152" s="3">
        <f>SUMIFS('Data nguồn'!J:J, 'Data nguồn'!D:D, $D152, 'Data nguồn'!F:F, $B$1, 'Data nguồn'!C:C, R$3)</f>
      </c>
      <c r="S152" s="3">
        <f>SUMIFS('Data nguồn'!J:J, 'Data nguồn'!D:D, $D152, 'Data nguồn'!F:F, $B$1, 'Data nguồn'!C:C, S$3)</f>
      </c>
      <c r="T152" s="3">
        <f>SUMIFS('Data nguồn'!J:J, 'Data nguồn'!D:D, $D152, 'Data nguồn'!F:F, $B$1, 'Data nguồn'!C:C, T$3)</f>
      </c>
      <c r="V152" s="3">
        <f>SUM(E152:P152)</f>
      </c>
      <c r="W152" s="3">
        <f>SUM(Q152:T152)</f>
      </c>
      <c r="X152" s="3">
        <f>AVERAGE(R152:T152)</f>
      </c>
      <c r="Y152" s="3">
        <f>AVERAGE(O152:T152)</f>
      </c>
      <c r="Z152" s="3">
        <f>AVERAGE(L152:T152)</f>
      </c>
      <c r="AA152" s="4">
        <f>IFERROR((X152*2)/(Y152+Z152), 0)</f>
      </c>
      <c r="AB152" s="4">
        <f>IFERROR(W152/SUM(E152:H152), 0)</f>
      </c>
      <c r="AC152" s="4">
        <f>IFERROR(W152/SUM(E152:H152), 0)</f>
      </c>
      <c r="AD152" s="4">
        <f>IFERROR(T152/H152, 0)</f>
      </c>
    </row>
    <row r="153" ht="20" customHeight="1" spans="1:30" x14ac:dyDescent="0.25">
      <c r="A153">
        <v>150</v>
      </c>
      <c r="B153" t="s">
        <v>316</v>
      </c>
      <c r="C153" t="s">
        <v>363</v>
      </c>
      <c r="D153" s="2" t="s">
        <v>316</v>
      </c>
      <c r="E153" s="3">
        <f>SUMIFS('Data nguồn'!J:J, 'Data nguồn'!D:D, $D153, 'Data nguồn'!F:F, $B$1, 'Data nguồn'!C:C, E$3)</f>
      </c>
      <c r="F153" s="3">
        <f>SUMIFS('Data nguồn'!J:J, 'Data nguồn'!D:D, $D153, 'Data nguồn'!F:F, $B$1, 'Data nguồn'!C:C, F$3)</f>
      </c>
      <c r="G153" s="3">
        <f>SUMIFS('Data nguồn'!J:J, 'Data nguồn'!D:D, $D153, 'Data nguồn'!F:F, $B$1, 'Data nguồn'!C:C, G$3)</f>
      </c>
      <c r="H153" s="3">
        <f>SUMIFS('Data nguồn'!J:J, 'Data nguồn'!D:D, $D153, 'Data nguồn'!F:F, $B$1, 'Data nguồn'!C:C, H$3)</f>
      </c>
      <c r="I153" s="3">
        <f>SUMIFS('Data nguồn'!J:J, 'Data nguồn'!D:D, $D153, 'Data nguồn'!F:F, $B$1, 'Data nguồn'!C:C, I$3)</f>
      </c>
      <c r="J153" s="3">
        <f>SUMIFS('Data nguồn'!J:J, 'Data nguồn'!D:D, $D153, 'Data nguồn'!F:F, $B$1, 'Data nguồn'!C:C, J$3)</f>
      </c>
      <c r="K153" s="3">
        <f>SUMIFS('Data nguồn'!J:J, 'Data nguồn'!D:D, $D153, 'Data nguồn'!F:F, $B$1, 'Data nguồn'!C:C, K$3)</f>
      </c>
      <c r="L153" s="3">
        <f>SUMIFS('Data nguồn'!J:J, 'Data nguồn'!D:D, $D153, 'Data nguồn'!F:F, $B$1, 'Data nguồn'!C:C, L$3)</f>
      </c>
      <c r="M153" s="3">
        <f>SUMIFS('Data nguồn'!J:J, 'Data nguồn'!D:D, $D153, 'Data nguồn'!F:F, $B$1, 'Data nguồn'!C:C, M$3)</f>
      </c>
      <c r="N153" s="3">
        <f>SUMIFS('Data nguồn'!J:J, 'Data nguồn'!D:D, $D153, 'Data nguồn'!F:F, $B$1, 'Data nguồn'!C:C, N$3)</f>
      </c>
      <c r="O153" s="3">
        <f>SUMIFS('Data nguồn'!J:J, 'Data nguồn'!D:D, $D153, 'Data nguồn'!F:F, $B$1, 'Data nguồn'!C:C, O$3)</f>
      </c>
      <c r="P153" s="3">
        <f>SUMIFS('Data nguồn'!J:J, 'Data nguồn'!D:D, $D153, 'Data nguồn'!F:F, $B$1, 'Data nguồn'!C:C, P$3)</f>
      </c>
      <c r="Q153" s="3">
        <f>SUMIFS('Data nguồn'!J:J, 'Data nguồn'!D:D, $D153, 'Data nguồn'!F:F, $B$1, 'Data nguồn'!C:C, Q$3)</f>
      </c>
      <c r="R153" s="3">
        <f>SUMIFS('Data nguồn'!J:J, 'Data nguồn'!D:D, $D153, 'Data nguồn'!F:F, $B$1, 'Data nguồn'!C:C, R$3)</f>
      </c>
      <c r="S153" s="3">
        <f>SUMIFS('Data nguồn'!J:J, 'Data nguồn'!D:D, $D153, 'Data nguồn'!F:F, $B$1, 'Data nguồn'!C:C, S$3)</f>
      </c>
      <c r="T153" s="3">
        <f>SUMIFS('Data nguồn'!J:J, 'Data nguồn'!D:D, $D153, 'Data nguồn'!F:F, $B$1, 'Data nguồn'!C:C, T$3)</f>
      </c>
      <c r="V153" s="3">
        <f>SUM(E153:P153)</f>
      </c>
      <c r="W153" s="3">
        <f>SUM(Q153:T153)</f>
      </c>
      <c r="X153" s="3">
        <f>AVERAGE(R153:T153)</f>
      </c>
      <c r="Y153" s="3">
        <f>AVERAGE(O153:T153)</f>
      </c>
      <c r="Z153" s="3">
        <f>AVERAGE(L153:T153)</f>
      </c>
      <c r="AA153" s="4">
        <f>IFERROR((X153*2)/(Y153+Z153), 0)</f>
      </c>
      <c r="AB153" s="4">
        <f>IFERROR(W153/SUM(E153:H153), 0)</f>
      </c>
      <c r="AC153" s="4">
        <f>IFERROR(W153/SUM(E153:H153), 0)</f>
      </c>
      <c r="AD153" s="4">
        <f>IFERROR(T153/H153, 0)</f>
      </c>
    </row>
    <row r="154" ht="20" customHeight="1" spans="1:30" x14ac:dyDescent="0.25">
      <c r="A154">
        <v>151</v>
      </c>
      <c r="B154" t="s">
        <v>317</v>
      </c>
      <c r="C154" t="s">
        <v>363</v>
      </c>
      <c r="D154" s="2" t="s">
        <v>317</v>
      </c>
      <c r="E154" s="3">
        <f>SUMIFS('Data nguồn'!J:J, 'Data nguồn'!D:D, $D154, 'Data nguồn'!F:F, $B$1, 'Data nguồn'!C:C, E$3)</f>
      </c>
      <c r="F154" s="3">
        <f>SUMIFS('Data nguồn'!J:J, 'Data nguồn'!D:D, $D154, 'Data nguồn'!F:F, $B$1, 'Data nguồn'!C:C, F$3)</f>
      </c>
      <c r="G154" s="3">
        <f>SUMIFS('Data nguồn'!J:J, 'Data nguồn'!D:D, $D154, 'Data nguồn'!F:F, $B$1, 'Data nguồn'!C:C, G$3)</f>
      </c>
      <c r="H154" s="3">
        <f>SUMIFS('Data nguồn'!J:J, 'Data nguồn'!D:D, $D154, 'Data nguồn'!F:F, $B$1, 'Data nguồn'!C:C, H$3)</f>
      </c>
      <c r="I154" s="3">
        <f>SUMIFS('Data nguồn'!J:J, 'Data nguồn'!D:D, $D154, 'Data nguồn'!F:F, $B$1, 'Data nguồn'!C:C, I$3)</f>
      </c>
      <c r="J154" s="3">
        <f>SUMIFS('Data nguồn'!J:J, 'Data nguồn'!D:D, $D154, 'Data nguồn'!F:F, $B$1, 'Data nguồn'!C:C, J$3)</f>
      </c>
      <c r="K154" s="3">
        <f>SUMIFS('Data nguồn'!J:J, 'Data nguồn'!D:D, $D154, 'Data nguồn'!F:F, $B$1, 'Data nguồn'!C:C, K$3)</f>
      </c>
      <c r="L154" s="3">
        <f>SUMIFS('Data nguồn'!J:J, 'Data nguồn'!D:D, $D154, 'Data nguồn'!F:F, $B$1, 'Data nguồn'!C:C, L$3)</f>
      </c>
      <c r="M154" s="3">
        <f>SUMIFS('Data nguồn'!J:J, 'Data nguồn'!D:D, $D154, 'Data nguồn'!F:F, $B$1, 'Data nguồn'!C:C, M$3)</f>
      </c>
      <c r="N154" s="3">
        <f>SUMIFS('Data nguồn'!J:J, 'Data nguồn'!D:D, $D154, 'Data nguồn'!F:F, $B$1, 'Data nguồn'!C:C, N$3)</f>
      </c>
      <c r="O154" s="3">
        <f>SUMIFS('Data nguồn'!J:J, 'Data nguồn'!D:D, $D154, 'Data nguồn'!F:F, $B$1, 'Data nguồn'!C:C, O$3)</f>
      </c>
      <c r="P154" s="3">
        <f>SUMIFS('Data nguồn'!J:J, 'Data nguồn'!D:D, $D154, 'Data nguồn'!F:F, $B$1, 'Data nguồn'!C:C, P$3)</f>
      </c>
      <c r="Q154" s="3">
        <f>SUMIFS('Data nguồn'!J:J, 'Data nguồn'!D:D, $D154, 'Data nguồn'!F:F, $B$1, 'Data nguồn'!C:C, Q$3)</f>
      </c>
      <c r="R154" s="3">
        <f>SUMIFS('Data nguồn'!J:J, 'Data nguồn'!D:D, $D154, 'Data nguồn'!F:F, $B$1, 'Data nguồn'!C:C, R$3)</f>
      </c>
      <c r="S154" s="3">
        <f>SUMIFS('Data nguồn'!J:J, 'Data nguồn'!D:D, $D154, 'Data nguồn'!F:F, $B$1, 'Data nguồn'!C:C, S$3)</f>
      </c>
      <c r="T154" s="3">
        <f>SUMIFS('Data nguồn'!J:J, 'Data nguồn'!D:D, $D154, 'Data nguồn'!F:F, $B$1, 'Data nguồn'!C:C, T$3)</f>
      </c>
      <c r="V154" s="3">
        <f>SUM(E154:P154)</f>
      </c>
      <c r="W154" s="3">
        <f>SUM(Q154:T154)</f>
      </c>
      <c r="X154" s="3">
        <f>AVERAGE(R154:T154)</f>
      </c>
      <c r="Y154" s="3">
        <f>AVERAGE(O154:T154)</f>
      </c>
      <c r="Z154" s="3">
        <f>AVERAGE(L154:T154)</f>
      </c>
      <c r="AA154" s="4">
        <f>IFERROR((X154*2)/(Y154+Z154), 0)</f>
      </c>
      <c r="AB154" s="4">
        <f>IFERROR(W154/SUM(E154:H154), 0)</f>
      </c>
      <c r="AC154" s="4">
        <f>IFERROR(W154/SUM(E154:H154), 0)</f>
      </c>
      <c r="AD154" s="4">
        <f>IFERROR(T154/H154, 0)</f>
      </c>
    </row>
    <row r="155" ht="20" customHeight="1" spans="1:30" x14ac:dyDescent="0.25">
      <c r="A155">
        <v>152</v>
      </c>
      <c r="B155" t="s">
        <v>318</v>
      </c>
      <c r="C155" t="s">
        <v>363</v>
      </c>
      <c r="D155" s="2" t="s">
        <v>318</v>
      </c>
      <c r="E155" s="3">
        <f>SUMIFS('Data nguồn'!J:J, 'Data nguồn'!D:D, $D155, 'Data nguồn'!F:F, $B$1, 'Data nguồn'!C:C, E$3)</f>
      </c>
      <c r="F155" s="3">
        <f>SUMIFS('Data nguồn'!J:J, 'Data nguồn'!D:D, $D155, 'Data nguồn'!F:F, $B$1, 'Data nguồn'!C:C, F$3)</f>
      </c>
      <c r="G155" s="3">
        <f>SUMIFS('Data nguồn'!J:J, 'Data nguồn'!D:D, $D155, 'Data nguồn'!F:F, $B$1, 'Data nguồn'!C:C, G$3)</f>
      </c>
      <c r="H155" s="3">
        <f>SUMIFS('Data nguồn'!J:J, 'Data nguồn'!D:D, $D155, 'Data nguồn'!F:F, $B$1, 'Data nguồn'!C:C, H$3)</f>
      </c>
      <c r="I155" s="3">
        <f>SUMIFS('Data nguồn'!J:J, 'Data nguồn'!D:D, $D155, 'Data nguồn'!F:F, $B$1, 'Data nguồn'!C:C, I$3)</f>
      </c>
      <c r="J155" s="3">
        <f>SUMIFS('Data nguồn'!J:J, 'Data nguồn'!D:D, $D155, 'Data nguồn'!F:F, $B$1, 'Data nguồn'!C:C, J$3)</f>
      </c>
      <c r="K155" s="3">
        <f>SUMIFS('Data nguồn'!J:J, 'Data nguồn'!D:D, $D155, 'Data nguồn'!F:F, $B$1, 'Data nguồn'!C:C, K$3)</f>
      </c>
      <c r="L155" s="3">
        <f>SUMIFS('Data nguồn'!J:J, 'Data nguồn'!D:D, $D155, 'Data nguồn'!F:F, $B$1, 'Data nguồn'!C:C, L$3)</f>
      </c>
      <c r="M155" s="3">
        <f>SUMIFS('Data nguồn'!J:J, 'Data nguồn'!D:D, $D155, 'Data nguồn'!F:F, $B$1, 'Data nguồn'!C:C, M$3)</f>
      </c>
      <c r="N155" s="3">
        <f>SUMIFS('Data nguồn'!J:J, 'Data nguồn'!D:D, $D155, 'Data nguồn'!F:F, $B$1, 'Data nguồn'!C:C, N$3)</f>
      </c>
      <c r="O155" s="3">
        <f>SUMIFS('Data nguồn'!J:J, 'Data nguồn'!D:D, $D155, 'Data nguồn'!F:F, $B$1, 'Data nguồn'!C:C, O$3)</f>
      </c>
      <c r="P155" s="3">
        <f>SUMIFS('Data nguồn'!J:J, 'Data nguồn'!D:D, $D155, 'Data nguồn'!F:F, $B$1, 'Data nguồn'!C:C, P$3)</f>
      </c>
      <c r="Q155" s="3">
        <f>SUMIFS('Data nguồn'!J:J, 'Data nguồn'!D:D, $D155, 'Data nguồn'!F:F, $B$1, 'Data nguồn'!C:C, Q$3)</f>
      </c>
      <c r="R155" s="3">
        <f>SUMIFS('Data nguồn'!J:J, 'Data nguồn'!D:D, $D155, 'Data nguồn'!F:F, $B$1, 'Data nguồn'!C:C, R$3)</f>
      </c>
      <c r="S155" s="3">
        <f>SUMIFS('Data nguồn'!J:J, 'Data nguồn'!D:D, $D155, 'Data nguồn'!F:F, $B$1, 'Data nguồn'!C:C, S$3)</f>
      </c>
      <c r="T155" s="3">
        <f>SUMIFS('Data nguồn'!J:J, 'Data nguồn'!D:D, $D155, 'Data nguồn'!F:F, $B$1, 'Data nguồn'!C:C, T$3)</f>
      </c>
      <c r="V155" s="3">
        <f>SUM(E155:P155)</f>
      </c>
      <c r="W155" s="3">
        <f>SUM(Q155:T155)</f>
      </c>
      <c r="X155" s="3">
        <f>AVERAGE(R155:T155)</f>
      </c>
      <c r="Y155" s="3">
        <f>AVERAGE(O155:T155)</f>
      </c>
      <c r="Z155" s="3">
        <f>AVERAGE(L155:T155)</f>
      </c>
      <c r="AA155" s="4">
        <f>IFERROR((X155*2)/(Y155+Z155), 0)</f>
      </c>
      <c r="AB155" s="4">
        <f>IFERROR(W155/SUM(E155:H155), 0)</f>
      </c>
      <c r="AC155" s="4">
        <f>IFERROR(W155/SUM(E155:H155), 0)</f>
      </c>
      <c r="AD155" s="4">
        <f>IFERROR(T155/H155, 0)</f>
      </c>
    </row>
    <row r="156" ht="20" customHeight="1" spans="1:30" x14ac:dyDescent="0.25">
      <c r="A156">
        <v>153</v>
      </c>
      <c r="B156" t="s">
        <v>320</v>
      </c>
      <c r="C156" t="s">
        <v>363</v>
      </c>
      <c r="D156" s="2" t="s">
        <v>320</v>
      </c>
      <c r="E156" s="3">
        <f>SUMIFS('Data nguồn'!J:J, 'Data nguồn'!D:D, $D156, 'Data nguồn'!F:F, $B$1, 'Data nguồn'!C:C, E$3)</f>
      </c>
      <c r="F156" s="3">
        <f>SUMIFS('Data nguồn'!J:J, 'Data nguồn'!D:D, $D156, 'Data nguồn'!F:F, $B$1, 'Data nguồn'!C:C, F$3)</f>
      </c>
      <c r="G156" s="3">
        <f>SUMIFS('Data nguồn'!J:J, 'Data nguồn'!D:D, $D156, 'Data nguồn'!F:F, $B$1, 'Data nguồn'!C:C, G$3)</f>
      </c>
      <c r="H156" s="3">
        <f>SUMIFS('Data nguồn'!J:J, 'Data nguồn'!D:D, $D156, 'Data nguồn'!F:F, $B$1, 'Data nguồn'!C:C, H$3)</f>
      </c>
      <c r="I156" s="3">
        <f>SUMIFS('Data nguồn'!J:J, 'Data nguồn'!D:D, $D156, 'Data nguồn'!F:F, $B$1, 'Data nguồn'!C:C, I$3)</f>
      </c>
      <c r="J156" s="3">
        <f>SUMIFS('Data nguồn'!J:J, 'Data nguồn'!D:D, $D156, 'Data nguồn'!F:F, $B$1, 'Data nguồn'!C:C, J$3)</f>
      </c>
      <c r="K156" s="3">
        <f>SUMIFS('Data nguồn'!J:J, 'Data nguồn'!D:D, $D156, 'Data nguồn'!F:F, $B$1, 'Data nguồn'!C:C, K$3)</f>
      </c>
      <c r="L156" s="3">
        <f>SUMIFS('Data nguồn'!J:J, 'Data nguồn'!D:D, $D156, 'Data nguồn'!F:F, $B$1, 'Data nguồn'!C:C, L$3)</f>
      </c>
      <c r="M156" s="3">
        <f>SUMIFS('Data nguồn'!J:J, 'Data nguồn'!D:D, $D156, 'Data nguồn'!F:F, $B$1, 'Data nguồn'!C:C, M$3)</f>
      </c>
      <c r="N156" s="3">
        <f>SUMIFS('Data nguồn'!J:J, 'Data nguồn'!D:D, $D156, 'Data nguồn'!F:F, $B$1, 'Data nguồn'!C:C, N$3)</f>
      </c>
      <c r="O156" s="3">
        <f>SUMIFS('Data nguồn'!J:J, 'Data nguồn'!D:D, $D156, 'Data nguồn'!F:F, $B$1, 'Data nguồn'!C:C, O$3)</f>
      </c>
      <c r="P156" s="3">
        <f>SUMIFS('Data nguồn'!J:J, 'Data nguồn'!D:D, $D156, 'Data nguồn'!F:F, $B$1, 'Data nguồn'!C:C, P$3)</f>
      </c>
      <c r="Q156" s="3">
        <f>SUMIFS('Data nguồn'!J:J, 'Data nguồn'!D:D, $D156, 'Data nguồn'!F:F, $B$1, 'Data nguồn'!C:C, Q$3)</f>
      </c>
      <c r="R156" s="3">
        <f>SUMIFS('Data nguồn'!J:J, 'Data nguồn'!D:D, $D156, 'Data nguồn'!F:F, $B$1, 'Data nguồn'!C:C, R$3)</f>
      </c>
      <c r="S156" s="3">
        <f>SUMIFS('Data nguồn'!J:J, 'Data nguồn'!D:D, $D156, 'Data nguồn'!F:F, $B$1, 'Data nguồn'!C:C, S$3)</f>
      </c>
      <c r="T156" s="3">
        <f>SUMIFS('Data nguồn'!J:J, 'Data nguồn'!D:D, $D156, 'Data nguồn'!F:F, $B$1, 'Data nguồn'!C:C, T$3)</f>
      </c>
      <c r="V156" s="3">
        <f>SUM(E156:P156)</f>
      </c>
      <c r="W156" s="3">
        <f>SUM(Q156:T156)</f>
      </c>
      <c r="X156" s="3">
        <f>AVERAGE(R156:T156)</f>
      </c>
      <c r="Y156" s="3">
        <f>AVERAGE(O156:T156)</f>
      </c>
      <c r="Z156" s="3">
        <f>AVERAGE(L156:T156)</f>
      </c>
      <c r="AA156" s="4">
        <f>IFERROR((X156*2)/(Y156+Z156), 0)</f>
      </c>
      <c r="AB156" s="4">
        <f>IFERROR(W156/SUM(E156:H156), 0)</f>
      </c>
      <c r="AC156" s="4">
        <f>IFERROR(W156/SUM(E156:H156), 0)</f>
      </c>
      <c r="AD156" s="4">
        <f>IFERROR(T156/H156, 0)</f>
      </c>
    </row>
    <row r="157" ht="20" customHeight="1" spans="1:30" x14ac:dyDescent="0.25">
      <c r="A157">
        <v>154</v>
      </c>
      <c r="B157" t="s">
        <v>322</v>
      </c>
      <c r="C157" t="s">
        <v>366</v>
      </c>
      <c r="D157" s="2" t="s">
        <v>322</v>
      </c>
      <c r="E157" s="3">
        <f>SUMIFS('Data nguồn'!J:J, 'Data nguồn'!D:D, $D157, 'Data nguồn'!F:F, $B$1, 'Data nguồn'!C:C, E$3)</f>
      </c>
      <c r="F157" s="3">
        <f>SUMIFS('Data nguồn'!J:J, 'Data nguồn'!D:D, $D157, 'Data nguồn'!F:F, $B$1, 'Data nguồn'!C:C, F$3)</f>
      </c>
      <c r="G157" s="3">
        <f>SUMIFS('Data nguồn'!J:J, 'Data nguồn'!D:D, $D157, 'Data nguồn'!F:F, $B$1, 'Data nguồn'!C:C, G$3)</f>
      </c>
      <c r="H157" s="3">
        <f>SUMIFS('Data nguồn'!J:J, 'Data nguồn'!D:D, $D157, 'Data nguồn'!F:F, $B$1, 'Data nguồn'!C:C, H$3)</f>
      </c>
      <c r="I157" s="3">
        <f>SUMIFS('Data nguồn'!J:J, 'Data nguồn'!D:D, $D157, 'Data nguồn'!F:F, $B$1, 'Data nguồn'!C:C, I$3)</f>
      </c>
      <c r="J157" s="3">
        <f>SUMIFS('Data nguồn'!J:J, 'Data nguồn'!D:D, $D157, 'Data nguồn'!F:F, $B$1, 'Data nguồn'!C:C, J$3)</f>
      </c>
      <c r="K157" s="3">
        <f>SUMIFS('Data nguồn'!J:J, 'Data nguồn'!D:D, $D157, 'Data nguồn'!F:F, $B$1, 'Data nguồn'!C:C, K$3)</f>
      </c>
      <c r="L157" s="3">
        <f>SUMIFS('Data nguồn'!J:J, 'Data nguồn'!D:D, $D157, 'Data nguồn'!F:F, $B$1, 'Data nguồn'!C:C, L$3)</f>
      </c>
      <c r="M157" s="3">
        <f>SUMIFS('Data nguồn'!J:J, 'Data nguồn'!D:D, $D157, 'Data nguồn'!F:F, $B$1, 'Data nguồn'!C:C, M$3)</f>
      </c>
      <c r="N157" s="3">
        <f>SUMIFS('Data nguồn'!J:J, 'Data nguồn'!D:D, $D157, 'Data nguồn'!F:F, $B$1, 'Data nguồn'!C:C, N$3)</f>
      </c>
      <c r="O157" s="3">
        <f>SUMIFS('Data nguồn'!J:J, 'Data nguồn'!D:D, $D157, 'Data nguồn'!F:F, $B$1, 'Data nguồn'!C:C, O$3)</f>
      </c>
      <c r="P157" s="3">
        <f>SUMIFS('Data nguồn'!J:J, 'Data nguồn'!D:D, $D157, 'Data nguồn'!F:F, $B$1, 'Data nguồn'!C:C, P$3)</f>
      </c>
      <c r="Q157" s="3">
        <f>SUMIFS('Data nguồn'!J:J, 'Data nguồn'!D:D, $D157, 'Data nguồn'!F:F, $B$1, 'Data nguồn'!C:C, Q$3)</f>
      </c>
      <c r="R157" s="3">
        <f>SUMIFS('Data nguồn'!J:J, 'Data nguồn'!D:D, $D157, 'Data nguồn'!F:F, $B$1, 'Data nguồn'!C:C, R$3)</f>
      </c>
      <c r="S157" s="3">
        <f>SUMIFS('Data nguồn'!J:J, 'Data nguồn'!D:D, $D157, 'Data nguồn'!F:F, $B$1, 'Data nguồn'!C:C, S$3)</f>
      </c>
      <c r="T157" s="3">
        <f>SUMIFS('Data nguồn'!J:J, 'Data nguồn'!D:D, $D157, 'Data nguồn'!F:F, $B$1, 'Data nguồn'!C:C, T$3)</f>
      </c>
      <c r="V157" s="3">
        <f>SUM(E157:P157)</f>
      </c>
      <c r="W157" s="3">
        <f>SUM(Q157:T157)</f>
      </c>
      <c r="X157" s="3">
        <f>AVERAGE(R157:T157)</f>
      </c>
      <c r="Y157" s="3">
        <f>AVERAGE(O157:T157)</f>
      </c>
      <c r="Z157" s="3">
        <f>AVERAGE(L157:T157)</f>
      </c>
      <c r="AA157" s="4">
        <f>IFERROR((X157*2)/(Y157+Z157), 0)</f>
      </c>
      <c r="AB157" s="4">
        <f>IFERROR(W157/SUM(E157:H157), 0)</f>
      </c>
      <c r="AC157" s="4">
        <f>IFERROR(W157/SUM(E157:H157), 0)</f>
      </c>
      <c r="AD157" s="4">
        <f>IFERROR(T157/H157, 0)</f>
      </c>
    </row>
    <row r="158" ht="20" customHeight="1" spans="1:30" x14ac:dyDescent="0.25">
      <c r="A158">
        <v>155</v>
      </c>
      <c r="B158" t="s">
        <v>324</v>
      </c>
      <c r="C158" t="s">
        <v>363</v>
      </c>
      <c r="D158" s="2" t="s">
        <v>324</v>
      </c>
      <c r="E158" s="3">
        <f>SUMIFS('Data nguồn'!J:J, 'Data nguồn'!D:D, $D158, 'Data nguồn'!F:F, $B$1, 'Data nguồn'!C:C, E$3)</f>
      </c>
      <c r="F158" s="3">
        <f>SUMIFS('Data nguồn'!J:J, 'Data nguồn'!D:D, $D158, 'Data nguồn'!F:F, $B$1, 'Data nguồn'!C:C, F$3)</f>
      </c>
      <c r="G158" s="3">
        <f>SUMIFS('Data nguồn'!J:J, 'Data nguồn'!D:D, $D158, 'Data nguồn'!F:F, $B$1, 'Data nguồn'!C:C, G$3)</f>
      </c>
      <c r="H158" s="3">
        <f>SUMIFS('Data nguồn'!J:J, 'Data nguồn'!D:D, $D158, 'Data nguồn'!F:F, $B$1, 'Data nguồn'!C:C, H$3)</f>
      </c>
      <c r="I158" s="3">
        <f>SUMIFS('Data nguồn'!J:J, 'Data nguồn'!D:D, $D158, 'Data nguồn'!F:F, $B$1, 'Data nguồn'!C:C, I$3)</f>
      </c>
      <c r="J158" s="3">
        <f>SUMIFS('Data nguồn'!J:J, 'Data nguồn'!D:D, $D158, 'Data nguồn'!F:F, $B$1, 'Data nguồn'!C:C, J$3)</f>
      </c>
      <c r="K158" s="3">
        <f>SUMIFS('Data nguồn'!J:J, 'Data nguồn'!D:D, $D158, 'Data nguồn'!F:F, $B$1, 'Data nguồn'!C:C, K$3)</f>
      </c>
      <c r="L158" s="3">
        <f>SUMIFS('Data nguồn'!J:J, 'Data nguồn'!D:D, $D158, 'Data nguồn'!F:F, $B$1, 'Data nguồn'!C:C, L$3)</f>
      </c>
      <c r="M158" s="3">
        <f>SUMIFS('Data nguồn'!J:J, 'Data nguồn'!D:D, $D158, 'Data nguồn'!F:F, $B$1, 'Data nguồn'!C:C, M$3)</f>
      </c>
      <c r="N158" s="3">
        <f>SUMIFS('Data nguồn'!J:J, 'Data nguồn'!D:D, $D158, 'Data nguồn'!F:F, $B$1, 'Data nguồn'!C:C, N$3)</f>
      </c>
      <c r="O158" s="3">
        <f>SUMIFS('Data nguồn'!J:J, 'Data nguồn'!D:D, $D158, 'Data nguồn'!F:F, $B$1, 'Data nguồn'!C:C, O$3)</f>
      </c>
      <c r="P158" s="3">
        <f>SUMIFS('Data nguồn'!J:J, 'Data nguồn'!D:D, $D158, 'Data nguồn'!F:F, $B$1, 'Data nguồn'!C:C, P$3)</f>
      </c>
      <c r="Q158" s="3">
        <f>SUMIFS('Data nguồn'!J:J, 'Data nguồn'!D:D, $D158, 'Data nguồn'!F:F, $B$1, 'Data nguồn'!C:C, Q$3)</f>
      </c>
      <c r="R158" s="3">
        <f>SUMIFS('Data nguồn'!J:J, 'Data nguồn'!D:D, $D158, 'Data nguồn'!F:F, $B$1, 'Data nguồn'!C:C, R$3)</f>
      </c>
      <c r="S158" s="3">
        <f>SUMIFS('Data nguồn'!J:J, 'Data nguồn'!D:D, $D158, 'Data nguồn'!F:F, $B$1, 'Data nguồn'!C:C, S$3)</f>
      </c>
      <c r="T158" s="3">
        <f>SUMIFS('Data nguồn'!J:J, 'Data nguồn'!D:D, $D158, 'Data nguồn'!F:F, $B$1, 'Data nguồn'!C:C, T$3)</f>
      </c>
      <c r="V158" s="3">
        <f>SUM(E158:P158)</f>
      </c>
      <c r="W158" s="3">
        <f>SUM(Q158:T158)</f>
      </c>
      <c r="X158" s="3">
        <f>AVERAGE(R158:T158)</f>
      </c>
      <c r="Y158" s="3">
        <f>AVERAGE(O158:T158)</f>
      </c>
      <c r="Z158" s="3">
        <f>AVERAGE(L158:T158)</f>
      </c>
      <c r="AA158" s="4">
        <f>IFERROR((X158*2)/(Y158+Z158), 0)</f>
      </c>
      <c r="AB158" s="4">
        <f>IFERROR(W158/SUM(E158:H158), 0)</f>
      </c>
      <c r="AC158" s="4">
        <f>IFERROR(W158/SUM(E158:H158), 0)</f>
      </c>
      <c r="AD158" s="4">
        <f>IFERROR(T158/H158, 0)</f>
      </c>
    </row>
    <row r="159" ht="20" customHeight="1" spans="1:30" x14ac:dyDescent="0.25">
      <c r="A159">
        <v>156</v>
      </c>
      <c r="B159" t="s">
        <v>325</v>
      </c>
      <c r="C159" t="s">
        <v>367</v>
      </c>
      <c r="D159" s="2" t="s">
        <v>325</v>
      </c>
      <c r="E159" s="3">
        <f>SUMIFS('Data nguồn'!J:J, 'Data nguồn'!D:D, $D159, 'Data nguồn'!F:F, $B$1, 'Data nguồn'!C:C, E$3)</f>
      </c>
      <c r="F159" s="3">
        <f>SUMIFS('Data nguồn'!J:J, 'Data nguồn'!D:D, $D159, 'Data nguồn'!F:F, $B$1, 'Data nguồn'!C:C, F$3)</f>
      </c>
      <c r="G159" s="3">
        <f>SUMIFS('Data nguồn'!J:J, 'Data nguồn'!D:D, $D159, 'Data nguồn'!F:F, $B$1, 'Data nguồn'!C:C, G$3)</f>
      </c>
      <c r="H159" s="3">
        <f>SUMIFS('Data nguồn'!J:J, 'Data nguồn'!D:D, $D159, 'Data nguồn'!F:F, $B$1, 'Data nguồn'!C:C, H$3)</f>
      </c>
      <c r="I159" s="3">
        <f>SUMIFS('Data nguồn'!J:J, 'Data nguồn'!D:D, $D159, 'Data nguồn'!F:F, $B$1, 'Data nguồn'!C:C, I$3)</f>
      </c>
      <c r="J159" s="3">
        <f>SUMIFS('Data nguồn'!J:J, 'Data nguồn'!D:D, $D159, 'Data nguồn'!F:F, $B$1, 'Data nguồn'!C:C, J$3)</f>
      </c>
      <c r="K159" s="3">
        <f>SUMIFS('Data nguồn'!J:J, 'Data nguồn'!D:D, $D159, 'Data nguồn'!F:F, $B$1, 'Data nguồn'!C:C, K$3)</f>
      </c>
      <c r="L159" s="3">
        <f>SUMIFS('Data nguồn'!J:J, 'Data nguồn'!D:D, $D159, 'Data nguồn'!F:F, $B$1, 'Data nguồn'!C:C, L$3)</f>
      </c>
      <c r="M159" s="3">
        <f>SUMIFS('Data nguồn'!J:J, 'Data nguồn'!D:D, $D159, 'Data nguồn'!F:F, $B$1, 'Data nguồn'!C:C, M$3)</f>
      </c>
      <c r="N159" s="3">
        <f>SUMIFS('Data nguồn'!J:J, 'Data nguồn'!D:D, $D159, 'Data nguồn'!F:F, $B$1, 'Data nguồn'!C:C, N$3)</f>
      </c>
      <c r="O159" s="3">
        <f>SUMIFS('Data nguồn'!J:J, 'Data nguồn'!D:D, $D159, 'Data nguồn'!F:F, $B$1, 'Data nguồn'!C:C, O$3)</f>
      </c>
      <c r="P159" s="3">
        <f>SUMIFS('Data nguồn'!J:J, 'Data nguồn'!D:D, $D159, 'Data nguồn'!F:F, $B$1, 'Data nguồn'!C:C, P$3)</f>
      </c>
      <c r="Q159" s="3">
        <f>SUMIFS('Data nguồn'!J:J, 'Data nguồn'!D:D, $D159, 'Data nguồn'!F:F, $B$1, 'Data nguồn'!C:C, Q$3)</f>
      </c>
      <c r="R159" s="3">
        <f>SUMIFS('Data nguồn'!J:J, 'Data nguồn'!D:D, $D159, 'Data nguồn'!F:F, $B$1, 'Data nguồn'!C:C, R$3)</f>
      </c>
      <c r="S159" s="3">
        <f>SUMIFS('Data nguồn'!J:J, 'Data nguồn'!D:D, $D159, 'Data nguồn'!F:F, $B$1, 'Data nguồn'!C:C, S$3)</f>
      </c>
      <c r="T159" s="3">
        <f>SUMIFS('Data nguồn'!J:J, 'Data nguồn'!D:D, $D159, 'Data nguồn'!F:F, $B$1, 'Data nguồn'!C:C, T$3)</f>
      </c>
      <c r="V159" s="3">
        <f>SUM(E159:P159)</f>
      </c>
      <c r="W159" s="3">
        <f>SUM(Q159:T159)</f>
      </c>
      <c r="X159" s="3">
        <f>AVERAGE(R159:T159)</f>
      </c>
      <c r="Y159" s="3">
        <f>AVERAGE(O159:T159)</f>
      </c>
      <c r="Z159" s="3">
        <f>AVERAGE(L159:T159)</f>
      </c>
      <c r="AA159" s="4">
        <f>IFERROR((X159*2)/(Y159+Z159), 0)</f>
      </c>
      <c r="AB159" s="4">
        <f>IFERROR(W159/SUM(E159:H159), 0)</f>
      </c>
      <c r="AC159" s="4">
        <f>IFERROR(W159/SUM(E159:H159), 0)</f>
      </c>
      <c r="AD159" s="4">
        <f>IFERROR(T159/H159, 0)</f>
      </c>
    </row>
    <row r="160" ht="20" customHeight="1" spans="1:30" x14ac:dyDescent="0.25">
      <c r="A160">
        <v>157</v>
      </c>
      <c r="B160" t="s">
        <v>327</v>
      </c>
      <c r="C160" t="s">
        <v>365</v>
      </c>
      <c r="D160" s="2" t="s">
        <v>327</v>
      </c>
      <c r="E160" s="3">
        <f>SUMIFS('Data nguồn'!J:J, 'Data nguồn'!D:D, $D160, 'Data nguồn'!F:F, $B$1, 'Data nguồn'!C:C, E$3)</f>
      </c>
      <c r="F160" s="3">
        <f>SUMIFS('Data nguồn'!J:J, 'Data nguồn'!D:D, $D160, 'Data nguồn'!F:F, $B$1, 'Data nguồn'!C:C, F$3)</f>
      </c>
      <c r="G160" s="3">
        <f>SUMIFS('Data nguồn'!J:J, 'Data nguồn'!D:D, $D160, 'Data nguồn'!F:F, $B$1, 'Data nguồn'!C:C, G$3)</f>
      </c>
      <c r="H160" s="3">
        <f>SUMIFS('Data nguồn'!J:J, 'Data nguồn'!D:D, $D160, 'Data nguồn'!F:F, $B$1, 'Data nguồn'!C:C, H$3)</f>
      </c>
      <c r="I160" s="3">
        <f>SUMIFS('Data nguồn'!J:J, 'Data nguồn'!D:D, $D160, 'Data nguồn'!F:F, $B$1, 'Data nguồn'!C:C, I$3)</f>
      </c>
      <c r="J160" s="3">
        <f>SUMIFS('Data nguồn'!J:J, 'Data nguồn'!D:D, $D160, 'Data nguồn'!F:F, $B$1, 'Data nguồn'!C:C, J$3)</f>
      </c>
      <c r="K160" s="3">
        <f>SUMIFS('Data nguồn'!J:J, 'Data nguồn'!D:D, $D160, 'Data nguồn'!F:F, $B$1, 'Data nguồn'!C:C, K$3)</f>
      </c>
      <c r="L160" s="3">
        <f>SUMIFS('Data nguồn'!J:J, 'Data nguồn'!D:D, $D160, 'Data nguồn'!F:F, $B$1, 'Data nguồn'!C:C, L$3)</f>
      </c>
      <c r="M160" s="3">
        <f>SUMIFS('Data nguồn'!J:J, 'Data nguồn'!D:D, $D160, 'Data nguồn'!F:F, $B$1, 'Data nguồn'!C:C, M$3)</f>
      </c>
      <c r="N160" s="3">
        <f>SUMIFS('Data nguồn'!J:J, 'Data nguồn'!D:D, $D160, 'Data nguồn'!F:F, $B$1, 'Data nguồn'!C:C, N$3)</f>
      </c>
      <c r="O160" s="3">
        <f>SUMIFS('Data nguồn'!J:J, 'Data nguồn'!D:D, $D160, 'Data nguồn'!F:F, $B$1, 'Data nguồn'!C:C, O$3)</f>
      </c>
      <c r="P160" s="3">
        <f>SUMIFS('Data nguồn'!J:J, 'Data nguồn'!D:D, $D160, 'Data nguồn'!F:F, $B$1, 'Data nguồn'!C:C, P$3)</f>
      </c>
      <c r="Q160" s="3">
        <f>SUMIFS('Data nguồn'!J:J, 'Data nguồn'!D:D, $D160, 'Data nguồn'!F:F, $B$1, 'Data nguồn'!C:C, Q$3)</f>
      </c>
      <c r="R160" s="3">
        <f>SUMIFS('Data nguồn'!J:J, 'Data nguồn'!D:D, $D160, 'Data nguồn'!F:F, $B$1, 'Data nguồn'!C:C, R$3)</f>
      </c>
      <c r="S160" s="3">
        <f>SUMIFS('Data nguồn'!J:J, 'Data nguồn'!D:D, $D160, 'Data nguồn'!F:F, $B$1, 'Data nguồn'!C:C, S$3)</f>
      </c>
      <c r="T160" s="3">
        <f>SUMIFS('Data nguồn'!J:J, 'Data nguồn'!D:D, $D160, 'Data nguồn'!F:F, $B$1, 'Data nguồn'!C:C, T$3)</f>
      </c>
      <c r="V160" s="3">
        <f>SUM(E160:P160)</f>
      </c>
      <c r="W160" s="3">
        <f>SUM(Q160:T160)</f>
      </c>
      <c r="X160" s="3">
        <f>AVERAGE(R160:T160)</f>
      </c>
      <c r="Y160" s="3">
        <f>AVERAGE(O160:T160)</f>
      </c>
      <c r="Z160" s="3">
        <f>AVERAGE(L160:T160)</f>
      </c>
      <c r="AA160" s="4">
        <f>IFERROR((X160*2)/(Y160+Z160), 0)</f>
      </c>
      <c r="AB160" s="4">
        <f>IFERROR(W160/SUM(E160:H160), 0)</f>
      </c>
      <c r="AC160" s="4">
        <f>IFERROR(W160/SUM(E160:H160), 0)</f>
      </c>
      <c r="AD160" s="4">
        <f>IFERROR(T160/H160, 0)</f>
      </c>
    </row>
    <row r="161" ht="20" customHeight="1" spans="1:30" x14ac:dyDescent="0.25">
      <c r="A161">
        <v>158</v>
      </c>
      <c r="B161" t="s">
        <v>329</v>
      </c>
      <c r="C161" t="s">
        <v>363</v>
      </c>
      <c r="D161" s="2" t="s">
        <v>329</v>
      </c>
      <c r="E161" s="3">
        <f>SUMIFS('Data nguồn'!J:J, 'Data nguồn'!D:D, $D161, 'Data nguồn'!F:F, $B$1, 'Data nguồn'!C:C, E$3)</f>
      </c>
      <c r="F161" s="3">
        <f>SUMIFS('Data nguồn'!J:J, 'Data nguồn'!D:D, $D161, 'Data nguồn'!F:F, $B$1, 'Data nguồn'!C:C, F$3)</f>
      </c>
      <c r="G161" s="3">
        <f>SUMIFS('Data nguồn'!J:J, 'Data nguồn'!D:D, $D161, 'Data nguồn'!F:F, $B$1, 'Data nguồn'!C:C, G$3)</f>
      </c>
      <c r="H161" s="3">
        <f>SUMIFS('Data nguồn'!J:J, 'Data nguồn'!D:D, $D161, 'Data nguồn'!F:F, $B$1, 'Data nguồn'!C:C, H$3)</f>
      </c>
      <c r="I161" s="3">
        <f>SUMIFS('Data nguồn'!J:J, 'Data nguồn'!D:D, $D161, 'Data nguồn'!F:F, $B$1, 'Data nguồn'!C:C, I$3)</f>
      </c>
      <c r="J161" s="3">
        <f>SUMIFS('Data nguồn'!J:J, 'Data nguồn'!D:D, $D161, 'Data nguồn'!F:F, $B$1, 'Data nguồn'!C:C, J$3)</f>
      </c>
      <c r="K161" s="3">
        <f>SUMIFS('Data nguồn'!J:J, 'Data nguồn'!D:D, $D161, 'Data nguồn'!F:F, $B$1, 'Data nguồn'!C:C, K$3)</f>
      </c>
      <c r="L161" s="3">
        <f>SUMIFS('Data nguồn'!J:J, 'Data nguồn'!D:D, $D161, 'Data nguồn'!F:F, $B$1, 'Data nguồn'!C:C, L$3)</f>
      </c>
      <c r="M161" s="3">
        <f>SUMIFS('Data nguồn'!J:J, 'Data nguồn'!D:D, $D161, 'Data nguồn'!F:F, $B$1, 'Data nguồn'!C:C, M$3)</f>
      </c>
      <c r="N161" s="3">
        <f>SUMIFS('Data nguồn'!J:J, 'Data nguồn'!D:D, $D161, 'Data nguồn'!F:F, $B$1, 'Data nguồn'!C:C, N$3)</f>
      </c>
      <c r="O161" s="3">
        <f>SUMIFS('Data nguồn'!J:J, 'Data nguồn'!D:D, $D161, 'Data nguồn'!F:F, $B$1, 'Data nguồn'!C:C, O$3)</f>
      </c>
      <c r="P161" s="3">
        <f>SUMIFS('Data nguồn'!J:J, 'Data nguồn'!D:D, $D161, 'Data nguồn'!F:F, $B$1, 'Data nguồn'!C:C, P$3)</f>
      </c>
      <c r="Q161" s="3">
        <f>SUMIFS('Data nguồn'!J:J, 'Data nguồn'!D:D, $D161, 'Data nguồn'!F:F, $B$1, 'Data nguồn'!C:C, Q$3)</f>
      </c>
      <c r="R161" s="3">
        <f>SUMIFS('Data nguồn'!J:J, 'Data nguồn'!D:D, $D161, 'Data nguồn'!F:F, $B$1, 'Data nguồn'!C:C, R$3)</f>
      </c>
      <c r="S161" s="3">
        <f>SUMIFS('Data nguồn'!J:J, 'Data nguồn'!D:D, $D161, 'Data nguồn'!F:F, $B$1, 'Data nguồn'!C:C, S$3)</f>
      </c>
      <c r="T161" s="3">
        <f>SUMIFS('Data nguồn'!J:J, 'Data nguồn'!D:D, $D161, 'Data nguồn'!F:F, $B$1, 'Data nguồn'!C:C, T$3)</f>
      </c>
      <c r="V161" s="3">
        <f>SUM(E161:P161)</f>
      </c>
      <c r="W161" s="3">
        <f>SUM(Q161:T161)</f>
      </c>
      <c r="X161" s="3">
        <f>AVERAGE(R161:T161)</f>
      </c>
      <c r="Y161" s="3">
        <f>AVERAGE(O161:T161)</f>
      </c>
      <c r="Z161" s="3">
        <f>AVERAGE(L161:T161)</f>
      </c>
      <c r="AA161" s="4">
        <f>IFERROR((X161*2)/(Y161+Z161), 0)</f>
      </c>
      <c r="AB161" s="4">
        <f>IFERROR(W161/SUM(E161:H161), 0)</f>
      </c>
      <c r="AC161" s="4">
        <f>IFERROR(W161/SUM(E161:H161), 0)</f>
      </c>
      <c r="AD161" s="4">
        <f>IFERROR(T161/H161, 0)</f>
      </c>
    </row>
    <row r="162" ht="20" customHeight="1" spans="1:30" x14ac:dyDescent="0.25">
      <c r="A162">
        <v>159</v>
      </c>
      <c r="B162" t="s">
        <v>330</v>
      </c>
      <c r="C162" t="s">
        <v>363</v>
      </c>
      <c r="D162" s="2" t="s">
        <v>330</v>
      </c>
      <c r="E162" s="3">
        <f>SUMIFS('Data nguồn'!J:J, 'Data nguồn'!D:D, $D162, 'Data nguồn'!F:F, $B$1, 'Data nguồn'!C:C, E$3)</f>
      </c>
      <c r="F162" s="3">
        <f>SUMIFS('Data nguồn'!J:J, 'Data nguồn'!D:D, $D162, 'Data nguồn'!F:F, $B$1, 'Data nguồn'!C:C, F$3)</f>
      </c>
      <c r="G162" s="3">
        <f>SUMIFS('Data nguồn'!J:J, 'Data nguồn'!D:D, $D162, 'Data nguồn'!F:F, $B$1, 'Data nguồn'!C:C, G$3)</f>
      </c>
      <c r="H162" s="3">
        <f>SUMIFS('Data nguồn'!J:J, 'Data nguồn'!D:D, $D162, 'Data nguồn'!F:F, $B$1, 'Data nguồn'!C:C, H$3)</f>
      </c>
      <c r="I162" s="3">
        <f>SUMIFS('Data nguồn'!J:J, 'Data nguồn'!D:D, $D162, 'Data nguồn'!F:F, $B$1, 'Data nguồn'!C:C, I$3)</f>
      </c>
      <c r="J162" s="3">
        <f>SUMIFS('Data nguồn'!J:J, 'Data nguồn'!D:D, $D162, 'Data nguồn'!F:F, $B$1, 'Data nguồn'!C:C, J$3)</f>
      </c>
      <c r="K162" s="3">
        <f>SUMIFS('Data nguồn'!J:J, 'Data nguồn'!D:D, $D162, 'Data nguồn'!F:F, $B$1, 'Data nguồn'!C:C, K$3)</f>
      </c>
      <c r="L162" s="3">
        <f>SUMIFS('Data nguồn'!J:J, 'Data nguồn'!D:D, $D162, 'Data nguồn'!F:F, $B$1, 'Data nguồn'!C:C, L$3)</f>
      </c>
      <c r="M162" s="3">
        <f>SUMIFS('Data nguồn'!J:J, 'Data nguồn'!D:D, $D162, 'Data nguồn'!F:F, $B$1, 'Data nguồn'!C:C, M$3)</f>
      </c>
      <c r="N162" s="3">
        <f>SUMIFS('Data nguồn'!J:J, 'Data nguồn'!D:D, $D162, 'Data nguồn'!F:F, $B$1, 'Data nguồn'!C:C, N$3)</f>
      </c>
      <c r="O162" s="3">
        <f>SUMIFS('Data nguồn'!J:J, 'Data nguồn'!D:D, $D162, 'Data nguồn'!F:F, $B$1, 'Data nguồn'!C:C, O$3)</f>
      </c>
      <c r="P162" s="3">
        <f>SUMIFS('Data nguồn'!J:J, 'Data nguồn'!D:D, $D162, 'Data nguồn'!F:F, $B$1, 'Data nguồn'!C:C, P$3)</f>
      </c>
      <c r="Q162" s="3">
        <f>SUMIFS('Data nguồn'!J:J, 'Data nguồn'!D:D, $D162, 'Data nguồn'!F:F, $B$1, 'Data nguồn'!C:C, Q$3)</f>
      </c>
      <c r="R162" s="3">
        <f>SUMIFS('Data nguồn'!J:J, 'Data nguồn'!D:D, $D162, 'Data nguồn'!F:F, $B$1, 'Data nguồn'!C:C, R$3)</f>
      </c>
      <c r="S162" s="3">
        <f>SUMIFS('Data nguồn'!J:J, 'Data nguồn'!D:D, $D162, 'Data nguồn'!F:F, $B$1, 'Data nguồn'!C:C, S$3)</f>
      </c>
      <c r="T162" s="3">
        <f>SUMIFS('Data nguồn'!J:J, 'Data nguồn'!D:D, $D162, 'Data nguồn'!F:F, $B$1, 'Data nguồn'!C:C, T$3)</f>
      </c>
      <c r="V162" s="3">
        <f>SUM(E162:P162)</f>
      </c>
      <c r="W162" s="3">
        <f>SUM(Q162:T162)</f>
      </c>
      <c r="X162" s="3">
        <f>AVERAGE(R162:T162)</f>
      </c>
      <c r="Y162" s="3">
        <f>AVERAGE(O162:T162)</f>
      </c>
      <c r="Z162" s="3">
        <f>AVERAGE(L162:T162)</f>
      </c>
      <c r="AA162" s="4">
        <f>IFERROR((X162*2)/(Y162+Z162), 0)</f>
      </c>
      <c r="AB162" s="4">
        <f>IFERROR(W162/SUM(E162:H162), 0)</f>
      </c>
      <c r="AC162" s="4">
        <f>IFERROR(W162/SUM(E162:H162), 0)</f>
      </c>
      <c r="AD162" s="4">
        <f>IFERROR(T162/H162, 0)</f>
      </c>
    </row>
    <row r="163" ht="20" customHeight="1" spans="1:30" x14ac:dyDescent="0.25">
      <c r="A163">
        <v>160</v>
      </c>
      <c r="B163" t="s">
        <v>331</v>
      </c>
      <c r="C163" t="s">
        <v>368</v>
      </c>
      <c r="D163" s="2" t="s">
        <v>331</v>
      </c>
      <c r="E163" s="3">
        <f>SUMIFS('Data nguồn'!J:J, 'Data nguồn'!D:D, $D163, 'Data nguồn'!F:F, $B$1, 'Data nguồn'!C:C, E$3)</f>
      </c>
      <c r="F163" s="3">
        <f>SUMIFS('Data nguồn'!J:J, 'Data nguồn'!D:D, $D163, 'Data nguồn'!F:F, $B$1, 'Data nguồn'!C:C, F$3)</f>
      </c>
      <c r="G163" s="3">
        <f>SUMIFS('Data nguồn'!J:J, 'Data nguồn'!D:D, $D163, 'Data nguồn'!F:F, $B$1, 'Data nguồn'!C:C, G$3)</f>
      </c>
      <c r="H163" s="3">
        <f>SUMIFS('Data nguồn'!J:J, 'Data nguồn'!D:D, $D163, 'Data nguồn'!F:F, $B$1, 'Data nguồn'!C:C, H$3)</f>
      </c>
      <c r="I163" s="3">
        <f>SUMIFS('Data nguồn'!J:J, 'Data nguồn'!D:D, $D163, 'Data nguồn'!F:F, $B$1, 'Data nguồn'!C:C, I$3)</f>
      </c>
      <c r="J163" s="3">
        <f>SUMIFS('Data nguồn'!J:J, 'Data nguồn'!D:D, $D163, 'Data nguồn'!F:F, $B$1, 'Data nguồn'!C:C, J$3)</f>
      </c>
      <c r="K163" s="3">
        <f>SUMIFS('Data nguồn'!J:J, 'Data nguồn'!D:D, $D163, 'Data nguồn'!F:F, $B$1, 'Data nguồn'!C:C, K$3)</f>
      </c>
      <c r="L163" s="3">
        <f>SUMIFS('Data nguồn'!J:J, 'Data nguồn'!D:D, $D163, 'Data nguồn'!F:F, $B$1, 'Data nguồn'!C:C, L$3)</f>
      </c>
      <c r="M163" s="3">
        <f>SUMIFS('Data nguồn'!J:J, 'Data nguồn'!D:D, $D163, 'Data nguồn'!F:F, $B$1, 'Data nguồn'!C:C, M$3)</f>
      </c>
      <c r="N163" s="3">
        <f>SUMIFS('Data nguồn'!J:J, 'Data nguồn'!D:D, $D163, 'Data nguồn'!F:F, $B$1, 'Data nguồn'!C:C, N$3)</f>
      </c>
      <c r="O163" s="3">
        <f>SUMIFS('Data nguồn'!J:J, 'Data nguồn'!D:D, $D163, 'Data nguồn'!F:F, $B$1, 'Data nguồn'!C:C, O$3)</f>
      </c>
      <c r="P163" s="3">
        <f>SUMIFS('Data nguồn'!J:J, 'Data nguồn'!D:D, $D163, 'Data nguồn'!F:F, $B$1, 'Data nguồn'!C:C, P$3)</f>
      </c>
      <c r="Q163" s="3">
        <f>SUMIFS('Data nguồn'!J:J, 'Data nguồn'!D:D, $D163, 'Data nguồn'!F:F, $B$1, 'Data nguồn'!C:C, Q$3)</f>
      </c>
      <c r="R163" s="3">
        <f>SUMIFS('Data nguồn'!J:J, 'Data nguồn'!D:D, $D163, 'Data nguồn'!F:F, $B$1, 'Data nguồn'!C:C, R$3)</f>
      </c>
      <c r="S163" s="3">
        <f>SUMIFS('Data nguồn'!J:J, 'Data nguồn'!D:D, $D163, 'Data nguồn'!F:F, $B$1, 'Data nguồn'!C:C, S$3)</f>
      </c>
      <c r="T163" s="3">
        <f>SUMIFS('Data nguồn'!J:J, 'Data nguồn'!D:D, $D163, 'Data nguồn'!F:F, $B$1, 'Data nguồn'!C:C, T$3)</f>
      </c>
      <c r="V163" s="3">
        <f>SUM(E163:P163)</f>
      </c>
      <c r="W163" s="3">
        <f>SUM(Q163:T163)</f>
      </c>
      <c r="X163" s="3">
        <f>AVERAGE(R163:T163)</f>
      </c>
      <c r="Y163" s="3">
        <f>AVERAGE(O163:T163)</f>
      </c>
      <c r="Z163" s="3">
        <f>AVERAGE(L163:T163)</f>
      </c>
      <c r="AA163" s="4">
        <f>IFERROR((X163*2)/(Y163+Z163), 0)</f>
      </c>
      <c r="AB163" s="4">
        <f>IFERROR(W163/SUM(E163:H163), 0)</f>
      </c>
      <c r="AC163" s="4">
        <f>IFERROR(W163/SUM(E163:H163), 0)</f>
      </c>
      <c r="AD163" s="4">
        <f>IFERROR(T163/H163, 0)</f>
      </c>
    </row>
    <row r="164" ht="20" customHeight="1" spans="1:30" x14ac:dyDescent="0.25">
      <c r="A164">
        <v>161</v>
      </c>
      <c r="B164" t="s">
        <v>332</v>
      </c>
      <c r="C164" t="s">
        <v>367</v>
      </c>
      <c r="D164" s="2" t="s">
        <v>332</v>
      </c>
      <c r="E164" s="3">
        <f>SUMIFS('Data nguồn'!J:J, 'Data nguồn'!D:D, $D164, 'Data nguồn'!F:F, $B$1, 'Data nguồn'!C:C, E$3)</f>
      </c>
      <c r="F164" s="3">
        <f>SUMIFS('Data nguồn'!J:J, 'Data nguồn'!D:D, $D164, 'Data nguồn'!F:F, $B$1, 'Data nguồn'!C:C, F$3)</f>
      </c>
      <c r="G164" s="3">
        <f>SUMIFS('Data nguồn'!J:J, 'Data nguồn'!D:D, $D164, 'Data nguồn'!F:F, $B$1, 'Data nguồn'!C:C, G$3)</f>
      </c>
      <c r="H164" s="3">
        <f>SUMIFS('Data nguồn'!J:J, 'Data nguồn'!D:D, $D164, 'Data nguồn'!F:F, $B$1, 'Data nguồn'!C:C, H$3)</f>
      </c>
      <c r="I164" s="3">
        <f>SUMIFS('Data nguồn'!J:J, 'Data nguồn'!D:D, $D164, 'Data nguồn'!F:F, $B$1, 'Data nguồn'!C:C, I$3)</f>
      </c>
      <c r="J164" s="3">
        <f>SUMIFS('Data nguồn'!J:J, 'Data nguồn'!D:D, $D164, 'Data nguồn'!F:F, $B$1, 'Data nguồn'!C:C, J$3)</f>
      </c>
      <c r="K164" s="3">
        <f>SUMIFS('Data nguồn'!J:J, 'Data nguồn'!D:D, $D164, 'Data nguồn'!F:F, $B$1, 'Data nguồn'!C:C, K$3)</f>
      </c>
      <c r="L164" s="3">
        <f>SUMIFS('Data nguồn'!J:J, 'Data nguồn'!D:D, $D164, 'Data nguồn'!F:F, $B$1, 'Data nguồn'!C:C, L$3)</f>
      </c>
      <c r="M164" s="3">
        <f>SUMIFS('Data nguồn'!J:J, 'Data nguồn'!D:D, $D164, 'Data nguồn'!F:F, $B$1, 'Data nguồn'!C:C, M$3)</f>
      </c>
      <c r="N164" s="3">
        <f>SUMIFS('Data nguồn'!J:J, 'Data nguồn'!D:D, $D164, 'Data nguồn'!F:F, $B$1, 'Data nguồn'!C:C, N$3)</f>
      </c>
      <c r="O164" s="3">
        <f>SUMIFS('Data nguồn'!J:J, 'Data nguồn'!D:D, $D164, 'Data nguồn'!F:F, $B$1, 'Data nguồn'!C:C, O$3)</f>
      </c>
      <c r="P164" s="3">
        <f>SUMIFS('Data nguồn'!J:J, 'Data nguồn'!D:D, $D164, 'Data nguồn'!F:F, $B$1, 'Data nguồn'!C:C, P$3)</f>
      </c>
      <c r="Q164" s="3">
        <f>SUMIFS('Data nguồn'!J:J, 'Data nguồn'!D:D, $D164, 'Data nguồn'!F:F, $B$1, 'Data nguồn'!C:C, Q$3)</f>
      </c>
      <c r="R164" s="3">
        <f>SUMIFS('Data nguồn'!J:J, 'Data nguồn'!D:D, $D164, 'Data nguồn'!F:F, $B$1, 'Data nguồn'!C:C, R$3)</f>
      </c>
      <c r="S164" s="3">
        <f>SUMIFS('Data nguồn'!J:J, 'Data nguồn'!D:D, $D164, 'Data nguồn'!F:F, $B$1, 'Data nguồn'!C:C, S$3)</f>
      </c>
      <c r="T164" s="3">
        <f>SUMIFS('Data nguồn'!J:J, 'Data nguồn'!D:D, $D164, 'Data nguồn'!F:F, $B$1, 'Data nguồn'!C:C, T$3)</f>
      </c>
      <c r="V164" s="3">
        <f>SUM(E164:P164)</f>
      </c>
      <c r="W164" s="3">
        <f>SUM(Q164:T164)</f>
      </c>
      <c r="X164" s="3">
        <f>AVERAGE(R164:T164)</f>
      </c>
      <c r="Y164" s="3">
        <f>AVERAGE(O164:T164)</f>
      </c>
      <c r="Z164" s="3">
        <f>AVERAGE(L164:T164)</f>
      </c>
      <c r="AA164" s="4">
        <f>IFERROR((X164*2)/(Y164+Z164), 0)</f>
      </c>
      <c r="AB164" s="4">
        <f>IFERROR(W164/SUM(E164:H164), 0)</f>
      </c>
      <c r="AC164" s="4">
        <f>IFERROR(W164/SUM(E164:H164), 0)</f>
      </c>
      <c r="AD164" s="4">
        <f>IFERROR(T164/H164, 0)</f>
      </c>
    </row>
    <row r="165" ht="20" customHeight="1" spans="1:30" x14ac:dyDescent="0.25">
      <c r="A165">
        <v>162</v>
      </c>
      <c r="B165" t="s">
        <v>334</v>
      </c>
      <c r="C165" t="s">
        <v>365</v>
      </c>
      <c r="D165" s="2" t="s">
        <v>334</v>
      </c>
      <c r="E165" s="3">
        <f>SUMIFS('Data nguồn'!J:J, 'Data nguồn'!D:D, $D165, 'Data nguồn'!F:F, $B$1, 'Data nguồn'!C:C, E$3)</f>
      </c>
      <c r="F165" s="3">
        <f>SUMIFS('Data nguồn'!J:J, 'Data nguồn'!D:D, $D165, 'Data nguồn'!F:F, $B$1, 'Data nguồn'!C:C, F$3)</f>
      </c>
      <c r="G165" s="3">
        <f>SUMIFS('Data nguồn'!J:J, 'Data nguồn'!D:D, $D165, 'Data nguồn'!F:F, $B$1, 'Data nguồn'!C:C, G$3)</f>
      </c>
      <c r="H165" s="3">
        <f>SUMIFS('Data nguồn'!J:J, 'Data nguồn'!D:D, $D165, 'Data nguồn'!F:F, $B$1, 'Data nguồn'!C:C, H$3)</f>
      </c>
      <c r="I165" s="3">
        <f>SUMIFS('Data nguồn'!J:J, 'Data nguồn'!D:D, $D165, 'Data nguồn'!F:F, $B$1, 'Data nguồn'!C:C, I$3)</f>
      </c>
      <c r="J165" s="3">
        <f>SUMIFS('Data nguồn'!J:J, 'Data nguồn'!D:D, $D165, 'Data nguồn'!F:F, $B$1, 'Data nguồn'!C:C, J$3)</f>
      </c>
      <c r="K165" s="3">
        <f>SUMIFS('Data nguồn'!J:J, 'Data nguồn'!D:D, $D165, 'Data nguồn'!F:F, $B$1, 'Data nguồn'!C:C, K$3)</f>
      </c>
      <c r="L165" s="3">
        <f>SUMIFS('Data nguồn'!J:J, 'Data nguồn'!D:D, $D165, 'Data nguồn'!F:F, $B$1, 'Data nguồn'!C:C, L$3)</f>
      </c>
      <c r="M165" s="3">
        <f>SUMIFS('Data nguồn'!J:J, 'Data nguồn'!D:D, $D165, 'Data nguồn'!F:F, $B$1, 'Data nguồn'!C:C, M$3)</f>
      </c>
      <c r="N165" s="3">
        <f>SUMIFS('Data nguồn'!J:J, 'Data nguồn'!D:D, $D165, 'Data nguồn'!F:F, $B$1, 'Data nguồn'!C:C, N$3)</f>
      </c>
      <c r="O165" s="3">
        <f>SUMIFS('Data nguồn'!J:J, 'Data nguồn'!D:D, $D165, 'Data nguồn'!F:F, $B$1, 'Data nguồn'!C:C, O$3)</f>
      </c>
      <c r="P165" s="3">
        <f>SUMIFS('Data nguồn'!J:J, 'Data nguồn'!D:D, $D165, 'Data nguồn'!F:F, $B$1, 'Data nguồn'!C:C, P$3)</f>
      </c>
      <c r="Q165" s="3">
        <f>SUMIFS('Data nguồn'!J:J, 'Data nguồn'!D:D, $D165, 'Data nguồn'!F:F, $B$1, 'Data nguồn'!C:C, Q$3)</f>
      </c>
      <c r="R165" s="3">
        <f>SUMIFS('Data nguồn'!J:J, 'Data nguồn'!D:D, $D165, 'Data nguồn'!F:F, $B$1, 'Data nguồn'!C:C, R$3)</f>
      </c>
      <c r="S165" s="3">
        <f>SUMIFS('Data nguồn'!J:J, 'Data nguồn'!D:D, $D165, 'Data nguồn'!F:F, $B$1, 'Data nguồn'!C:C, S$3)</f>
      </c>
      <c r="T165" s="3">
        <f>SUMIFS('Data nguồn'!J:J, 'Data nguồn'!D:D, $D165, 'Data nguồn'!F:F, $B$1, 'Data nguồn'!C:C, T$3)</f>
      </c>
      <c r="V165" s="3">
        <f>SUM(E165:P165)</f>
      </c>
      <c r="W165" s="3">
        <f>SUM(Q165:T165)</f>
      </c>
      <c r="X165" s="3">
        <f>AVERAGE(R165:T165)</f>
      </c>
      <c r="Y165" s="3">
        <f>AVERAGE(O165:T165)</f>
      </c>
      <c r="Z165" s="3">
        <f>AVERAGE(L165:T165)</f>
      </c>
      <c r="AA165" s="4">
        <f>IFERROR((X165*2)/(Y165+Z165), 0)</f>
      </c>
      <c r="AB165" s="4">
        <f>IFERROR(W165/SUM(E165:H165), 0)</f>
      </c>
      <c r="AC165" s="4">
        <f>IFERROR(W165/SUM(E165:H165), 0)</f>
      </c>
      <c r="AD165" s="4">
        <f>IFERROR(T165/H165, 0)</f>
      </c>
    </row>
    <row r="166" ht="20" customHeight="1" spans="1:30" x14ac:dyDescent="0.25">
      <c r="A166">
        <v>163</v>
      </c>
      <c r="B166" t="s">
        <v>336</v>
      </c>
      <c r="C166" t="s">
        <v>367</v>
      </c>
      <c r="D166" s="2" t="s">
        <v>336</v>
      </c>
      <c r="E166" s="3">
        <f>SUMIFS('Data nguồn'!J:J, 'Data nguồn'!D:D, $D166, 'Data nguồn'!F:F, $B$1, 'Data nguồn'!C:C, E$3)</f>
      </c>
      <c r="F166" s="3">
        <f>SUMIFS('Data nguồn'!J:J, 'Data nguồn'!D:D, $D166, 'Data nguồn'!F:F, $B$1, 'Data nguồn'!C:C, F$3)</f>
      </c>
      <c r="G166" s="3">
        <f>SUMIFS('Data nguồn'!J:J, 'Data nguồn'!D:D, $D166, 'Data nguồn'!F:F, $B$1, 'Data nguồn'!C:C, G$3)</f>
      </c>
      <c r="H166" s="3">
        <f>SUMIFS('Data nguồn'!J:J, 'Data nguồn'!D:D, $D166, 'Data nguồn'!F:F, $B$1, 'Data nguồn'!C:C, H$3)</f>
      </c>
      <c r="I166" s="3">
        <f>SUMIFS('Data nguồn'!J:J, 'Data nguồn'!D:D, $D166, 'Data nguồn'!F:F, $B$1, 'Data nguồn'!C:C, I$3)</f>
      </c>
      <c r="J166" s="3">
        <f>SUMIFS('Data nguồn'!J:J, 'Data nguồn'!D:D, $D166, 'Data nguồn'!F:F, $B$1, 'Data nguồn'!C:C, J$3)</f>
      </c>
      <c r="K166" s="3">
        <f>SUMIFS('Data nguồn'!J:J, 'Data nguồn'!D:D, $D166, 'Data nguồn'!F:F, $B$1, 'Data nguồn'!C:C, K$3)</f>
      </c>
      <c r="L166" s="3">
        <f>SUMIFS('Data nguồn'!J:J, 'Data nguồn'!D:D, $D166, 'Data nguồn'!F:F, $B$1, 'Data nguồn'!C:C, L$3)</f>
      </c>
      <c r="M166" s="3">
        <f>SUMIFS('Data nguồn'!J:J, 'Data nguồn'!D:D, $D166, 'Data nguồn'!F:F, $B$1, 'Data nguồn'!C:C, M$3)</f>
      </c>
      <c r="N166" s="3">
        <f>SUMIFS('Data nguồn'!J:J, 'Data nguồn'!D:D, $D166, 'Data nguồn'!F:F, $B$1, 'Data nguồn'!C:C, N$3)</f>
      </c>
      <c r="O166" s="3">
        <f>SUMIFS('Data nguồn'!J:J, 'Data nguồn'!D:D, $D166, 'Data nguồn'!F:F, $B$1, 'Data nguồn'!C:C, O$3)</f>
      </c>
      <c r="P166" s="3">
        <f>SUMIFS('Data nguồn'!J:J, 'Data nguồn'!D:D, $D166, 'Data nguồn'!F:F, $B$1, 'Data nguồn'!C:C, P$3)</f>
      </c>
      <c r="Q166" s="3">
        <f>SUMIFS('Data nguồn'!J:J, 'Data nguồn'!D:D, $D166, 'Data nguồn'!F:F, $B$1, 'Data nguồn'!C:C, Q$3)</f>
      </c>
      <c r="R166" s="3">
        <f>SUMIFS('Data nguồn'!J:J, 'Data nguồn'!D:D, $D166, 'Data nguồn'!F:F, $B$1, 'Data nguồn'!C:C, R$3)</f>
      </c>
      <c r="S166" s="3">
        <f>SUMIFS('Data nguồn'!J:J, 'Data nguồn'!D:D, $D166, 'Data nguồn'!F:F, $B$1, 'Data nguồn'!C:C, S$3)</f>
      </c>
      <c r="T166" s="3">
        <f>SUMIFS('Data nguồn'!J:J, 'Data nguồn'!D:D, $D166, 'Data nguồn'!F:F, $B$1, 'Data nguồn'!C:C, T$3)</f>
      </c>
      <c r="V166" s="3">
        <f>SUM(E166:P166)</f>
      </c>
      <c r="W166" s="3">
        <f>SUM(Q166:T166)</f>
      </c>
      <c r="X166" s="3">
        <f>AVERAGE(R166:T166)</f>
      </c>
      <c r="Y166" s="3">
        <f>AVERAGE(O166:T166)</f>
      </c>
      <c r="Z166" s="3">
        <f>AVERAGE(L166:T166)</f>
      </c>
      <c r="AA166" s="4">
        <f>IFERROR((X166*2)/(Y166+Z166), 0)</f>
      </c>
      <c r="AB166" s="4">
        <f>IFERROR(W166/SUM(E166:H166), 0)</f>
      </c>
      <c r="AC166" s="4">
        <f>IFERROR(W166/SUM(E166:H166), 0)</f>
      </c>
      <c r="AD166" s="4">
        <f>IFERROR(T166/H166, 0)</f>
      </c>
    </row>
    <row r="167" ht="20" customHeight="1" spans="1:30" x14ac:dyDescent="0.25">
      <c r="A167">
        <v>164</v>
      </c>
      <c r="B167" t="s">
        <v>337</v>
      </c>
      <c r="C167" t="s">
        <v>363</v>
      </c>
      <c r="D167" s="2" t="s">
        <v>337</v>
      </c>
      <c r="E167" s="3">
        <f>SUMIFS('Data nguồn'!J:J, 'Data nguồn'!D:D, $D167, 'Data nguồn'!F:F, $B$1, 'Data nguồn'!C:C, E$3)</f>
      </c>
      <c r="F167" s="3">
        <f>SUMIFS('Data nguồn'!J:J, 'Data nguồn'!D:D, $D167, 'Data nguồn'!F:F, $B$1, 'Data nguồn'!C:C, F$3)</f>
      </c>
      <c r="G167" s="3">
        <f>SUMIFS('Data nguồn'!J:J, 'Data nguồn'!D:D, $D167, 'Data nguồn'!F:F, $B$1, 'Data nguồn'!C:C, G$3)</f>
      </c>
      <c r="H167" s="3">
        <f>SUMIFS('Data nguồn'!J:J, 'Data nguồn'!D:D, $D167, 'Data nguồn'!F:F, $B$1, 'Data nguồn'!C:C, H$3)</f>
      </c>
      <c r="I167" s="3">
        <f>SUMIFS('Data nguồn'!J:J, 'Data nguồn'!D:D, $D167, 'Data nguồn'!F:F, $B$1, 'Data nguồn'!C:C, I$3)</f>
      </c>
      <c r="J167" s="3">
        <f>SUMIFS('Data nguồn'!J:J, 'Data nguồn'!D:D, $D167, 'Data nguồn'!F:F, $B$1, 'Data nguồn'!C:C, J$3)</f>
      </c>
      <c r="K167" s="3">
        <f>SUMIFS('Data nguồn'!J:J, 'Data nguồn'!D:D, $D167, 'Data nguồn'!F:F, $B$1, 'Data nguồn'!C:C, K$3)</f>
      </c>
      <c r="L167" s="3">
        <f>SUMIFS('Data nguồn'!J:J, 'Data nguồn'!D:D, $D167, 'Data nguồn'!F:F, $B$1, 'Data nguồn'!C:C, L$3)</f>
      </c>
      <c r="M167" s="3">
        <f>SUMIFS('Data nguồn'!J:J, 'Data nguồn'!D:D, $D167, 'Data nguồn'!F:F, $B$1, 'Data nguồn'!C:C, M$3)</f>
      </c>
      <c r="N167" s="3">
        <f>SUMIFS('Data nguồn'!J:J, 'Data nguồn'!D:D, $D167, 'Data nguồn'!F:F, $B$1, 'Data nguồn'!C:C, N$3)</f>
      </c>
      <c r="O167" s="3">
        <f>SUMIFS('Data nguồn'!J:J, 'Data nguồn'!D:D, $D167, 'Data nguồn'!F:F, $B$1, 'Data nguồn'!C:C, O$3)</f>
      </c>
      <c r="P167" s="3">
        <f>SUMIFS('Data nguồn'!J:J, 'Data nguồn'!D:D, $D167, 'Data nguồn'!F:F, $B$1, 'Data nguồn'!C:C, P$3)</f>
      </c>
      <c r="Q167" s="3">
        <f>SUMIFS('Data nguồn'!J:J, 'Data nguồn'!D:D, $D167, 'Data nguồn'!F:F, $B$1, 'Data nguồn'!C:C, Q$3)</f>
      </c>
      <c r="R167" s="3">
        <f>SUMIFS('Data nguồn'!J:J, 'Data nguồn'!D:D, $D167, 'Data nguồn'!F:F, $B$1, 'Data nguồn'!C:C, R$3)</f>
      </c>
      <c r="S167" s="3">
        <f>SUMIFS('Data nguồn'!J:J, 'Data nguồn'!D:D, $D167, 'Data nguồn'!F:F, $B$1, 'Data nguồn'!C:C, S$3)</f>
      </c>
      <c r="T167" s="3">
        <f>SUMIFS('Data nguồn'!J:J, 'Data nguồn'!D:D, $D167, 'Data nguồn'!F:F, $B$1, 'Data nguồn'!C:C, T$3)</f>
      </c>
      <c r="V167" s="3">
        <f>SUM(E167:P167)</f>
      </c>
      <c r="W167" s="3">
        <f>SUM(Q167:T167)</f>
      </c>
      <c r="X167" s="3">
        <f>AVERAGE(R167:T167)</f>
      </c>
      <c r="Y167" s="3">
        <f>AVERAGE(O167:T167)</f>
      </c>
      <c r="Z167" s="3">
        <f>AVERAGE(L167:T167)</f>
      </c>
      <c r="AA167" s="4">
        <f>IFERROR((X167*2)/(Y167+Z167), 0)</f>
      </c>
      <c r="AB167" s="4">
        <f>IFERROR(W167/SUM(E167:H167), 0)</f>
      </c>
      <c r="AC167" s="4">
        <f>IFERROR(W167/SUM(E167:H167), 0)</f>
      </c>
      <c r="AD167" s="4">
        <f>IFERROR(T167/H167, 0)</f>
      </c>
    </row>
    <row r="168" ht="20" customHeight="1" spans="1:30" x14ac:dyDescent="0.25">
      <c r="A168">
        <v>165</v>
      </c>
      <c r="B168" t="s">
        <v>338</v>
      </c>
      <c r="C168" t="s">
        <v>370</v>
      </c>
      <c r="D168" s="2" t="s">
        <v>338</v>
      </c>
      <c r="E168" s="3">
        <f>SUMIFS('Data nguồn'!J:J, 'Data nguồn'!D:D, $D168, 'Data nguồn'!F:F, $B$1, 'Data nguồn'!C:C, E$3)</f>
      </c>
      <c r="F168" s="3">
        <f>SUMIFS('Data nguồn'!J:J, 'Data nguồn'!D:D, $D168, 'Data nguồn'!F:F, $B$1, 'Data nguồn'!C:C, F$3)</f>
      </c>
      <c r="G168" s="3">
        <f>SUMIFS('Data nguồn'!J:J, 'Data nguồn'!D:D, $D168, 'Data nguồn'!F:F, $B$1, 'Data nguồn'!C:C, G$3)</f>
      </c>
      <c r="H168" s="3">
        <f>SUMIFS('Data nguồn'!J:J, 'Data nguồn'!D:D, $D168, 'Data nguồn'!F:F, $B$1, 'Data nguồn'!C:C, H$3)</f>
      </c>
      <c r="I168" s="3">
        <f>SUMIFS('Data nguồn'!J:J, 'Data nguồn'!D:D, $D168, 'Data nguồn'!F:F, $B$1, 'Data nguồn'!C:C, I$3)</f>
      </c>
      <c r="J168" s="3">
        <f>SUMIFS('Data nguồn'!J:J, 'Data nguồn'!D:D, $D168, 'Data nguồn'!F:F, $B$1, 'Data nguồn'!C:C, J$3)</f>
      </c>
      <c r="K168" s="3">
        <f>SUMIFS('Data nguồn'!J:J, 'Data nguồn'!D:D, $D168, 'Data nguồn'!F:F, $B$1, 'Data nguồn'!C:C, K$3)</f>
      </c>
      <c r="L168" s="3">
        <f>SUMIFS('Data nguồn'!J:J, 'Data nguồn'!D:D, $D168, 'Data nguồn'!F:F, $B$1, 'Data nguồn'!C:C, L$3)</f>
      </c>
      <c r="M168" s="3">
        <f>SUMIFS('Data nguồn'!J:J, 'Data nguồn'!D:D, $D168, 'Data nguồn'!F:F, $B$1, 'Data nguồn'!C:C, M$3)</f>
      </c>
      <c r="N168" s="3">
        <f>SUMIFS('Data nguồn'!J:J, 'Data nguồn'!D:D, $D168, 'Data nguồn'!F:F, $B$1, 'Data nguồn'!C:C, N$3)</f>
      </c>
      <c r="O168" s="3">
        <f>SUMIFS('Data nguồn'!J:J, 'Data nguồn'!D:D, $D168, 'Data nguồn'!F:F, $B$1, 'Data nguồn'!C:C, O$3)</f>
      </c>
      <c r="P168" s="3">
        <f>SUMIFS('Data nguồn'!J:J, 'Data nguồn'!D:D, $D168, 'Data nguồn'!F:F, $B$1, 'Data nguồn'!C:C, P$3)</f>
      </c>
      <c r="Q168" s="3">
        <f>SUMIFS('Data nguồn'!J:J, 'Data nguồn'!D:D, $D168, 'Data nguồn'!F:F, $B$1, 'Data nguồn'!C:C, Q$3)</f>
      </c>
      <c r="R168" s="3">
        <f>SUMIFS('Data nguồn'!J:J, 'Data nguồn'!D:D, $D168, 'Data nguồn'!F:F, $B$1, 'Data nguồn'!C:C, R$3)</f>
      </c>
      <c r="S168" s="3">
        <f>SUMIFS('Data nguồn'!J:J, 'Data nguồn'!D:D, $D168, 'Data nguồn'!F:F, $B$1, 'Data nguồn'!C:C, S$3)</f>
      </c>
      <c r="T168" s="3">
        <f>SUMIFS('Data nguồn'!J:J, 'Data nguồn'!D:D, $D168, 'Data nguồn'!F:F, $B$1, 'Data nguồn'!C:C, T$3)</f>
      </c>
      <c r="V168" s="3">
        <f>SUM(E168:P168)</f>
      </c>
      <c r="W168" s="3">
        <f>SUM(Q168:T168)</f>
      </c>
      <c r="X168" s="3">
        <f>AVERAGE(R168:T168)</f>
      </c>
      <c r="Y168" s="3">
        <f>AVERAGE(O168:T168)</f>
      </c>
      <c r="Z168" s="3">
        <f>AVERAGE(L168:T168)</f>
      </c>
      <c r="AA168" s="4">
        <f>IFERROR((X168*2)/(Y168+Z168), 0)</f>
      </c>
      <c r="AB168" s="4">
        <f>IFERROR(W168/SUM(E168:H168), 0)</f>
      </c>
      <c r="AC168" s="4">
        <f>IFERROR(W168/SUM(E168:H168), 0)</f>
      </c>
      <c r="AD168" s="4">
        <f>IFERROR(T168/H168, 0)</f>
      </c>
    </row>
    <row r="169" ht="22" customHeight="1" spans="4:30" x14ac:dyDescent="0.25">
      <c r="D169" s="5" t="s">
        <v>397</v>
      </c>
      <c r="E169" s="6">
        <f>SUM(E4:E168)</f>
      </c>
      <c r="F169" s="6">
        <f>SUM(F4:F168)</f>
      </c>
      <c r="G169" s="6">
        <f>SUM(G4:G168)</f>
      </c>
      <c r="H169" s="6">
        <f>SUM(H4:H168)</f>
      </c>
      <c r="I169" s="6">
        <f>SUM(I4:I168)</f>
      </c>
      <c r="J169" s="6">
        <f>SUM(J4:J168)</f>
      </c>
      <c r="K169" s="6">
        <f>SUM(K4:K168)</f>
      </c>
      <c r="L169" s="6">
        <f>SUM(L4:L168)</f>
      </c>
      <c r="M169" s="6">
        <f>SUM(M4:M168)</f>
      </c>
      <c r="N169" s="6">
        <f>SUM(N4:N168)</f>
      </c>
      <c r="O169" s="6">
        <f>SUM(O4:O168)</f>
      </c>
      <c r="P169" s="6">
        <f>SUM(P4:P168)</f>
      </c>
      <c r="Q169" s="6">
        <f>SUM(Q4:Q168)</f>
      </c>
      <c r="R169" s="6">
        <f>SUM(R4:R168)</f>
      </c>
      <c r="S169" s="6">
        <f>SUM(S4:S168)</f>
      </c>
      <c r="T169" s="6">
        <f>SUM(T4:T168)</f>
      </c>
      <c r="V169" s="6">
        <f>SUM(V4:V168)</f>
      </c>
      <c r="W169" s="6">
        <f>SUM(W4:W168)</f>
      </c>
      <c r="X169" s="6">
        <f>SUM(X4:X168)</f>
      </c>
      <c r="Y169" s="6">
        <f>SUM(Y4:Y168)</f>
      </c>
      <c r="Z169" s="6">
        <f>SUM(Z4:Z168)</f>
      </c>
      <c r="AA169" s="7">
        <f>IFERROR((X169*2)/(Y169+Z169), 0)</f>
      </c>
      <c r="AB169" s="7">
        <f>IFERROR(W169/SUM(E169:H169), 0)</f>
      </c>
      <c r="AC169" s="7">
        <f>IFERROR(W169/SUM(E169:H169), 0)</f>
      </c>
      <c r="AD169" s="7">
        <f>IFERROR(T169/H169, 0)</f>
      </c>
    </row>
  </sheetData>
  <dataValidations count="1">
    <dataValidation type="list" allowBlank="1" sqref="B1">
      <formula1>Config!$B$2:$B$31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69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5" customWidth="1"/>
    <col min="2" max="2" width="50" customWidth="1"/>
    <col min="3" max="3" width="5" customWidth="1"/>
    <col min="4" max="4" width="50" customWidth="1"/>
    <col min="5" max="20" width="14" customWidth="1"/>
    <col min="21" max="21" width="5" customWidth="1"/>
    <col min="22" max="23" width="16" customWidth="1"/>
    <col min="24" max="30" width="12" customWidth="1"/>
  </cols>
  <sheetData>
    <row r="1" ht="24" customHeight="1" spans="1:2" x14ac:dyDescent="0.25">
      <c r="A1" s="10" t="s">
        <v>407</v>
      </c>
      <c r="B1" s="11" t="s">
        <v>3</v>
      </c>
    </row>
    <row r="2" ht="15" customHeight="1" x14ac:dyDescent="0.25"/>
    <row r="3" ht="24" customHeight="1" spans="4:30" x14ac:dyDescent="0.25">
      <c r="D3" s="1" t="s">
        <v>408</v>
      </c>
      <c r="E3" s="1" t="s">
        <v>340</v>
      </c>
      <c r="F3" s="1" t="s">
        <v>341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  <c r="M3" s="1" t="s">
        <v>348</v>
      </c>
      <c r="N3" s="1" t="s">
        <v>349</v>
      </c>
      <c r="O3" s="1" t="s">
        <v>350</v>
      </c>
      <c r="P3" s="1" t="s">
        <v>351</v>
      </c>
      <c r="Q3" s="1" t="s">
        <v>352</v>
      </c>
      <c r="R3" s="1" t="s">
        <v>353</v>
      </c>
      <c r="S3" s="1" t="s">
        <v>354</v>
      </c>
      <c r="T3" s="1" t="s">
        <v>355</v>
      </c>
      <c r="V3" s="1">
        <v>2024</v>
      </c>
      <c r="W3" s="1">
        <v>2025</v>
      </c>
      <c r="X3" s="1" t="s">
        <v>356</v>
      </c>
      <c r="Y3" s="1" t="s">
        <v>357</v>
      </c>
      <c r="Z3" s="1" t="s">
        <v>358</v>
      </c>
      <c r="AA3" s="1" t="s">
        <v>359</v>
      </c>
      <c r="AB3" s="1" t="s">
        <v>360</v>
      </c>
      <c r="AC3" s="1" t="s">
        <v>361</v>
      </c>
      <c r="AD3" s="1" t="s">
        <v>362</v>
      </c>
    </row>
    <row r="4" ht="20" customHeight="1" spans="1:30" x14ac:dyDescent="0.25">
      <c r="A4">
        <v>1</v>
      </c>
      <c r="B4" t="s">
        <v>2</v>
      </c>
      <c r="C4" t="s">
        <v>370</v>
      </c>
      <c r="D4" s="2" t="s">
        <v>2</v>
      </c>
      <c r="E4" s="8">
        <f>SUMIFS('Data nguồn'!H:H, 'Data nguồn'!D:D, $D4, 'Data nguồn'!F:F, $B$1, 'Data nguồn'!C:C, E$3)</f>
      </c>
      <c r="F4" s="8">
        <f>SUMIFS('Data nguồn'!H:H, 'Data nguồn'!D:D, $D4, 'Data nguồn'!F:F, $B$1, 'Data nguồn'!C:C, F$3)</f>
      </c>
      <c r="G4" s="8">
        <f>SUMIFS('Data nguồn'!H:H, 'Data nguồn'!D:D, $D4, 'Data nguồn'!F:F, $B$1, 'Data nguồn'!C:C, G$3)</f>
      </c>
      <c r="H4" s="8">
        <f>SUMIFS('Data nguồn'!H:H, 'Data nguồn'!D:D, $D4, 'Data nguồn'!F:F, $B$1, 'Data nguồn'!C:C, H$3)</f>
      </c>
      <c r="I4" s="8">
        <f>SUMIFS('Data nguồn'!H:H, 'Data nguồn'!D:D, $D4, 'Data nguồn'!F:F, $B$1, 'Data nguồn'!C:C, I$3)</f>
      </c>
      <c r="J4" s="8">
        <f>SUMIFS('Data nguồn'!H:H, 'Data nguồn'!D:D, $D4, 'Data nguồn'!F:F, $B$1, 'Data nguồn'!C:C, J$3)</f>
      </c>
      <c r="K4" s="8">
        <f>SUMIFS('Data nguồn'!H:H, 'Data nguồn'!D:D, $D4, 'Data nguồn'!F:F, $B$1, 'Data nguồn'!C:C, K$3)</f>
      </c>
      <c r="L4" s="8">
        <f>SUMIFS('Data nguồn'!H:H, 'Data nguồn'!D:D, $D4, 'Data nguồn'!F:F, $B$1, 'Data nguồn'!C:C, L$3)</f>
      </c>
      <c r="M4" s="8">
        <f>SUMIFS('Data nguồn'!H:H, 'Data nguồn'!D:D, $D4, 'Data nguồn'!F:F, $B$1, 'Data nguồn'!C:C, M$3)</f>
      </c>
      <c r="N4" s="8">
        <f>SUMIFS('Data nguồn'!H:H, 'Data nguồn'!D:D, $D4, 'Data nguồn'!F:F, $B$1, 'Data nguồn'!C:C, N$3)</f>
      </c>
      <c r="O4" s="8">
        <f>SUMIFS('Data nguồn'!H:H, 'Data nguồn'!D:D, $D4, 'Data nguồn'!F:F, $B$1, 'Data nguồn'!C:C, O$3)</f>
      </c>
      <c r="P4" s="8">
        <f>SUMIFS('Data nguồn'!H:H, 'Data nguồn'!D:D, $D4, 'Data nguồn'!F:F, $B$1, 'Data nguồn'!C:C, P$3)</f>
      </c>
      <c r="Q4" s="8">
        <f>SUMIFS('Data nguồn'!H:H, 'Data nguồn'!D:D, $D4, 'Data nguồn'!F:F, $B$1, 'Data nguồn'!C:C, Q$3)</f>
      </c>
      <c r="R4" s="8">
        <f>SUMIFS('Data nguồn'!H:H, 'Data nguồn'!D:D, $D4, 'Data nguồn'!F:F, $B$1, 'Data nguồn'!C:C, R$3)</f>
      </c>
      <c r="S4" s="8">
        <f>SUMIFS('Data nguồn'!H:H, 'Data nguồn'!D:D, $D4, 'Data nguồn'!F:F, $B$1, 'Data nguồn'!C:C, S$3)</f>
      </c>
      <c r="T4" s="8">
        <f>SUMIFS('Data nguồn'!H:H, 'Data nguồn'!D:D, $D4, 'Data nguồn'!F:F, $B$1, 'Data nguồn'!C:C, T$3)</f>
      </c>
      <c r="V4" s="8">
        <f>SUM(E4:P4)</f>
      </c>
      <c r="W4" s="8">
        <f>SUM(Q4:T4)</f>
      </c>
      <c r="X4" s="8">
        <f>AVERAGE(R4:T4)</f>
      </c>
      <c r="Y4" s="8">
        <f>AVERAGE(O4:T4)</f>
      </c>
      <c r="Z4" s="8">
        <f>AVERAGE(L4:T4)</f>
      </c>
      <c r="AA4" s="4">
        <f>IFERROR((X4*2)/(Y4+Z4), 0)</f>
      </c>
      <c r="AB4" s="4">
        <f>IFERROR(W4/SUM(E4:H4), 0)</f>
      </c>
      <c r="AC4" s="4">
        <f>IFERROR(W4/SUM(E4:H4), 0)</f>
      </c>
      <c r="AD4" s="4">
        <f>IFERROR(T4/H4, 0)</f>
      </c>
    </row>
    <row r="5" ht="20" customHeight="1" spans="1:30" x14ac:dyDescent="0.25">
      <c r="A5">
        <v>2</v>
      </c>
      <c r="B5" t="s">
        <v>4</v>
      </c>
      <c r="C5" t="s">
        <v>363</v>
      </c>
      <c r="D5" s="2" t="s">
        <v>4</v>
      </c>
      <c r="E5" s="8">
        <f>SUMIFS('Data nguồn'!H:H, 'Data nguồn'!D:D, $D5, 'Data nguồn'!F:F, $B$1, 'Data nguồn'!C:C, E$3)</f>
      </c>
      <c r="F5" s="8">
        <f>SUMIFS('Data nguồn'!H:H, 'Data nguồn'!D:D, $D5, 'Data nguồn'!F:F, $B$1, 'Data nguồn'!C:C, F$3)</f>
      </c>
      <c r="G5" s="8">
        <f>SUMIFS('Data nguồn'!H:H, 'Data nguồn'!D:D, $D5, 'Data nguồn'!F:F, $B$1, 'Data nguồn'!C:C, G$3)</f>
      </c>
      <c r="H5" s="8">
        <f>SUMIFS('Data nguồn'!H:H, 'Data nguồn'!D:D, $D5, 'Data nguồn'!F:F, $B$1, 'Data nguồn'!C:C, H$3)</f>
      </c>
      <c r="I5" s="8">
        <f>SUMIFS('Data nguồn'!H:H, 'Data nguồn'!D:D, $D5, 'Data nguồn'!F:F, $B$1, 'Data nguồn'!C:C, I$3)</f>
      </c>
      <c r="J5" s="8">
        <f>SUMIFS('Data nguồn'!H:H, 'Data nguồn'!D:D, $D5, 'Data nguồn'!F:F, $B$1, 'Data nguồn'!C:C, J$3)</f>
      </c>
      <c r="K5" s="8">
        <f>SUMIFS('Data nguồn'!H:H, 'Data nguồn'!D:D, $D5, 'Data nguồn'!F:F, $B$1, 'Data nguồn'!C:C, K$3)</f>
      </c>
      <c r="L5" s="8">
        <f>SUMIFS('Data nguồn'!H:H, 'Data nguồn'!D:D, $D5, 'Data nguồn'!F:F, $B$1, 'Data nguồn'!C:C, L$3)</f>
      </c>
      <c r="M5" s="8">
        <f>SUMIFS('Data nguồn'!H:H, 'Data nguồn'!D:D, $D5, 'Data nguồn'!F:F, $B$1, 'Data nguồn'!C:C, M$3)</f>
      </c>
      <c r="N5" s="8">
        <f>SUMIFS('Data nguồn'!H:H, 'Data nguồn'!D:D, $D5, 'Data nguồn'!F:F, $B$1, 'Data nguồn'!C:C, N$3)</f>
      </c>
      <c r="O5" s="8">
        <f>SUMIFS('Data nguồn'!H:H, 'Data nguồn'!D:D, $D5, 'Data nguồn'!F:F, $B$1, 'Data nguồn'!C:C, O$3)</f>
      </c>
      <c r="P5" s="8">
        <f>SUMIFS('Data nguồn'!H:H, 'Data nguồn'!D:D, $D5, 'Data nguồn'!F:F, $B$1, 'Data nguồn'!C:C, P$3)</f>
      </c>
      <c r="Q5" s="8">
        <f>SUMIFS('Data nguồn'!H:H, 'Data nguồn'!D:D, $D5, 'Data nguồn'!F:F, $B$1, 'Data nguồn'!C:C, Q$3)</f>
      </c>
      <c r="R5" s="8">
        <f>SUMIFS('Data nguồn'!H:H, 'Data nguồn'!D:D, $D5, 'Data nguồn'!F:F, $B$1, 'Data nguồn'!C:C, R$3)</f>
      </c>
      <c r="S5" s="8">
        <f>SUMIFS('Data nguồn'!H:H, 'Data nguồn'!D:D, $D5, 'Data nguồn'!F:F, $B$1, 'Data nguồn'!C:C, S$3)</f>
      </c>
      <c r="T5" s="8">
        <f>SUMIFS('Data nguồn'!H:H, 'Data nguồn'!D:D, $D5, 'Data nguồn'!F:F, $B$1, 'Data nguồn'!C:C, T$3)</f>
      </c>
      <c r="V5" s="8">
        <f>SUM(E5:P5)</f>
      </c>
      <c r="W5" s="8">
        <f>SUM(Q5:T5)</f>
      </c>
      <c r="X5" s="8">
        <f>AVERAGE(R5:T5)</f>
      </c>
      <c r="Y5" s="8">
        <f>AVERAGE(O5:T5)</f>
      </c>
      <c r="Z5" s="8">
        <f>AVERAGE(L5:T5)</f>
      </c>
      <c r="AA5" s="4">
        <f>IFERROR((X5*2)/(Y5+Z5), 0)</f>
      </c>
      <c r="AB5" s="4">
        <f>IFERROR(W5/SUM(E5:H5), 0)</f>
      </c>
      <c r="AC5" s="4">
        <f>IFERROR(W5/SUM(E5:H5), 0)</f>
      </c>
      <c r="AD5" s="4">
        <f>IFERROR(T5/H5, 0)</f>
      </c>
    </row>
    <row r="6" ht="20" customHeight="1" spans="1:30" x14ac:dyDescent="0.25">
      <c r="A6">
        <v>3</v>
      </c>
      <c r="B6" t="s">
        <v>6</v>
      </c>
      <c r="C6" t="s">
        <v>367</v>
      </c>
      <c r="D6" s="2" t="s">
        <v>6</v>
      </c>
      <c r="E6" s="8">
        <f>SUMIFS('Data nguồn'!H:H, 'Data nguồn'!D:D, $D6, 'Data nguồn'!F:F, $B$1, 'Data nguồn'!C:C, E$3)</f>
      </c>
      <c r="F6" s="8">
        <f>SUMIFS('Data nguồn'!H:H, 'Data nguồn'!D:D, $D6, 'Data nguồn'!F:F, $B$1, 'Data nguồn'!C:C, F$3)</f>
      </c>
      <c r="G6" s="8">
        <f>SUMIFS('Data nguồn'!H:H, 'Data nguồn'!D:D, $D6, 'Data nguồn'!F:F, $B$1, 'Data nguồn'!C:C, G$3)</f>
      </c>
      <c r="H6" s="8">
        <f>SUMIFS('Data nguồn'!H:H, 'Data nguồn'!D:D, $D6, 'Data nguồn'!F:F, $B$1, 'Data nguồn'!C:C, H$3)</f>
      </c>
      <c r="I6" s="8">
        <f>SUMIFS('Data nguồn'!H:H, 'Data nguồn'!D:D, $D6, 'Data nguồn'!F:F, $B$1, 'Data nguồn'!C:C, I$3)</f>
      </c>
      <c r="J6" s="8">
        <f>SUMIFS('Data nguồn'!H:H, 'Data nguồn'!D:D, $D6, 'Data nguồn'!F:F, $B$1, 'Data nguồn'!C:C, J$3)</f>
      </c>
      <c r="K6" s="8">
        <f>SUMIFS('Data nguồn'!H:H, 'Data nguồn'!D:D, $D6, 'Data nguồn'!F:F, $B$1, 'Data nguồn'!C:C, K$3)</f>
      </c>
      <c r="L6" s="8">
        <f>SUMIFS('Data nguồn'!H:H, 'Data nguồn'!D:D, $D6, 'Data nguồn'!F:F, $B$1, 'Data nguồn'!C:C, L$3)</f>
      </c>
      <c r="M6" s="8">
        <f>SUMIFS('Data nguồn'!H:H, 'Data nguồn'!D:D, $D6, 'Data nguồn'!F:F, $B$1, 'Data nguồn'!C:C, M$3)</f>
      </c>
      <c r="N6" s="8">
        <f>SUMIFS('Data nguồn'!H:H, 'Data nguồn'!D:D, $D6, 'Data nguồn'!F:F, $B$1, 'Data nguồn'!C:C, N$3)</f>
      </c>
      <c r="O6" s="8">
        <f>SUMIFS('Data nguồn'!H:H, 'Data nguồn'!D:D, $D6, 'Data nguồn'!F:F, $B$1, 'Data nguồn'!C:C, O$3)</f>
      </c>
      <c r="P6" s="8">
        <f>SUMIFS('Data nguồn'!H:H, 'Data nguồn'!D:D, $D6, 'Data nguồn'!F:F, $B$1, 'Data nguồn'!C:C, P$3)</f>
      </c>
      <c r="Q6" s="8">
        <f>SUMIFS('Data nguồn'!H:H, 'Data nguồn'!D:D, $D6, 'Data nguồn'!F:F, $B$1, 'Data nguồn'!C:C, Q$3)</f>
      </c>
      <c r="R6" s="8">
        <f>SUMIFS('Data nguồn'!H:H, 'Data nguồn'!D:D, $D6, 'Data nguồn'!F:F, $B$1, 'Data nguồn'!C:C, R$3)</f>
      </c>
      <c r="S6" s="8">
        <f>SUMIFS('Data nguồn'!H:H, 'Data nguồn'!D:D, $D6, 'Data nguồn'!F:F, $B$1, 'Data nguồn'!C:C, S$3)</f>
      </c>
      <c r="T6" s="8">
        <f>SUMIFS('Data nguồn'!H:H, 'Data nguồn'!D:D, $D6, 'Data nguồn'!F:F, $B$1, 'Data nguồn'!C:C, T$3)</f>
      </c>
      <c r="V6" s="8">
        <f>SUM(E6:P6)</f>
      </c>
      <c r="W6" s="8">
        <f>SUM(Q6:T6)</f>
      </c>
      <c r="X6" s="8">
        <f>AVERAGE(R6:T6)</f>
      </c>
      <c r="Y6" s="8">
        <f>AVERAGE(O6:T6)</f>
      </c>
      <c r="Z6" s="8">
        <f>AVERAGE(L6:T6)</f>
      </c>
      <c r="AA6" s="4">
        <f>IFERROR((X6*2)/(Y6+Z6), 0)</f>
      </c>
      <c r="AB6" s="4">
        <f>IFERROR(W6/SUM(E6:H6), 0)</f>
      </c>
      <c r="AC6" s="4">
        <f>IFERROR(W6/SUM(E6:H6), 0)</f>
      </c>
      <c r="AD6" s="4">
        <f>IFERROR(T6/H6, 0)</f>
      </c>
    </row>
    <row r="7" ht="20" customHeight="1" spans="1:30" x14ac:dyDescent="0.25">
      <c r="A7">
        <v>4</v>
      </c>
      <c r="B7" t="s">
        <v>10</v>
      </c>
      <c r="C7" t="s">
        <v>363</v>
      </c>
      <c r="D7" s="2" t="s">
        <v>10</v>
      </c>
      <c r="E7" s="8">
        <f>SUMIFS('Data nguồn'!H:H, 'Data nguồn'!D:D, $D7, 'Data nguồn'!F:F, $B$1, 'Data nguồn'!C:C, E$3)</f>
      </c>
      <c r="F7" s="8">
        <f>SUMIFS('Data nguồn'!H:H, 'Data nguồn'!D:D, $D7, 'Data nguồn'!F:F, $B$1, 'Data nguồn'!C:C, F$3)</f>
      </c>
      <c r="G7" s="8">
        <f>SUMIFS('Data nguồn'!H:H, 'Data nguồn'!D:D, $D7, 'Data nguồn'!F:F, $B$1, 'Data nguồn'!C:C, G$3)</f>
      </c>
      <c r="H7" s="8">
        <f>SUMIFS('Data nguồn'!H:H, 'Data nguồn'!D:D, $D7, 'Data nguồn'!F:F, $B$1, 'Data nguồn'!C:C, H$3)</f>
      </c>
      <c r="I7" s="8">
        <f>SUMIFS('Data nguồn'!H:H, 'Data nguồn'!D:D, $D7, 'Data nguồn'!F:F, $B$1, 'Data nguồn'!C:C, I$3)</f>
      </c>
      <c r="J7" s="8">
        <f>SUMIFS('Data nguồn'!H:H, 'Data nguồn'!D:D, $D7, 'Data nguồn'!F:F, $B$1, 'Data nguồn'!C:C, J$3)</f>
      </c>
      <c r="K7" s="8">
        <f>SUMIFS('Data nguồn'!H:H, 'Data nguồn'!D:D, $D7, 'Data nguồn'!F:F, $B$1, 'Data nguồn'!C:C, K$3)</f>
      </c>
      <c r="L7" s="8">
        <f>SUMIFS('Data nguồn'!H:H, 'Data nguồn'!D:D, $D7, 'Data nguồn'!F:F, $B$1, 'Data nguồn'!C:C, L$3)</f>
      </c>
      <c r="M7" s="8">
        <f>SUMIFS('Data nguồn'!H:H, 'Data nguồn'!D:D, $D7, 'Data nguồn'!F:F, $B$1, 'Data nguồn'!C:C, M$3)</f>
      </c>
      <c r="N7" s="8">
        <f>SUMIFS('Data nguồn'!H:H, 'Data nguồn'!D:D, $D7, 'Data nguồn'!F:F, $B$1, 'Data nguồn'!C:C, N$3)</f>
      </c>
      <c r="O7" s="8">
        <f>SUMIFS('Data nguồn'!H:H, 'Data nguồn'!D:D, $D7, 'Data nguồn'!F:F, $B$1, 'Data nguồn'!C:C, O$3)</f>
      </c>
      <c r="P7" s="8">
        <f>SUMIFS('Data nguồn'!H:H, 'Data nguồn'!D:D, $D7, 'Data nguồn'!F:F, $B$1, 'Data nguồn'!C:C, P$3)</f>
      </c>
      <c r="Q7" s="8">
        <f>SUMIFS('Data nguồn'!H:H, 'Data nguồn'!D:D, $D7, 'Data nguồn'!F:F, $B$1, 'Data nguồn'!C:C, Q$3)</f>
      </c>
      <c r="R7" s="8">
        <f>SUMIFS('Data nguồn'!H:H, 'Data nguồn'!D:D, $D7, 'Data nguồn'!F:F, $B$1, 'Data nguồn'!C:C, R$3)</f>
      </c>
      <c r="S7" s="8">
        <f>SUMIFS('Data nguồn'!H:H, 'Data nguồn'!D:D, $D7, 'Data nguồn'!F:F, $B$1, 'Data nguồn'!C:C, S$3)</f>
      </c>
      <c r="T7" s="8">
        <f>SUMIFS('Data nguồn'!H:H, 'Data nguồn'!D:D, $D7, 'Data nguồn'!F:F, $B$1, 'Data nguồn'!C:C, T$3)</f>
      </c>
      <c r="V7" s="8">
        <f>SUM(E7:P7)</f>
      </c>
      <c r="W7" s="8">
        <f>SUM(Q7:T7)</f>
      </c>
      <c r="X7" s="8">
        <f>AVERAGE(R7:T7)</f>
      </c>
      <c r="Y7" s="8">
        <f>AVERAGE(O7:T7)</f>
      </c>
      <c r="Z7" s="8">
        <f>AVERAGE(L7:T7)</f>
      </c>
      <c r="AA7" s="4">
        <f>IFERROR((X7*2)/(Y7+Z7), 0)</f>
      </c>
      <c r="AB7" s="4">
        <f>IFERROR(W7/SUM(E7:H7), 0)</f>
      </c>
      <c r="AC7" s="4">
        <f>IFERROR(W7/SUM(E7:H7), 0)</f>
      </c>
      <c r="AD7" s="4">
        <f>IFERROR(T7/H7, 0)</f>
      </c>
    </row>
    <row r="8" ht="20" customHeight="1" spans="1:30" x14ac:dyDescent="0.25">
      <c r="A8">
        <v>5</v>
      </c>
      <c r="B8" t="s">
        <v>12</v>
      </c>
      <c r="C8" t="s">
        <v>367</v>
      </c>
      <c r="D8" s="2" t="s">
        <v>12</v>
      </c>
      <c r="E8" s="8">
        <f>SUMIFS('Data nguồn'!H:H, 'Data nguồn'!D:D, $D8, 'Data nguồn'!F:F, $B$1, 'Data nguồn'!C:C, E$3)</f>
      </c>
      <c r="F8" s="8">
        <f>SUMIFS('Data nguồn'!H:H, 'Data nguồn'!D:D, $D8, 'Data nguồn'!F:F, $B$1, 'Data nguồn'!C:C, F$3)</f>
      </c>
      <c r="G8" s="8">
        <f>SUMIFS('Data nguồn'!H:H, 'Data nguồn'!D:D, $D8, 'Data nguồn'!F:F, $B$1, 'Data nguồn'!C:C, G$3)</f>
      </c>
      <c r="H8" s="8">
        <f>SUMIFS('Data nguồn'!H:H, 'Data nguồn'!D:D, $D8, 'Data nguồn'!F:F, $B$1, 'Data nguồn'!C:C, H$3)</f>
      </c>
      <c r="I8" s="8">
        <f>SUMIFS('Data nguồn'!H:H, 'Data nguồn'!D:D, $D8, 'Data nguồn'!F:F, $B$1, 'Data nguồn'!C:C, I$3)</f>
      </c>
      <c r="J8" s="8">
        <f>SUMIFS('Data nguồn'!H:H, 'Data nguồn'!D:D, $D8, 'Data nguồn'!F:F, $B$1, 'Data nguồn'!C:C, J$3)</f>
      </c>
      <c r="K8" s="8">
        <f>SUMIFS('Data nguồn'!H:H, 'Data nguồn'!D:D, $D8, 'Data nguồn'!F:F, $B$1, 'Data nguồn'!C:C, K$3)</f>
      </c>
      <c r="L8" s="8">
        <f>SUMIFS('Data nguồn'!H:H, 'Data nguồn'!D:D, $D8, 'Data nguồn'!F:F, $B$1, 'Data nguồn'!C:C, L$3)</f>
      </c>
      <c r="M8" s="8">
        <f>SUMIFS('Data nguồn'!H:H, 'Data nguồn'!D:D, $D8, 'Data nguồn'!F:F, $B$1, 'Data nguồn'!C:C, M$3)</f>
      </c>
      <c r="N8" s="8">
        <f>SUMIFS('Data nguồn'!H:H, 'Data nguồn'!D:D, $D8, 'Data nguồn'!F:F, $B$1, 'Data nguồn'!C:C, N$3)</f>
      </c>
      <c r="O8" s="8">
        <f>SUMIFS('Data nguồn'!H:H, 'Data nguồn'!D:D, $D8, 'Data nguồn'!F:F, $B$1, 'Data nguồn'!C:C, O$3)</f>
      </c>
      <c r="P8" s="8">
        <f>SUMIFS('Data nguồn'!H:H, 'Data nguồn'!D:D, $D8, 'Data nguồn'!F:F, $B$1, 'Data nguồn'!C:C, P$3)</f>
      </c>
      <c r="Q8" s="8">
        <f>SUMIFS('Data nguồn'!H:H, 'Data nguồn'!D:D, $D8, 'Data nguồn'!F:F, $B$1, 'Data nguồn'!C:C, Q$3)</f>
      </c>
      <c r="R8" s="8">
        <f>SUMIFS('Data nguồn'!H:H, 'Data nguồn'!D:D, $D8, 'Data nguồn'!F:F, $B$1, 'Data nguồn'!C:C, R$3)</f>
      </c>
      <c r="S8" s="8">
        <f>SUMIFS('Data nguồn'!H:H, 'Data nguồn'!D:D, $D8, 'Data nguồn'!F:F, $B$1, 'Data nguồn'!C:C, S$3)</f>
      </c>
      <c r="T8" s="8">
        <f>SUMIFS('Data nguồn'!H:H, 'Data nguồn'!D:D, $D8, 'Data nguồn'!F:F, $B$1, 'Data nguồn'!C:C, T$3)</f>
      </c>
      <c r="V8" s="8">
        <f>SUM(E8:P8)</f>
      </c>
      <c r="W8" s="8">
        <f>SUM(Q8:T8)</f>
      </c>
      <c r="X8" s="8">
        <f>AVERAGE(R8:T8)</f>
      </c>
      <c r="Y8" s="8">
        <f>AVERAGE(O8:T8)</f>
      </c>
      <c r="Z8" s="8">
        <f>AVERAGE(L8:T8)</f>
      </c>
      <c r="AA8" s="4">
        <f>IFERROR((X8*2)/(Y8+Z8), 0)</f>
      </c>
      <c r="AB8" s="4">
        <f>IFERROR(W8/SUM(E8:H8), 0)</f>
      </c>
      <c r="AC8" s="4">
        <f>IFERROR(W8/SUM(E8:H8), 0)</f>
      </c>
      <c r="AD8" s="4">
        <f>IFERROR(T8/H8, 0)</f>
      </c>
    </row>
    <row r="9" ht="20" customHeight="1" spans="1:30" x14ac:dyDescent="0.25">
      <c r="A9">
        <v>6</v>
      </c>
      <c r="B9" t="s">
        <v>14</v>
      </c>
      <c r="C9" t="s">
        <v>367</v>
      </c>
      <c r="D9" s="2" t="s">
        <v>14</v>
      </c>
      <c r="E9" s="8">
        <f>SUMIFS('Data nguồn'!H:H, 'Data nguồn'!D:D, $D9, 'Data nguồn'!F:F, $B$1, 'Data nguồn'!C:C, E$3)</f>
      </c>
      <c r="F9" s="8">
        <f>SUMIFS('Data nguồn'!H:H, 'Data nguồn'!D:D, $D9, 'Data nguồn'!F:F, $B$1, 'Data nguồn'!C:C, F$3)</f>
      </c>
      <c r="G9" s="8">
        <f>SUMIFS('Data nguồn'!H:H, 'Data nguồn'!D:D, $D9, 'Data nguồn'!F:F, $B$1, 'Data nguồn'!C:C, G$3)</f>
      </c>
      <c r="H9" s="8">
        <f>SUMIFS('Data nguồn'!H:H, 'Data nguồn'!D:D, $D9, 'Data nguồn'!F:F, $B$1, 'Data nguồn'!C:C, H$3)</f>
      </c>
      <c r="I9" s="8">
        <f>SUMIFS('Data nguồn'!H:H, 'Data nguồn'!D:D, $D9, 'Data nguồn'!F:F, $B$1, 'Data nguồn'!C:C, I$3)</f>
      </c>
      <c r="J9" s="8">
        <f>SUMIFS('Data nguồn'!H:H, 'Data nguồn'!D:D, $D9, 'Data nguồn'!F:F, $B$1, 'Data nguồn'!C:C, J$3)</f>
      </c>
      <c r="K9" s="8">
        <f>SUMIFS('Data nguồn'!H:H, 'Data nguồn'!D:D, $D9, 'Data nguồn'!F:F, $B$1, 'Data nguồn'!C:C, K$3)</f>
      </c>
      <c r="L9" s="8">
        <f>SUMIFS('Data nguồn'!H:H, 'Data nguồn'!D:D, $D9, 'Data nguồn'!F:F, $B$1, 'Data nguồn'!C:C, L$3)</f>
      </c>
      <c r="M9" s="8">
        <f>SUMIFS('Data nguồn'!H:H, 'Data nguồn'!D:D, $D9, 'Data nguồn'!F:F, $B$1, 'Data nguồn'!C:C, M$3)</f>
      </c>
      <c r="N9" s="8">
        <f>SUMIFS('Data nguồn'!H:H, 'Data nguồn'!D:D, $D9, 'Data nguồn'!F:F, $B$1, 'Data nguồn'!C:C, N$3)</f>
      </c>
      <c r="O9" s="8">
        <f>SUMIFS('Data nguồn'!H:H, 'Data nguồn'!D:D, $D9, 'Data nguồn'!F:F, $B$1, 'Data nguồn'!C:C, O$3)</f>
      </c>
      <c r="P9" s="8">
        <f>SUMIFS('Data nguồn'!H:H, 'Data nguồn'!D:D, $D9, 'Data nguồn'!F:F, $B$1, 'Data nguồn'!C:C, P$3)</f>
      </c>
      <c r="Q9" s="8">
        <f>SUMIFS('Data nguồn'!H:H, 'Data nguồn'!D:D, $D9, 'Data nguồn'!F:F, $B$1, 'Data nguồn'!C:C, Q$3)</f>
      </c>
      <c r="R9" s="8">
        <f>SUMIFS('Data nguồn'!H:H, 'Data nguồn'!D:D, $D9, 'Data nguồn'!F:F, $B$1, 'Data nguồn'!C:C, R$3)</f>
      </c>
      <c r="S9" s="8">
        <f>SUMIFS('Data nguồn'!H:H, 'Data nguồn'!D:D, $D9, 'Data nguồn'!F:F, $B$1, 'Data nguồn'!C:C, S$3)</f>
      </c>
      <c r="T9" s="8">
        <f>SUMIFS('Data nguồn'!H:H, 'Data nguồn'!D:D, $D9, 'Data nguồn'!F:F, $B$1, 'Data nguồn'!C:C, T$3)</f>
      </c>
      <c r="V9" s="8">
        <f>SUM(E9:P9)</f>
      </c>
      <c r="W9" s="8">
        <f>SUM(Q9:T9)</f>
      </c>
      <c r="X9" s="8">
        <f>AVERAGE(R9:T9)</f>
      </c>
      <c r="Y9" s="8">
        <f>AVERAGE(O9:T9)</f>
      </c>
      <c r="Z9" s="8">
        <f>AVERAGE(L9:T9)</f>
      </c>
      <c r="AA9" s="4">
        <f>IFERROR((X9*2)/(Y9+Z9), 0)</f>
      </c>
      <c r="AB9" s="4">
        <f>IFERROR(W9/SUM(E9:H9), 0)</f>
      </c>
      <c r="AC9" s="4">
        <f>IFERROR(W9/SUM(E9:H9), 0)</f>
      </c>
      <c r="AD9" s="4">
        <f>IFERROR(T9/H9, 0)</f>
      </c>
    </row>
    <row r="10" ht="20" customHeight="1" spans="1:30" x14ac:dyDescent="0.25">
      <c r="A10">
        <v>7</v>
      </c>
      <c r="B10" t="s">
        <v>18</v>
      </c>
      <c r="C10" t="s">
        <v>367</v>
      </c>
      <c r="D10" s="2" t="s">
        <v>18</v>
      </c>
      <c r="E10" s="8">
        <f>SUMIFS('Data nguồn'!H:H, 'Data nguồn'!D:D, $D10, 'Data nguồn'!F:F, $B$1, 'Data nguồn'!C:C, E$3)</f>
      </c>
      <c r="F10" s="8">
        <f>SUMIFS('Data nguồn'!H:H, 'Data nguồn'!D:D, $D10, 'Data nguồn'!F:F, $B$1, 'Data nguồn'!C:C, F$3)</f>
      </c>
      <c r="G10" s="8">
        <f>SUMIFS('Data nguồn'!H:H, 'Data nguồn'!D:D, $D10, 'Data nguồn'!F:F, $B$1, 'Data nguồn'!C:C, G$3)</f>
      </c>
      <c r="H10" s="8">
        <f>SUMIFS('Data nguồn'!H:H, 'Data nguồn'!D:D, $D10, 'Data nguồn'!F:F, $B$1, 'Data nguồn'!C:C, H$3)</f>
      </c>
      <c r="I10" s="8">
        <f>SUMIFS('Data nguồn'!H:H, 'Data nguồn'!D:D, $D10, 'Data nguồn'!F:F, $B$1, 'Data nguồn'!C:C, I$3)</f>
      </c>
      <c r="J10" s="8">
        <f>SUMIFS('Data nguồn'!H:H, 'Data nguồn'!D:D, $D10, 'Data nguồn'!F:F, $B$1, 'Data nguồn'!C:C, J$3)</f>
      </c>
      <c r="K10" s="8">
        <f>SUMIFS('Data nguồn'!H:H, 'Data nguồn'!D:D, $D10, 'Data nguồn'!F:F, $B$1, 'Data nguồn'!C:C, K$3)</f>
      </c>
      <c r="L10" s="8">
        <f>SUMIFS('Data nguồn'!H:H, 'Data nguồn'!D:D, $D10, 'Data nguồn'!F:F, $B$1, 'Data nguồn'!C:C, L$3)</f>
      </c>
      <c r="M10" s="8">
        <f>SUMIFS('Data nguồn'!H:H, 'Data nguồn'!D:D, $D10, 'Data nguồn'!F:F, $B$1, 'Data nguồn'!C:C, M$3)</f>
      </c>
      <c r="N10" s="8">
        <f>SUMIFS('Data nguồn'!H:H, 'Data nguồn'!D:D, $D10, 'Data nguồn'!F:F, $B$1, 'Data nguồn'!C:C, N$3)</f>
      </c>
      <c r="O10" s="8">
        <f>SUMIFS('Data nguồn'!H:H, 'Data nguồn'!D:D, $D10, 'Data nguồn'!F:F, $B$1, 'Data nguồn'!C:C, O$3)</f>
      </c>
      <c r="P10" s="8">
        <f>SUMIFS('Data nguồn'!H:H, 'Data nguồn'!D:D, $D10, 'Data nguồn'!F:F, $B$1, 'Data nguồn'!C:C, P$3)</f>
      </c>
      <c r="Q10" s="8">
        <f>SUMIFS('Data nguồn'!H:H, 'Data nguồn'!D:D, $D10, 'Data nguồn'!F:F, $B$1, 'Data nguồn'!C:C, Q$3)</f>
      </c>
      <c r="R10" s="8">
        <f>SUMIFS('Data nguồn'!H:H, 'Data nguồn'!D:D, $D10, 'Data nguồn'!F:F, $B$1, 'Data nguồn'!C:C, R$3)</f>
      </c>
      <c r="S10" s="8">
        <f>SUMIFS('Data nguồn'!H:H, 'Data nguồn'!D:D, $D10, 'Data nguồn'!F:F, $B$1, 'Data nguồn'!C:C, S$3)</f>
      </c>
      <c r="T10" s="8">
        <f>SUMIFS('Data nguồn'!H:H, 'Data nguồn'!D:D, $D10, 'Data nguồn'!F:F, $B$1, 'Data nguồn'!C:C, T$3)</f>
      </c>
      <c r="V10" s="8">
        <f>SUM(E10:P10)</f>
      </c>
      <c r="W10" s="8">
        <f>SUM(Q10:T10)</f>
      </c>
      <c r="X10" s="8">
        <f>AVERAGE(R10:T10)</f>
      </c>
      <c r="Y10" s="8">
        <f>AVERAGE(O10:T10)</f>
      </c>
      <c r="Z10" s="8">
        <f>AVERAGE(L10:T10)</f>
      </c>
      <c r="AA10" s="4">
        <f>IFERROR((X10*2)/(Y10+Z10), 0)</f>
      </c>
      <c r="AB10" s="4">
        <f>IFERROR(W10/SUM(E10:H10), 0)</f>
      </c>
      <c r="AC10" s="4">
        <f>IFERROR(W10/SUM(E10:H10), 0)</f>
      </c>
      <c r="AD10" s="4">
        <f>IFERROR(T10/H10, 0)</f>
      </c>
    </row>
    <row r="11" ht="20" customHeight="1" spans="1:30" x14ac:dyDescent="0.25">
      <c r="A11">
        <v>8</v>
      </c>
      <c r="B11" t="s">
        <v>20</v>
      </c>
      <c r="C11" t="s">
        <v>370</v>
      </c>
      <c r="D11" s="2" t="s">
        <v>20</v>
      </c>
      <c r="E11" s="8">
        <f>SUMIFS('Data nguồn'!H:H, 'Data nguồn'!D:D, $D11, 'Data nguồn'!F:F, $B$1, 'Data nguồn'!C:C, E$3)</f>
      </c>
      <c r="F11" s="8">
        <f>SUMIFS('Data nguồn'!H:H, 'Data nguồn'!D:D, $D11, 'Data nguồn'!F:F, $B$1, 'Data nguồn'!C:C, F$3)</f>
      </c>
      <c r="G11" s="8">
        <f>SUMIFS('Data nguồn'!H:H, 'Data nguồn'!D:D, $D11, 'Data nguồn'!F:F, $B$1, 'Data nguồn'!C:C, G$3)</f>
      </c>
      <c r="H11" s="8">
        <f>SUMIFS('Data nguồn'!H:H, 'Data nguồn'!D:D, $D11, 'Data nguồn'!F:F, $B$1, 'Data nguồn'!C:C, H$3)</f>
      </c>
      <c r="I11" s="8">
        <f>SUMIFS('Data nguồn'!H:H, 'Data nguồn'!D:D, $D11, 'Data nguồn'!F:F, $B$1, 'Data nguồn'!C:C, I$3)</f>
      </c>
      <c r="J11" s="8">
        <f>SUMIFS('Data nguồn'!H:H, 'Data nguồn'!D:D, $D11, 'Data nguồn'!F:F, $B$1, 'Data nguồn'!C:C, J$3)</f>
      </c>
      <c r="K11" s="8">
        <f>SUMIFS('Data nguồn'!H:H, 'Data nguồn'!D:D, $D11, 'Data nguồn'!F:F, $B$1, 'Data nguồn'!C:C, K$3)</f>
      </c>
      <c r="L11" s="8">
        <f>SUMIFS('Data nguồn'!H:H, 'Data nguồn'!D:D, $D11, 'Data nguồn'!F:F, $B$1, 'Data nguồn'!C:C, L$3)</f>
      </c>
      <c r="M11" s="8">
        <f>SUMIFS('Data nguồn'!H:H, 'Data nguồn'!D:D, $D11, 'Data nguồn'!F:F, $B$1, 'Data nguồn'!C:C, M$3)</f>
      </c>
      <c r="N11" s="8">
        <f>SUMIFS('Data nguồn'!H:H, 'Data nguồn'!D:D, $D11, 'Data nguồn'!F:F, $B$1, 'Data nguồn'!C:C, N$3)</f>
      </c>
      <c r="O11" s="8">
        <f>SUMIFS('Data nguồn'!H:H, 'Data nguồn'!D:D, $D11, 'Data nguồn'!F:F, $B$1, 'Data nguồn'!C:C, O$3)</f>
      </c>
      <c r="P11" s="8">
        <f>SUMIFS('Data nguồn'!H:H, 'Data nguồn'!D:D, $D11, 'Data nguồn'!F:F, $B$1, 'Data nguồn'!C:C, P$3)</f>
      </c>
      <c r="Q11" s="8">
        <f>SUMIFS('Data nguồn'!H:H, 'Data nguồn'!D:D, $D11, 'Data nguồn'!F:F, $B$1, 'Data nguồn'!C:C, Q$3)</f>
      </c>
      <c r="R11" s="8">
        <f>SUMIFS('Data nguồn'!H:H, 'Data nguồn'!D:D, $D11, 'Data nguồn'!F:F, $B$1, 'Data nguồn'!C:C, R$3)</f>
      </c>
      <c r="S11" s="8">
        <f>SUMIFS('Data nguồn'!H:H, 'Data nguồn'!D:D, $D11, 'Data nguồn'!F:F, $B$1, 'Data nguồn'!C:C, S$3)</f>
      </c>
      <c r="T11" s="8">
        <f>SUMIFS('Data nguồn'!H:H, 'Data nguồn'!D:D, $D11, 'Data nguồn'!F:F, $B$1, 'Data nguồn'!C:C, T$3)</f>
      </c>
      <c r="V11" s="8">
        <f>SUM(E11:P11)</f>
      </c>
      <c r="W11" s="8">
        <f>SUM(Q11:T11)</f>
      </c>
      <c r="X11" s="8">
        <f>AVERAGE(R11:T11)</f>
      </c>
      <c r="Y11" s="8">
        <f>AVERAGE(O11:T11)</f>
      </c>
      <c r="Z11" s="8">
        <f>AVERAGE(L11:T11)</f>
      </c>
      <c r="AA11" s="4">
        <f>IFERROR((X11*2)/(Y11+Z11), 0)</f>
      </c>
      <c r="AB11" s="4">
        <f>IFERROR(W11/SUM(E11:H11), 0)</f>
      </c>
      <c r="AC11" s="4">
        <f>IFERROR(W11/SUM(E11:H11), 0)</f>
      </c>
      <c r="AD11" s="4">
        <f>IFERROR(T11/H11, 0)</f>
      </c>
    </row>
    <row r="12" ht="20" customHeight="1" spans="1:30" x14ac:dyDescent="0.25">
      <c r="A12">
        <v>9</v>
      </c>
      <c r="B12" t="s">
        <v>22</v>
      </c>
      <c r="C12" t="s">
        <v>363</v>
      </c>
      <c r="D12" s="2" t="s">
        <v>22</v>
      </c>
      <c r="E12" s="8">
        <f>SUMIFS('Data nguồn'!H:H, 'Data nguồn'!D:D, $D12, 'Data nguồn'!F:F, $B$1, 'Data nguồn'!C:C, E$3)</f>
      </c>
      <c r="F12" s="8">
        <f>SUMIFS('Data nguồn'!H:H, 'Data nguồn'!D:D, $D12, 'Data nguồn'!F:F, $B$1, 'Data nguồn'!C:C, F$3)</f>
      </c>
      <c r="G12" s="8">
        <f>SUMIFS('Data nguồn'!H:H, 'Data nguồn'!D:D, $D12, 'Data nguồn'!F:F, $B$1, 'Data nguồn'!C:C, G$3)</f>
      </c>
      <c r="H12" s="8">
        <f>SUMIFS('Data nguồn'!H:H, 'Data nguồn'!D:D, $D12, 'Data nguồn'!F:F, $B$1, 'Data nguồn'!C:C, H$3)</f>
      </c>
      <c r="I12" s="8">
        <f>SUMIFS('Data nguồn'!H:H, 'Data nguồn'!D:D, $D12, 'Data nguồn'!F:F, $B$1, 'Data nguồn'!C:C, I$3)</f>
      </c>
      <c r="J12" s="8">
        <f>SUMIFS('Data nguồn'!H:H, 'Data nguồn'!D:D, $D12, 'Data nguồn'!F:F, $B$1, 'Data nguồn'!C:C, J$3)</f>
      </c>
      <c r="K12" s="8">
        <f>SUMIFS('Data nguồn'!H:H, 'Data nguồn'!D:D, $D12, 'Data nguồn'!F:F, $B$1, 'Data nguồn'!C:C, K$3)</f>
      </c>
      <c r="L12" s="8">
        <f>SUMIFS('Data nguồn'!H:H, 'Data nguồn'!D:D, $D12, 'Data nguồn'!F:F, $B$1, 'Data nguồn'!C:C, L$3)</f>
      </c>
      <c r="M12" s="8">
        <f>SUMIFS('Data nguồn'!H:H, 'Data nguồn'!D:D, $D12, 'Data nguồn'!F:F, $B$1, 'Data nguồn'!C:C, M$3)</f>
      </c>
      <c r="N12" s="8">
        <f>SUMIFS('Data nguồn'!H:H, 'Data nguồn'!D:D, $D12, 'Data nguồn'!F:F, $B$1, 'Data nguồn'!C:C, N$3)</f>
      </c>
      <c r="O12" s="8">
        <f>SUMIFS('Data nguồn'!H:H, 'Data nguồn'!D:D, $D12, 'Data nguồn'!F:F, $B$1, 'Data nguồn'!C:C, O$3)</f>
      </c>
      <c r="P12" s="8">
        <f>SUMIFS('Data nguồn'!H:H, 'Data nguồn'!D:D, $D12, 'Data nguồn'!F:F, $B$1, 'Data nguồn'!C:C, P$3)</f>
      </c>
      <c r="Q12" s="8">
        <f>SUMIFS('Data nguồn'!H:H, 'Data nguồn'!D:D, $D12, 'Data nguồn'!F:F, $B$1, 'Data nguồn'!C:C, Q$3)</f>
      </c>
      <c r="R12" s="8">
        <f>SUMIFS('Data nguồn'!H:H, 'Data nguồn'!D:D, $D12, 'Data nguồn'!F:F, $B$1, 'Data nguồn'!C:C, R$3)</f>
      </c>
      <c r="S12" s="8">
        <f>SUMIFS('Data nguồn'!H:H, 'Data nguồn'!D:D, $D12, 'Data nguồn'!F:F, $B$1, 'Data nguồn'!C:C, S$3)</f>
      </c>
      <c r="T12" s="8">
        <f>SUMIFS('Data nguồn'!H:H, 'Data nguồn'!D:D, $D12, 'Data nguồn'!F:F, $B$1, 'Data nguồn'!C:C, T$3)</f>
      </c>
      <c r="V12" s="8">
        <f>SUM(E12:P12)</f>
      </c>
      <c r="W12" s="8">
        <f>SUM(Q12:T12)</f>
      </c>
      <c r="X12" s="8">
        <f>AVERAGE(R12:T12)</f>
      </c>
      <c r="Y12" s="8">
        <f>AVERAGE(O12:T12)</f>
      </c>
      <c r="Z12" s="8">
        <f>AVERAGE(L12:T12)</f>
      </c>
      <c r="AA12" s="4">
        <f>IFERROR((X12*2)/(Y12+Z12), 0)</f>
      </c>
      <c r="AB12" s="4">
        <f>IFERROR(W12/SUM(E12:H12), 0)</f>
      </c>
      <c r="AC12" s="4">
        <f>IFERROR(W12/SUM(E12:H12), 0)</f>
      </c>
      <c r="AD12" s="4">
        <f>IFERROR(T12/H12, 0)</f>
      </c>
    </row>
    <row r="13" ht="20" customHeight="1" spans="1:30" x14ac:dyDescent="0.25">
      <c r="A13">
        <v>10</v>
      </c>
      <c r="B13" t="s">
        <v>24</v>
      </c>
      <c r="C13" t="s">
        <v>367</v>
      </c>
      <c r="D13" s="2" t="s">
        <v>24</v>
      </c>
      <c r="E13" s="8">
        <f>SUMIFS('Data nguồn'!H:H, 'Data nguồn'!D:D, $D13, 'Data nguồn'!F:F, $B$1, 'Data nguồn'!C:C, E$3)</f>
      </c>
      <c r="F13" s="8">
        <f>SUMIFS('Data nguồn'!H:H, 'Data nguồn'!D:D, $D13, 'Data nguồn'!F:F, $B$1, 'Data nguồn'!C:C, F$3)</f>
      </c>
      <c r="G13" s="8">
        <f>SUMIFS('Data nguồn'!H:H, 'Data nguồn'!D:D, $D13, 'Data nguồn'!F:F, $B$1, 'Data nguồn'!C:C, G$3)</f>
      </c>
      <c r="H13" s="8">
        <f>SUMIFS('Data nguồn'!H:H, 'Data nguồn'!D:D, $D13, 'Data nguồn'!F:F, $B$1, 'Data nguồn'!C:C, H$3)</f>
      </c>
      <c r="I13" s="8">
        <f>SUMIFS('Data nguồn'!H:H, 'Data nguồn'!D:D, $D13, 'Data nguồn'!F:F, $B$1, 'Data nguồn'!C:C, I$3)</f>
      </c>
      <c r="J13" s="8">
        <f>SUMIFS('Data nguồn'!H:H, 'Data nguồn'!D:D, $D13, 'Data nguồn'!F:F, $B$1, 'Data nguồn'!C:C, J$3)</f>
      </c>
      <c r="K13" s="8">
        <f>SUMIFS('Data nguồn'!H:H, 'Data nguồn'!D:D, $D13, 'Data nguồn'!F:F, $B$1, 'Data nguồn'!C:C, K$3)</f>
      </c>
      <c r="L13" s="8">
        <f>SUMIFS('Data nguồn'!H:H, 'Data nguồn'!D:D, $D13, 'Data nguồn'!F:F, $B$1, 'Data nguồn'!C:C, L$3)</f>
      </c>
      <c r="M13" s="8">
        <f>SUMIFS('Data nguồn'!H:H, 'Data nguồn'!D:D, $D13, 'Data nguồn'!F:F, $B$1, 'Data nguồn'!C:C, M$3)</f>
      </c>
      <c r="N13" s="8">
        <f>SUMIFS('Data nguồn'!H:H, 'Data nguồn'!D:D, $D13, 'Data nguồn'!F:F, $B$1, 'Data nguồn'!C:C, N$3)</f>
      </c>
      <c r="O13" s="8">
        <f>SUMIFS('Data nguồn'!H:H, 'Data nguồn'!D:D, $D13, 'Data nguồn'!F:F, $B$1, 'Data nguồn'!C:C, O$3)</f>
      </c>
      <c r="P13" s="8">
        <f>SUMIFS('Data nguồn'!H:H, 'Data nguồn'!D:D, $D13, 'Data nguồn'!F:F, $B$1, 'Data nguồn'!C:C, P$3)</f>
      </c>
      <c r="Q13" s="8">
        <f>SUMIFS('Data nguồn'!H:H, 'Data nguồn'!D:D, $D13, 'Data nguồn'!F:F, $B$1, 'Data nguồn'!C:C, Q$3)</f>
      </c>
      <c r="R13" s="8">
        <f>SUMIFS('Data nguồn'!H:H, 'Data nguồn'!D:D, $D13, 'Data nguồn'!F:F, $B$1, 'Data nguồn'!C:C, R$3)</f>
      </c>
      <c r="S13" s="8">
        <f>SUMIFS('Data nguồn'!H:H, 'Data nguồn'!D:D, $D13, 'Data nguồn'!F:F, $B$1, 'Data nguồn'!C:C, S$3)</f>
      </c>
      <c r="T13" s="8">
        <f>SUMIFS('Data nguồn'!H:H, 'Data nguồn'!D:D, $D13, 'Data nguồn'!F:F, $B$1, 'Data nguồn'!C:C, T$3)</f>
      </c>
      <c r="V13" s="8">
        <f>SUM(E13:P13)</f>
      </c>
      <c r="W13" s="8">
        <f>SUM(Q13:T13)</f>
      </c>
      <c r="X13" s="8">
        <f>AVERAGE(R13:T13)</f>
      </c>
      <c r="Y13" s="8">
        <f>AVERAGE(O13:T13)</f>
      </c>
      <c r="Z13" s="8">
        <f>AVERAGE(L13:T13)</f>
      </c>
      <c r="AA13" s="4">
        <f>IFERROR((X13*2)/(Y13+Z13), 0)</f>
      </c>
      <c r="AB13" s="4">
        <f>IFERROR(W13/SUM(E13:H13), 0)</f>
      </c>
      <c r="AC13" s="4">
        <f>IFERROR(W13/SUM(E13:H13), 0)</f>
      </c>
      <c r="AD13" s="4">
        <f>IFERROR(T13/H13, 0)</f>
      </c>
    </row>
    <row r="14" ht="20" customHeight="1" spans="1:30" x14ac:dyDescent="0.25">
      <c r="A14">
        <v>11</v>
      </c>
      <c r="B14" t="s">
        <v>26</v>
      </c>
      <c r="C14" t="s">
        <v>366</v>
      </c>
      <c r="D14" s="2" t="s">
        <v>26</v>
      </c>
      <c r="E14" s="8">
        <f>SUMIFS('Data nguồn'!H:H, 'Data nguồn'!D:D, $D14, 'Data nguồn'!F:F, $B$1, 'Data nguồn'!C:C, E$3)</f>
      </c>
      <c r="F14" s="8">
        <f>SUMIFS('Data nguồn'!H:H, 'Data nguồn'!D:D, $D14, 'Data nguồn'!F:F, $B$1, 'Data nguồn'!C:C, F$3)</f>
      </c>
      <c r="G14" s="8">
        <f>SUMIFS('Data nguồn'!H:H, 'Data nguồn'!D:D, $D14, 'Data nguồn'!F:F, $B$1, 'Data nguồn'!C:C, G$3)</f>
      </c>
      <c r="H14" s="8">
        <f>SUMIFS('Data nguồn'!H:H, 'Data nguồn'!D:D, $D14, 'Data nguồn'!F:F, $B$1, 'Data nguồn'!C:C, H$3)</f>
      </c>
      <c r="I14" s="8">
        <f>SUMIFS('Data nguồn'!H:H, 'Data nguồn'!D:D, $D14, 'Data nguồn'!F:F, $B$1, 'Data nguồn'!C:C, I$3)</f>
      </c>
      <c r="J14" s="8">
        <f>SUMIFS('Data nguồn'!H:H, 'Data nguồn'!D:D, $D14, 'Data nguồn'!F:F, $B$1, 'Data nguồn'!C:C, J$3)</f>
      </c>
      <c r="K14" s="8">
        <f>SUMIFS('Data nguồn'!H:H, 'Data nguồn'!D:D, $D14, 'Data nguồn'!F:F, $B$1, 'Data nguồn'!C:C, K$3)</f>
      </c>
      <c r="L14" s="8">
        <f>SUMIFS('Data nguồn'!H:H, 'Data nguồn'!D:D, $D14, 'Data nguồn'!F:F, $B$1, 'Data nguồn'!C:C, L$3)</f>
      </c>
      <c r="M14" s="8">
        <f>SUMIFS('Data nguồn'!H:H, 'Data nguồn'!D:D, $D14, 'Data nguồn'!F:F, $B$1, 'Data nguồn'!C:C, M$3)</f>
      </c>
      <c r="N14" s="8">
        <f>SUMIFS('Data nguồn'!H:H, 'Data nguồn'!D:D, $D14, 'Data nguồn'!F:F, $B$1, 'Data nguồn'!C:C, N$3)</f>
      </c>
      <c r="O14" s="8">
        <f>SUMIFS('Data nguồn'!H:H, 'Data nguồn'!D:D, $D14, 'Data nguồn'!F:F, $B$1, 'Data nguồn'!C:C, O$3)</f>
      </c>
      <c r="P14" s="8">
        <f>SUMIFS('Data nguồn'!H:H, 'Data nguồn'!D:D, $D14, 'Data nguồn'!F:F, $B$1, 'Data nguồn'!C:C, P$3)</f>
      </c>
      <c r="Q14" s="8">
        <f>SUMIFS('Data nguồn'!H:H, 'Data nguồn'!D:D, $D14, 'Data nguồn'!F:F, $B$1, 'Data nguồn'!C:C, Q$3)</f>
      </c>
      <c r="R14" s="8">
        <f>SUMIFS('Data nguồn'!H:H, 'Data nguồn'!D:D, $D14, 'Data nguồn'!F:F, $B$1, 'Data nguồn'!C:C, R$3)</f>
      </c>
      <c r="S14" s="8">
        <f>SUMIFS('Data nguồn'!H:H, 'Data nguồn'!D:D, $D14, 'Data nguồn'!F:F, $B$1, 'Data nguồn'!C:C, S$3)</f>
      </c>
      <c r="T14" s="8">
        <f>SUMIFS('Data nguồn'!H:H, 'Data nguồn'!D:D, $D14, 'Data nguồn'!F:F, $B$1, 'Data nguồn'!C:C, T$3)</f>
      </c>
      <c r="V14" s="8">
        <f>SUM(E14:P14)</f>
      </c>
      <c r="W14" s="8">
        <f>SUM(Q14:T14)</f>
      </c>
      <c r="X14" s="8">
        <f>AVERAGE(R14:T14)</f>
      </c>
      <c r="Y14" s="8">
        <f>AVERAGE(O14:T14)</f>
      </c>
      <c r="Z14" s="8">
        <f>AVERAGE(L14:T14)</f>
      </c>
      <c r="AA14" s="4">
        <f>IFERROR((X14*2)/(Y14+Z14), 0)</f>
      </c>
      <c r="AB14" s="4">
        <f>IFERROR(W14/SUM(E14:H14), 0)</f>
      </c>
      <c r="AC14" s="4">
        <f>IFERROR(W14/SUM(E14:H14), 0)</f>
      </c>
      <c r="AD14" s="4">
        <f>IFERROR(T14/H14, 0)</f>
      </c>
    </row>
    <row r="15" ht="20" customHeight="1" spans="1:30" x14ac:dyDescent="0.25">
      <c r="A15">
        <v>12</v>
      </c>
      <c r="B15" t="s">
        <v>28</v>
      </c>
      <c r="C15" t="s">
        <v>363</v>
      </c>
      <c r="D15" s="2" t="s">
        <v>28</v>
      </c>
      <c r="E15" s="8">
        <f>SUMIFS('Data nguồn'!H:H, 'Data nguồn'!D:D, $D15, 'Data nguồn'!F:F, $B$1, 'Data nguồn'!C:C, E$3)</f>
      </c>
      <c r="F15" s="8">
        <f>SUMIFS('Data nguồn'!H:H, 'Data nguồn'!D:D, $D15, 'Data nguồn'!F:F, $B$1, 'Data nguồn'!C:C, F$3)</f>
      </c>
      <c r="G15" s="8">
        <f>SUMIFS('Data nguồn'!H:H, 'Data nguồn'!D:D, $D15, 'Data nguồn'!F:F, $B$1, 'Data nguồn'!C:C, G$3)</f>
      </c>
      <c r="H15" s="8">
        <f>SUMIFS('Data nguồn'!H:H, 'Data nguồn'!D:D, $D15, 'Data nguồn'!F:F, $B$1, 'Data nguồn'!C:C, H$3)</f>
      </c>
      <c r="I15" s="8">
        <f>SUMIFS('Data nguồn'!H:H, 'Data nguồn'!D:D, $D15, 'Data nguồn'!F:F, $B$1, 'Data nguồn'!C:C, I$3)</f>
      </c>
      <c r="J15" s="8">
        <f>SUMIFS('Data nguồn'!H:H, 'Data nguồn'!D:D, $D15, 'Data nguồn'!F:F, $B$1, 'Data nguồn'!C:C, J$3)</f>
      </c>
      <c r="K15" s="8">
        <f>SUMIFS('Data nguồn'!H:H, 'Data nguồn'!D:D, $D15, 'Data nguồn'!F:F, $B$1, 'Data nguồn'!C:C, K$3)</f>
      </c>
      <c r="L15" s="8">
        <f>SUMIFS('Data nguồn'!H:H, 'Data nguồn'!D:D, $D15, 'Data nguồn'!F:F, $B$1, 'Data nguồn'!C:C, L$3)</f>
      </c>
      <c r="M15" s="8">
        <f>SUMIFS('Data nguồn'!H:H, 'Data nguồn'!D:D, $D15, 'Data nguồn'!F:F, $B$1, 'Data nguồn'!C:C, M$3)</f>
      </c>
      <c r="N15" s="8">
        <f>SUMIFS('Data nguồn'!H:H, 'Data nguồn'!D:D, $D15, 'Data nguồn'!F:F, $B$1, 'Data nguồn'!C:C, N$3)</f>
      </c>
      <c r="O15" s="8">
        <f>SUMIFS('Data nguồn'!H:H, 'Data nguồn'!D:D, $D15, 'Data nguồn'!F:F, $B$1, 'Data nguồn'!C:C, O$3)</f>
      </c>
      <c r="P15" s="8">
        <f>SUMIFS('Data nguồn'!H:H, 'Data nguồn'!D:D, $D15, 'Data nguồn'!F:F, $B$1, 'Data nguồn'!C:C, P$3)</f>
      </c>
      <c r="Q15" s="8">
        <f>SUMIFS('Data nguồn'!H:H, 'Data nguồn'!D:D, $D15, 'Data nguồn'!F:F, $B$1, 'Data nguồn'!C:C, Q$3)</f>
      </c>
      <c r="R15" s="8">
        <f>SUMIFS('Data nguồn'!H:H, 'Data nguồn'!D:D, $D15, 'Data nguồn'!F:F, $B$1, 'Data nguồn'!C:C, R$3)</f>
      </c>
      <c r="S15" s="8">
        <f>SUMIFS('Data nguồn'!H:H, 'Data nguồn'!D:D, $D15, 'Data nguồn'!F:F, $B$1, 'Data nguồn'!C:C, S$3)</f>
      </c>
      <c r="T15" s="8">
        <f>SUMIFS('Data nguồn'!H:H, 'Data nguồn'!D:D, $D15, 'Data nguồn'!F:F, $B$1, 'Data nguồn'!C:C, T$3)</f>
      </c>
      <c r="V15" s="8">
        <f>SUM(E15:P15)</f>
      </c>
      <c r="W15" s="8">
        <f>SUM(Q15:T15)</f>
      </c>
      <c r="X15" s="8">
        <f>AVERAGE(R15:T15)</f>
      </c>
      <c r="Y15" s="8">
        <f>AVERAGE(O15:T15)</f>
      </c>
      <c r="Z15" s="8">
        <f>AVERAGE(L15:T15)</f>
      </c>
      <c r="AA15" s="4">
        <f>IFERROR((X15*2)/(Y15+Z15), 0)</f>
      </c>
      <c r="AB15" s="4">
        <f>IFERROR(W15/SUM(E15:H15), 0)</f>
      </c>
      <c r="AC15" s="4">
        <f>IFERROR(W15/SUM(E15:H15), 0)</f>
      </c>
      <c r="AD15" s="4">
        <f>IFERROR(T15/H15, 0)</f>
      </c>
    </row>
    <row r="16" ht="20" customHeight="1" spans="1:30" x14ac:dyDescent="0.25">
      <c r="A16">
        <v>13</v>
      </c>
      <c r="B16" t="s">
        <v>34</v>
      </c>
      <c r="C16" t="s">
        <v>370</v>
      </c>
      <c r="D16" s="2" t="s">
        <v>34</v>
      </c>
      <c r="E16" s="8">
        <f>SUMIFS('Data nguồn'!H:H, 'Data nguồn'!D:D, $D16, 'Data nguồn'!F:F, $B$1, 'Data nguồn'!C:C, E$3)</f>
      </c>
      <c r="F16" s="8">
        <f>SUMIFS('Data nguồn'!H:H, 'Data nguồn'!D:D, $D16, 'Data nguồn'!F:F, $B$1, 'Data nguồn'!C:C, F$3)</f>
      </c>
      <c r="G16" s="8">
        <f>SUMIFS('Data nguồn'!H:H, 'Data nguồn'!D:D, $D16, 'Data nguồn'!F:F, $B$1, 'Data nguồn'!C:C, G$3)</f>
      </c>
      <c r="H16" s="8">
        <f>SUMIFS('Data nguồn'!H:H, 'Data nguồn'!D:D, $D16, 'Data nguồn'!F:F, $B$1, 'Data nguồn'!C:C, H$3)</f>
      </c>
      <c r="I16" s="8">
        <f>SUMIFS('Data nguồn'!H:H, 'Data nguồn'!D:D, $D16, 'Data nguồn'!F:F, $B$1, 'Data nguồn'!C:C, I$3)</f>
      </c>
      <c r="J16" s="8">
        <f>SUMIFS('Data nguồn'!H:H, 'Data nguồn'!D:D, $D16, 'Data nguồn'!F:F, $B$1, 'Data nguồn'!C:C, J$3)</f>
      </c>
      <c r="K16" s="8">
        <f>SUMIFS('Data nguồn'!H:H, 'Data nguồn'!D:D, $D16, 'Data nguồn'!F:F, $B$1, 'Data nguồn'!C:C, K$3)</f>
      </c>
      <c r="L16" s="8">
        <f>SUMIFS('Data nguồn'!H:H, 'Data nguồn'!D:D, $D16, 'Data nguồn'!F:F, $B$1, 'Data nguồn'!C:C, L$3)</f>
      </c>
      <c r="M16" s="8">
        <f>SUMIFS('Data nguồn'!H:H, 'Data nguồn'!D:D, $D16, 'Data nguồn'!F:F, $B$1, 'Data nguồn'!C:C, M$3)</f>
      </c>
      <c r="N16" s="8">
        <f>SUMIFS('Data nguồn'!H:H, 'Data nguồn'!D:D, $D16, 'Data nguồn'!F:F, $B$1, 'Data nguồn'!C:C, N$3)</f>
      </c>
      <c r="O16" s="8">
        <f>SUMIFS('Data nguồn'!H:H, 'Data nguồn'!D:D, $D16, 'Data nguồn'!F:F, $B$1, 'Data nguồn'!C:C, O$3)</f>
      </c>
      <c r="P16" s="8">
        <f>SUMIFS('Data nguồn'!H:H, 'Data nguồn'!D:D, $D16, 'Data nguồn'!F:F, $B$1, 'Data nguồn'!C:C, P$3)</f>
      </c>
      <c r="Q16" s="8">
        <f>SUMIFS('Data nguồn'!H:H, 'Data nguồn'!D:D, $D16, 'Data nguồn'!F:F, $B$1, 'Data nguồn'!C:C, Q$3)</f>
      </c>
      <c r="R16" s="8">
        <f>SUMIFS('Data nguồn'!H:H, 'Data nguồn'!D:D, $D16, 'Data nguồn'!F:F, $B$1, 'Data nguồn'!C:C, R$3)</f>
      </c>
      <c r="S16" s="8">
        <f>SUMIFS('Data nguồn'!H:H, 'Data nguồn'!D:D, $D16, 'Data nguồn'!F:F, $B$1, 'Data nguồn'!C:C, S$3)</f>
      </c>
      <c r="T16" s="8">
        <f>SUMIFS('Data nguồn'!H:H, 'Data nguồn'!D:D, $D16, 'Data nguồn'!F:F, $B$1, 'Data nguồn'!C:C, T$3)</f>
      </c>
      <c r="V16" s="8">
        <f>SUM(E16:P16)</f>
      </c>
      <c r="W16" s="8">
        <f>SUM(Q16:T16)</f>
      </c>
      <c r="X16" s="8">
        <f>AVERAGE(R16:T16)</f>
      </c>
      <c r="Y16" s="8">
        <f>AVERAGE(O16:T16)</f>
      </c>
      <c r="Z16" s="8">
        <f>AVERAGE(L16:T16)</f>
      </c>
      <c r="AA16" s="4">
        <f>IFERROR((X16*2)/(Y16+Z16), 0)</f>
      </c>
      <c r="AB16" s="4">
        <f>IFERROR(W16/SUM(E16:H16), 0)</f>
      </c>
      <c r="AC16" s="4">
        <f>IFERROR(W16/SUM(E16:H16), 0)</f>
      </c>
      <c r="AD16" s="4">
        <f>IFERROR(T16/H16, 0)</f>
      </c>
    </row>
    <row r="17" ht="20" customHeight="1" spans="1:30" x14ac:dyDescent="0.25">
      <c r="A17">
        <v>14</v>
      </c>
      <c r="B17" t="s">
        <v>36</v>
      </c>
      <c r="C17" t="s">
        <v>363</v>
      </c>
      <c r="D17" s="2" t="s">
        <v>36</v>
      </c>
      <c r="E17" s="8">
        <f>SUMIFS('Data nguồn'!H:H, 'Data nguồn'!D:D, $D17, 'Data nguồn'!F:F, $B$1, 'Data nguồn'!C:C, E$3)</f>
      </c>
      <c r="F17" s="8">
        <f>SUMIFS('Data nguồn'!H:H, 'Data nguồn'!D:D, $D17, 'Data nguồn'!F:F, $B$1, 'Data nguồn'!C:C, F$3)</f>
      </c>
      <c r="G17" s="8">
        <f>SUMIFS('Data nguồn'!H:H, 'Data nguồn'!D:D, $D17, 'Data nguồn'!F:F, $B$1, 'Data nguồn'!C:C, G$3)</f>
      </c>
      <c r="H17" s="8">
        <f>SUMIFS('Data nguồn'!H:H, 'Data nguồn'!D:D, $D17, 'Data nguồn'!F:F, $B$1, 'Data nguồn'!C:C, H$3)</f>
      </c>
      <c r="I17" s="8">
        <f>SUMIFS('Data nguồn'!H:H, 'Data nguồn'!D:D, $D17, 'Data nguồn'!F:F, $B$1, 'Data nguồn'!C:C, I$3)</f>
      </c>
      <c r="J17" s="8">
        <f>SUMIFS('Data nguồn'!H:H, 'Data nguồn'!D:D, $D17, 'Data nguồn'!F:F, $B$1, 'Data nguồn'!C:C, J$3)</f>
      </c>
      <c r="K17" s="8">
        <f>SUMIFS('Data nguồn'!H:H, 'Data nguồn'!D:D, $D17, 'Data nguồn'!F:F, $B$1, 'Data nguồn'!C:C, K$3)</f>
      </c>
      <c r="L17" s="8">
        <f>SUMIFS('Data nguồn'!H:H, 'Data nguồn'!D:D, $D17, 'Data nguồn'!F:F, $B$1, 'Data nguồn'!C:C, L$3)</f>
      </c>
      <c r="M17" s="8">
        <f>SUMIFS('Data nguồn'!H:H, 'Data nguồn'!D:D, $D17, 'Data nguồn'!F:F, $B$1, 'Data nguồn'!C:C, M$3)</f>
      </c>
      <c r="N17" s="8">
        <f>SUMIFS('Data nguồn'!H:H, 'Data nguồn'!D:D, $D17, 'Data nguồn'!F:F, $B$1, 'Data nguồn'!C:C, N$3)</f>
      </c>
      <c r="O17" s="8">
        <f>SUMIFS('Data nguồn'!H:H, 'Data nguồn'!D:D, $D17, 'Data nguồn'!F:F, $B$1, 'Data nguồn'!C:C, O$3)</f>
      </c>
      <c r="P17" s="8">
        <f>SUMIFS('Data nguồn'!H:H, 'Data nguồn'!D:D, $D17, 'Data nguồn'!F:F, $B$1, 'Data nguồn'!C:C, P$3)</f>
      </c>
      <c r="Q17" s="8">
        <f>SUMIFS('Data nguồn'!H:H, 'Data nguồn'!D:D, $D17, 'Data nguồn'!F:F, $B$1, 'Data nguồn'!C:C, Q$3)</f>
      </c>
      <c r="R17" s="8">
        <f>SUMIFS('Data nguồn'!H:H, 'Data nguồn'!D:D, $D17, 'Data nguồn'!F:F, $B$1, 'Data nguồn'!C:C, R$3)</f>
      </c>
      <c r="S17" s="8">
        <f>SUMIFS('Data nguồn'!H:H, 'Data nguồn'!D:D, $D17, 'Data nguồn'!F:F, $B$1, 'Data nguồn'!C:C, S$3)</f>
      </c>
      <c r="T17" s="8">
        <f>SUMIFS('Data nguồn'!H:H, 'Data nguồn'!D:D, $D17, 'Data nguồn'!F:F, $B$1, 'Data nguồn'!C:C, T$3)</f>
      </c>
      <c r="V17" s="8">
        <f>SUM(E17:P17)</f>
      </c>
      <c r="W17" s="8">
        <f>SUM(Q17:T17)</f>
      </c>
      <c r="X17" s="8">
        <f>AVERAGE(R17:T17)</f>
      </c>
      <c r="Y17" s="8">
        <f>AVERAGE(O17:T17)</f>
      </c>
      <c r="Z17" s="8">
        <f>AVERAGE(L17:T17)</f>
      </c>
      <c r="AA17" s="4">
        <f>IFERROR((X17*2)/(Y17+Z17), 0)</f>
      </c>
      <c r="AB17" s="4">
        <f>IFERROR(W17/SUM(E17:H17), 0)</f>
      </c>
      <c r="AC17" s="4">
        <f>IFERROR(W17/SUM(E17:H17), 0)</f>
      </c>
      <c r="AD17" s="4">
        <f>IFERROR(T17/H17, 0)</f>
      </c>
    </row>
    <row r="18" ht="20" customHeight="1" spans="1:30" x14ac:dyDescent="0.25">
      <c r="A18">
        <v>15</v>
      </c>
      <c r="B18" t="s">
        <v>38</v>
      </c>
      <c r="C18" t="s">
        <v>367</v>
      </c>
      <c r="D18" s="2" t="s">
        <v>38</v>
      </c>
      <c r="E18" s="8">
        <f>SUMIFS('Data nguồn'!H:H, 'Data nguồn'!D:D, $D18, 'Data nguồn'!F:F, $B$1, 'Data nguồn'!C:C, E$3)</f>
      </c>
      <c r="F18" s="8">
        <f>SUMIFS('Data nguồn'!H:H, 'Data nguồn'!D:D, $D18, 'Data nguồn'!F:F, $B$1, 'Data nguồn'!C:C, F$3)</f>
      </c>
      <c r="G18" s="8">
        <f>SUMIFS('Data nguồn'!H:H, 'Data nguồn'!D:D, $D18, 'Data nguồn'!F:F, $B$1, 'Data nguồn'!C:C, G$3)</f>
      </c>
      <c r="H18" s="8">
        <f>SUMIFS('Data nguồn'!H:H, 'Data nguồn'!D:D, $D18, 'Data nguồn'!F:F, $B$1, 'Data nguồn'!C:C, H$3)</f>
      </c>
      <c r="I18" s="8">
        <f>SUMIFS('Data nguồn'!H:H, 'Data nguồn'!D:D, $D18, 'Data nguồn'!F:F, $B$1, 'Data nguồn'!C:C, I$3)</f>
      </c>
      <c r="J18" s="8">
        <f>SUMIFS('Data nguồn'!H:H, 'Data nguồn'!D:D, $D18, 'Data nguồn'!F:F, $B$1, 'Data nguồn'!C:C, J$3)</f>
      </c>
      <c r="K18" s="8">
        <f>SUMIFS('Data nguồn'!H:H, 'Data nguồn'!D:D, $D18, 'Data nguồn'!F:F, $B$1, 'Data nguồn'!C:C, K$3)</f>
      </c>
      <c r="L18" s="8">
        <f>SUMIFS('Data nguồn'!H:H, 'Data nguồn'!D:D, $D18, 'Data nguồn'!F:F, $B$1, 'Data nguồn'!C:C, L$3)</f>
      </c>
      <c r="M18" s="8">
        <f>SUMIFS('Data nguồn'!H:H, 'Data nguồn'!D:D, $D18, 'Data nguồn'!F:F, $B$1, 'Data nguồn'!C:C, M$3)</f>
      </c>
      <c r="N18" s="8">
        <f>SUMIFS('Data nguồn'!H:H, 'Data nguồn'!D:D, $D18, 'Data nguồn'!F:F, $B$1, 'Data nguồn'!C:C, N$3)</f>
      </c>
      <c r="O18" s="8">
        <f>SUMIFS('Data nguồn'!H:H, 'Data nguồn'!D:D, $D18, 'Data nguồn'!F:F, $B$1, 'Data nguồn'!C:C, O$3)</f>
      </c>
      <c r="P18" s="8">
        <f>SUMIFS('Data nguồn'!H:H, 'Data nguồn'!D:D, $D18, 'Data nguồn'!F:F, $B$1, 'Data nguồn'!C:C, P$3)</f>
      </c>
      <c r="Q18" s="8">
        <f>SUMIFS('Data nguồn'!H:H, 'Data nguồn'!D:D, $D18, 'Data nguồn'!F:F, $B$1, 'Data nguồn'!C:C, Q$3)</f>
      </c>
      <c r="R18" s="8">
        <f>SUMIFS('Data nguồn'!H:H, 'Data nguồn'!D:D, $D18, 'Data nguồn'!F:F, $B$1, 'Data nguồn'!C:C, R$3)</f>
      </c>
      <c r="S18" s="8">
        <f>SUMIFS('Data nguồn'!H:H, 'Data nguồn'!D:D, $D18, 'Data nguồn'!F:F, $B$1, 'Data nguồn'!C:C, S$3)</f>
      </c>
      <c r="T18" s="8">
        <f>SUMIFS('Data nguồn'!H:H, 'Data nguồn'!D:D, $D18, 'Data nguồn'!F:F, $B$1, 'Data nguồn'!C:C, T$3)</f>
      </c>
      <c r="V18" s="8">
        <f>SUM(E18:P18)</f>
      </c>
      <c r="W18" s="8">
        <f>SUM(Q18:T18)</f>
      </c>
      <c r="X18" s="8">
        <f>AVERAGE(R18:T18)</f>
      </c>
      <c r="Y18" s="8">
        <f>AVERAGE(O18:T18)</f>
      </c>
      <c r="Z18" s="8">
        <f>AVERAGE(L18:T18)</f>
      </c>
      <c r="AA18" s="4">
        <f>IFERROR((X18*2)/(Y18+Z18), 0)</f>
      </c>
      <c r="AB18" s="4">
        <f>IFERROR(W18/SUM(E18:H18), 0)</f>
      </c>
      <c r="AC18" s="4">
        <f>IFERROR(W18/SUM(E18:H18), 0)</f>
      </c>
      <c r="AD18" s="4">
        <f>IFERROR(T18/H18, 0)</f>
      </c>
    </row>
    <row r="19" ht="20" customHeight="1" spans="1:30" x14ac:dyDescent="0.25">
      <c r="A19">
        <v>16</v>
      </c>
      <c r="B19" t="s">
        <v>40</v>
      </c>
      <c r="C19" t="s">
        <v>369</v>
      </c>
      <c r="D19" s="2" t="s">
        <v>40</v>
      </c>
      <c r="E19" s="8">
        <f>SUMIFS('Data nguồn'!H:H, 'Data nguồn'!D:D, $D19, 'Data nguồn'!F:F, $B$1, 'Data nguồn'!C:C, E$3)</f>
      </c>
      <c r="F19" s="8">
        <f>SUMIFS('Data nguồn'!H:H, 'Data nguồn'!D:D, $D19, 'Data nguồn'!F:F, $B$1, 'Data nguồn'!C:C, F$3)</f>
      </c>
      <c r="G19" s="8">
        <f>SUMIFS('Data nguồn'!H:H, 'Data nguồn'!D:D, $D19, 'Data nguồn'!F:F, $B$1, 'Data nguồn'!C:C, G$3)</f>
      </c>
      <c r="H19" s="8">
        <f>SUMIFS('Data nguồn'!H:H, 'Data nguồn'!D:D, $D19, 'Data nguồn'!F:F, $B$1, 'Data nguồn'!C:C, H$3)</f>
      </c>
      <c r="I19" s="8">
        <f>SUMIFS('Data nguồn'!H:H, 'Data nguồn'!D:D, $D19, 'Data nguồn'!F:F, $B$1, 'Data nguồn'!C:C, I$3)</f>
      </c>
      <c r="J19" s="8">
        <f>SUMIFS('Data nguồn'!H:H, 'Data nguồn'!D:D, $D19, 'Data nguồn'!F:F, $B$1, 'Data nguồn'!C:C, J$3)</f>
      </c>
      <c r="K19" s="8">
        <f>SUMIFS('Data nguồn'!H:H, 'Data nguồn'!D:D, $D19, 'Data nguồn'!F:F, $B$1, 'Data nguồn'!C:C, K$3)</f>
      </c>
      <c r="L19" s="8">
        <f>SUMIFS('Data nguồn'!H:H, 'Data nguồn'!D:D, $D19, 'Data nguồn'!F:F, $B$1, 'Data nguồn'!C:C, L$3)</f>
      </c>
      <c r="M19" s="8">
        <f>SUMIFS('Data nguồn'!H:H, 'Data nguồn'!D:D, $D19, 'Data nguồn'!F:F, $B$1, 'Data nguồn'!C:C, M$3)</f>
      </c>
      <c r="N19" s="8">
        <f>SUMIFS('Data nguồn'!H:H, 'Data nguồn'!D:D, $D19, 'Data nguồn'!F:F, $B$1, 'Data nguồn'!C:C, N$3)</f>
      </c>
      <c r="O19" s="8">
        <f>SUMIFS('Data nguồn'!H:H, 'Data nguồn'!D:D, $D19, 'Data nguồn'!F:F, $B$1, 'Data nguồn'!C:C, O$3)</f>
      </c>
      <c r="P19" s="8">
        <f>SUMIFS('Data nguồn'!H:H, 'Data nguồn'!D:D, $D19, 'Data nguồn'!F:F, $B$1, 'Data nguồn'!C:C, P$3)</f>
      </c>
      <c r="Q19" s="8">
        <f>SUMIFS('Data nguồn'!H:H, 'Data nguồn'!D:D, $D19, 'Data nguồn'!F:F, $B$1, 'Data nguồn'!C:C, Q$3)</f>
      </c>
      <c r="R19" s="8">
        <f>SUMIFS('Data nguồn'!H:H, 'Data nguồn'!D:D, $D19, 'Data nguồn'!F:F, $B$1, 'Data nguồn'!C:C, R$3)</f>
      </c>
      <c r="S19" s="8">
        <f>SUMIFS('Data nguồn'!H:H, 'Data nguồn'!D:D, $D19, 'Data nguồn'!F:F, $B$1, 'Data nguồn'!C:C, S$3)</f>
      </c>
      <c r="T19" s="8">
        <f>SUMIFS('Data nguồn'!H:H, 'Data nguồn'!D:D, $D19, 'Data nguồn'!F:F, $B$1, 'Data nguồn'!C:C, T$3)</f>
      </c>
      <c r="V19" s="8">
        <f>SUM(E19:P19)</f>
      </c>
      <c r="W19" s="8">
        <f>SUM(Q19:T19)</f>
      </c>
      <c r="X19" s="8">
        <f>AVERAGE(R19:T19)</f>
      </c>
      <c r="Y19" s="8">
        <f>AVERAGE(O19:T19)</f>
      </c>
      <c r="Z19" s="8">
        <f>AVERAGE(L19:T19)</f>
      </c>
      <c r="AA19" s="4">
        <f>IFERROR((X19*2)/(Y19+Z19), 0)</f>
      </c>
      <c r="AB19" s="4">
        <f>IFERROR(W19/SUM(E19:H19), 0)</f>
      </c>
      <c r="AC19" s="4">
        <f>IFERROR(W19/SUM(E19:H19), 0)</f>
      </c>
      <c r="AD19" s="4">
        <f>IFERROR(T19/H19, 0)</f>
      </c>
    </row>
    <row r="20" ht="20" customHeight="1" spans="1:30" x14ac:dyDescent="0.25">
      <c r="A20">
        <v>17</v>
      </c>
      <c r="B20" t="s">
        <v>42</v>
      </c>
      <c r="C20" t="s">
        <v>367</v>
      </c>
      <c r="D20" s="2" t="s">
        <v>42</v>
      </c>
      <c r="E20" s="8">
        <f>SUMIFS('Data nguồn'!H:H, 'Data nguồn'!D:D, $D20, 'Data nguồn'!F:F, $B$1, 'Data nguồn'!C:C, E$3)</f>
      </c>
      <c r="F20" s="8">
        <f>SUMIFS('Data nguồn'!H:H, 'Data nguồn'!D:D, $D20, 'Data nguồn'!F:F, $B$1, 'Data nguồn'!C:C, F$3)</f>
      </c>
      <c r="G20" s="8">
        <f>SUMIFS('Data nguồn'!H:H, 'Data nguồn'!D:D, $D20, 'Data nguồn'!F:F, $B$1, 'Data nguồn'!C:C, G$3)</f>
      </c>
      <c r="H20" s="8">
        <f>SUMIFS('Data nguồn'!H:H, 'Data nguồn'!D:D, $D20, 'Data nguồn'!F:F, $B$1, 'Data nguồn'!C:C, H$3)</f>
      </c>
      <c r="I20" s="8">
        <f>SUMIFS('Data nguồn'!H:H, 'Data nguồn'!D:D, $D20, 'Data nguồn'!F:F, $B$1, 'Data nguồn'!C:C, I$3)</f>
      </c>
      <c r="J20" s="8">
        <f>SUMIFS('Data nguồn'!H:H, 'Data nguồn'!D:D, $D20, 'Data nguồn'!F:F, $B$1, 'Data nguồn'!C:C, J$3)</f>
      </c>
      <c r="K20" s="8">
        <f>SUMIFS('Data nguồn'!H:H, 'Data nguồn'!D:D, $D20, 'Data nguồn'!F:F, $B$1, 'Data nguồn'!C:C, K$3)</f>
      </c>
      <c r="L20" s="8">
        <f>SUMIFS('Data nguồn'!H:H, 'Data nguồn'!D:D, $D20, 'Data nguồn'!F:F, $B$1, 'Data nguồn'!C:C, L$3)</f>
      </c>
      <c r="M20" s="8">
        <f>SUMIFS('Data nguồn'!H:H, 'Data nguồn'!D:D, $D20, 'Data nguồn'!F:F, $B$1, 'Data nguồn'!C:C, M$3)</f>
      </c>
      <c r="N20" s="8">
        <f>SUMIFS('Data nguồn'!H:H, 'Data nguồn'!D:D, $D20, 'Data nguồn'!F:F, $B$1, 'Data nguồn'!C:C, N$3)</f>
      </c>
      <c r="O20" s="8">
        <f>SUMIFS('Data nguồn'!H:H, 'Data nguồn'!D:D, $D20, 'Data nguồn'!F:F, $B$1, 'Data nguồn'!C:C, O$3)</f>
      </c>
      <c r="P20" s="8">
        <f>SUMIFS('Data nguồn'!H:H, 'Data nguồn'!D:D, $D20, 'Data nguồn'!F:F, $B$1, 'Data nguồn'!C:C, P$3)</f>
      </c>
      <c r="Q20" s="8">
        <f>SUMIFS('Data nguồn'!H:H, 'Data nguồn'!D:D, $D20, 'Data nguồn'!F:F, $B$1, 'Data nguồn'!C:C, Q$3)</f>
      </c>
      <c r="R20" s="8">
        <f>SUMIFS('Data nguồn'!H:H, 'Data nguồn'!D:D, $D20, 'Data nguồn'!F:F, $B$1, 'Data nguồn'!C:C, R$3)</f>
      </c>
      <c r="S20" s="8">
        <f>SUMIFS('Data nguồn'!H:H, 'Data nguồn'!D:D, $D20, 'Data nguồn'!F:F, $B$1, 'Data nguồn'!C:C, S$3)</f>
      </c>
      <c r="T20" s="8">
        <f>SUMIFS('Data nguồn'!H:H, 'Data nguồn'!D:D, $D20, 'Data nguồn'!F:F, $B$1, 'Data nguồn'!C:C, T$3)</f>
      </c>
      <c r="V20" s="8">
        <f>SUM(E20:P20)</f>
      </c>
      <c r="W20" s="8">
        <f>SUM(Q20:T20)</f>
      </c>
      <c r="X20" s="8">
        <f>AVERAGE(R20:T20)</f>
      </c>
      <c r="Y20" s="8">
        <f>AVERAGE(O20:T20)</f>
      </c>
      <c r="Z20" s="8">
        <f>AVERAGE(L20:T20)</f>
      </c>
      <c r="AA20" s="4">
        <f>IFERROR((X20*2)/(Y20+Z20), 0)</f>
      </c>
      <c r="AB20" s="4">
        <f>IFERROR(W20/SUM(E20:H20), 0)</f>
      </c>
      <c r="AC20" s="4">
        <f>IFERROR(W20/SUM(E20:H20), 0)</f>
      </c>
      <c r="AD20" s="4">
        <f>IFERROR(T20/H20, 0)</f>
      </c>
    </row>
    <row r="21" ht="20" customHeight="1" spans="1:30" x14ac:dyDescent="0.25">
      <c r="A21">
        <v>18</v>
      </c>
      <c r="B21" t="s">
        <v>44</v>
      </c>
      <c r="C21" t="s">
        <v>367</v>
      </c>
      <c r="D21" s="2" t="s">
        <v>44</v>
      </c>
      <c r="E21" s="8">
        <f>SUMIFS('Data nguồn'!H:H, 'Data nguồn'!D:D, $D21, 'Data nguồn'!F:F, $B$1, 'Data nguồn'!C:C, E$3)</f>
      </c>
      <c r="F21" s="8">
        <f>SUMIFS('Data nguồn'!H:H, 'Data nguồn'!D:D, $D21, 'Data nguồn'!F:F, $B$1, 'Data nguồn'!C:C, F$3)</f>
      </c>
      <c r="G21" s="8">
        <f>SUMIFS('Data nguồn'!H:H, 'Data nguồn'!D:D, $D21, 'Data nguồn'!F:F, $B$1, 'Data nguồn'!C:C, G$3)</f>
      </c>
      <c r="H21" s="8">
        <f>SUMIFS('Data nguồn'!H:H, 'Data nguồn'!D:D, $D21, 'Data nguồn'!F:F, $B$1, 'Data nguồn'!C:C, H$3)</f>
      </c>
      <c r="I21" s="8">
        <f>SUMIFS('Data nguồn'!H:H, 'Data nguồn'!D:D, $D21, 'Data nguồn'!F:F, $B$1, 'Data nguồn'!C:C, I$3)</f>
      </c>
      <c r="J21" s="8">
        <f>SUMIFS('Data nguồn'!H:H, 'Data nguồn'!D:D, $D21, 'Data nguồn'!F:F, $B$1, 'Data nguồn'!C:C, J$3)</f>
      </c>
      <c r="K21" s="8">
        <f>SUMIFS('Data nguồn'!H:H, 'Data nguồn'!D:D, $D21, 'Data nguồn'!F:F, $B$1, 'Data nguồn'!C:C, K$3)</f>
      </c>
      <c r="L21" s="8">
        <f>SUMIFS('Data nguồn'!H:H, 'Data nguồn'!D:D, $D21, 'Data nguồn'!F:F, $B$1, 'Data nguồn'!C:C, L$3)</f>
      </c>
      <c r="M21" s="8">
        <f>SUMIFS('Data nguồn'!H:H, 'Data nguồn'!D:D, $D21, 'Data nguồn'!F:F, $B$1, 'Data nguồn'!C:C, M$3)</f>
      </c>
      <c r="N21" s="8">
        <f>SUMIFS('Data nguồn'!H:H, 'Data nguồn'!D:D, $D21, 'Data nguồn'!F:F, $B$1, 'Data nguồn'!C:C, N$3)</f>
      </c>
      <c r="O21" s="8">
        <f>SUMIFS('Data nguồn'!H:H, 'Data nguồn'!D:D, $D21, 'Data nguồn'!F:F, $B$1, 'Data nguồn'!C:C, O$3)</f>
      </c>
      <c r="P21" s="8">
        <f>SUMIFS('Data nguồn'!H:H, 'Data nguồn'!D:D, $D21, 'Data nguồn'!F:F, $B$1, 'Data nguồn'!C:C, P$3)</f>
      </c>
      <c r="Q21" s="8">
        <f>SUMIFS('Data nguồn'!H:H, 'Data nguồn'!D:D, $D21, 'Data nguồn'!F:F, $B$1, 'Data nguồn'!C:C, Q$3)</f>
      </c>
      <c r="R21" s="8">
        <f>SUMIFS('Data nguồn'!H:H, 'Data nguồn'!D:D, $D21, 'Data nguồn'!F:F, $B$1, 'Data nguồn'!C:C, R$3)</f>
      </c>
      <c r="S21" s="8">
        <f>SUMIFS('Data nguồn'!H:H, 'Data nguồn'!D:D, $D21, 'Data nguồn'!F:F, $B$1, 'Data nguồn'!C:C, S$3)</f>
      </c>
      <c r="T21" s="8">
        <f>SUMIFS('Data nguồn'!H:H, 'Data nguồn'!D:D, $D21, 'Data nguồn'!F:F, $B$1, 'Data nguồn'!C:C, T$3)</f>
      </c>
      <c r="V21" s="8">
        <f>SUM(E21:P21)</f>
      </c>
      <c r="W21" s="8">
        <f>SUM(Q21:T21)</f>
      </c>
      <c r="X21" s="8">
        <f>AVERAGE(R21:T21)</f>
      </c>
      <c r="Y21" s="8">
        <f>AVERAGE(O21:T21)</f>
      </c>
      <c r="Z21" s="8">
        <f>AVERAGE(L21:T21)</f>
      </c>
      <c r="AA21" s="4">
        <f>IFERROR((X21*2)/(Y21+Z21), 0)</f>
      </c>
      <c r="AB21" s="4">
        <f>IFERROR(W21/SUM(E21:H21), 0)</f>
      </c>
      <c r="AC21" s="4">
        <f>IFERROR(W21/SUM(E21:H21), 0)</f>
      </c>
      <c r="AD21" s="4">
        <f>IFERROR(T21/H21, 0)</f>
      </c>
    </row>
    <row r="22" ht="20" customHeight="1" spans="1:30" x14ac:dyDescent="0.25">
      <c r="A22">
        <v>19</v>
      </c>
      <c r="B22" t="s">
        <v>46</v>
      </c>
      <c r="C22" t="s">
        <v>367</v>
      </c>
      <c r="D22" s="2" t="s">
        <v>46</v>
      </c>
      <c r="E22" s="8">
        <f>SUMIFS('Data nguồn'!H:H, 'Data nguồn'!D:D, $D22, 'Data nguồn'!F:F, $B$1, 'Data nguồn'!C:C, E$3)</f>
      </c>
      <c r="F22" s="8">
        <f>SUMIFS('Data nguồn'!H:H, 'Data nguồn'!D:D, $D22, 'Data nguồn'!F:F, $B$1, 'Data nguồn'!C:C, F$3)</f>
      </c>
      <c r="G22" s="8">
        <f>SUMIFS('Data nguồn'!H:H, 'Data nguồn'!D:D, $D22, 'Data nguồn'!F:F, $B$1, 'Data nguồn'!C:C, G$3)</f>
      </c>
      <c r="H22" s="8">
        <f>SUMIFS('Data nguồn'!H:H, 'Data nguồn'!D:D, $D22, 'Data nguồn'!F:F, $B$1, 'Data nguồn'!C:C, H$3)</f>
      </c>
      <c r="I22" s="8">
        <f>SUMIFS('Data nguồn'!H:H, 'Data nguồn'!D:D, $D22, 'Data nguồn'!F:F, $B$1, 'Data nguồn'!C:C, I$3)</f>
      </c>
      <c r="J22" s="8">
        <f>SUMIFS('Data nguồn'!H:H, 'Data nguồn'!D:D, $D22, 'Data nguồn'!F:F, $B$1, 'Data nguồn'!C:C, J$3)</f>
      </c>
      <c r="K22" s="8">
        <f>SUMIFS('Data nguồn'!H:H, 'Data nguồn'!D:D, $D22, 'Data nguồn'!F:F, $B$1, 'Data nguồn'!C:C, K$3)</f>
      </c>
      <c r="L22" s="8">
        <f>SUMIFS('Data nguồn'!H:H, 'Data nguồn'!D:D, $D22, 'Data nguồn'!F:F, $B$1, 'Data nguồn'!C:C, L$3)</f>
      </c>
      <c r="M22" s="8">
        <f>SUMIFS('Data nguồn'!H:H, 'Data nguồn'!D:D, $D22, 'Data nguồn'!F:F, $B$1, 'Data nguồn'!C:C, M$3)</f>
      </c>
      <c r="N22" s="8">
        <f>SUMIFS('Data nguồn'!H:H, 'Data nguồn'!D:D, $D22, 'Data nguồn'!F:F, $B$1, 'Data nguồn'!C:C, N$3)</f>
      </c>
      <c r="O22" s="8">
        <f>SUMIFS('Data nguồn'!H:H, 'Data nguồn'!D:D, $D22, 'Data nguồn'!F:F, $B$1, 'Data nguồn'!C:C, O$3)</f>
      </c>
      <c r="P22" s="8">
        <f>SUMIFS('Data nguồn'!H:H, 'Data nguồn'!D:D, $D22, 'Data nguồn'!F:F, $B$1, 'Data nguồn'!C:C, P$3)</f>
      </c>
      <c r="Q22" s="8">
        <f>SUMIFS('Data nguồn'!H:H, 'Data nguồn'!D:D, $D22, 'Data nguồn'!F:F, $B$1, 'Data nguồn'!C:C, Q$3)</f>
      </c>
      <c r="R22" s="8">
        <f>SUMIFS('Data nguồn'!H:H, 'Data nguồn'!D:D, $D22, 'Data nguồn'!F:F, $B$1, 'Data nguồn'!C:C, R$3)</f>
      </c>
      <c r="S22" s="8">
        <f>SUMIFS('Data nguồn'!H:H, 'Data nguồn'!D:D, $D22, 'Data nguồn'!F:F, $B$1, 'Data nguồn'!C:C, S$3)</f>
      </c>
      <c r="T22" s="8">
        <f>SUMIFS('Data nguồn'!H:H, 'Data nguồn'!D:D, $D22, 'Data nguồn'!F:F, $B$1, 'Data nguồn'!C:C, T$3)</f>
      </c>
      <c r="V22" s="8">
        <f>SUM(E22:P22)</f>
      </c>
      <c r="W22" s="8">
        <f>SUM(Q22:T22)</f>
      </c>
      <c r="X22" s="8">
        <f>AVERAGE(R22:T22)</f>
      </c>
      <c r="Y22" s="8">
        <f>AVERAGE(O22:T22)</f>
      </c>
      <c r="Z22" s="8">
        <f>AVERAGE(L22:T22)</f>
      </c>
      <c r="AA22" s="4">
        <f>IFERROR((X22*2)/(Y22+Z22), 0)</f>
      </c>
      <c r="AB22" s="4">
        <f>IFERROR(W22/SUM(E22:H22), 0)</f>
      </c>
      <c r="AC22" s="4">
        <f>IFERROR(W22/SUM(E22:H22), 0)</f>
      </c>
      <c r="AD22" s="4">
        <f>IFERROR(T22/H22, 0)</f>
      </c>
    </row>
    <row r="23" ht="20" customHeight="1" spans="1:30" x14ac:dyDescent="0.25">
      <c r="A23">
        <v>20</v>
      </c>
      <c r="B23" t="s">
        <v>48</v>
      </c>
      <c r="C23" t="s">
        <v>367</v>
      </c>
      <c r="D23" s="2" t="s">
        <v>48</v>
      </c>
      <c r="E23" s="8">
        <f>SUMIFS('Data nguồn'!H:H, 'Data nguồn'!D:D, $D23, 'Data nguồn'!F:F, $B$1, 'Data nguồn'!C:C, E$3)</f>
      </c>
      <c r="F23" s="8">
        <f>SUMIFS('Data nguồn'!H:H, 'Data nguồn'!D:D, $D23, 'Data nguồn'!F:F, $B$1, 'Data nguồn'!C:C, F$3)</f>
      </c>
      <c r="G23" s="8">
        <f>SUMIFS('Data nguồn'!H:H, 'Data nguồn'!D:D, $D23, 'Data nguồn'!F:F, $B$1, 'Data nguồn'!C:C, G$3)</f>
      </c>
      <c r="H23" s="8">
        <f>SUMIFS('Data nguồn'!H:H, 'Data nguồn'!D:D, $D23, 'Data nguồn'!F:F, $B$1, 'Data nguồn'!C:C, H$3)</f>
      </c>
      <c r="I23" s="8">
        <f>SUMIFS('Data nguồn'!H:H, 'Data nguồn'!D:D, $D23, 'Data nguồn'!F:F, $B$1, 'Data nguồn'!C:C, I$3)</f>
      </c>
      <c r="J23" s="8">
        <f>SUMIFS('Data nguồn'!H:H, 'Data nguồn'!D:D, $D23, 'Data nguồn'!F:F, $B$1, 'Data nguồn'!C:C, J$3)</f>
      </c>
      <c r="K23" s="8">
        <f>SUMIFS('Data nguồn'!H:H, 'Data nguồn'!D:D, $D23, 'Data nguồn'!F:F, $B$1, 'Data nguồn'!C:C, K$3)</f>
      </c>
      <c r="L23" s="8">
        <f>SUMIFS('Data nguồn'!H:H, 'Data nguồn'!D:D, $D23, 'Data nguồn'!F:F, $B$1, 'Data nguồn'!C:C, L$3)</f>
      </c>
      <c r="M23" s="8">
        <f>SUMIFS('Data nguồn'!H:H, 'Data nguồn'!D:D, $D23, 'Data nguồn'!F:F, $B$1, 'Data nguồn'!C:C, M$3)</f>
      </c>
      <c r="N23" s="8">
        <f>SUMIFS('Data nguồn'!H:H, 'Data nguồn'!D:D, $D23, 'Data nguồn'!F:F, $B$1, 'Data nguồn'!C:C, N$3)</f>
      </c>
      <c r="O23" s="8">
        <f>SUMIFS('Data nguồn'!H:H, 'Data nguồn'!D:D, $D23, 'Data nguồn'!F:F, $B$1, 'Data nguồn'!C:C, O$3)</f>
      </c>
      <c r="P23" s="8">
        <f>SUMIFS('Data nguồn'!H:H, 'Data nguồn'!D:D, $D23, 'Data nguồn'!F:F, $B$1, 'Data nguồn'!C:C, P$3)</f>
      </c>
      <c r="Q23" s="8">
        <f>SUMIFS('Data nguồn'!H:H, 'Data nguồn'!D:D, $D23, 'Data nguồn'!F:F, $B$1, 'Data nguồn'!C:C, Q$3)</f>
      </c>
      <c r="R23" s="8">
        <f>SUMIFS('Data nguồn'!H:H, 'Data nguồn'!D:D, $D23, 'Data nguồn'!F:F, $B$1, 'Data nguồn'!C:C, R$3)</f>
      </c>
      <c r="S23" s="8">
        <f>SUMIFS('Data nguồn'!H:H, 'Data nguồn'!D:D, $D23, 'Data nguồn'!F:F, $B$1, 'Data nguồn'!C:C, S$3)</f>
      </c>
      <c r="T23" s="8">
        <f>SUMIFS('Data nguồn'!H:H, 'Data nguồn'!D:D, $D23, 'Data nguồn'!F:F, $B$1, 'Data nguồn'!C:C, T$3)</f>
      </c>
      <c r="V23" s="8">
        <f>SUM(E23:P23)</f>
      </c>
      <c r="W23" s="8">
        <f>SUM(Q23:T23)</f>
      </c>
      <c r="X23" s="8">
        <f>AVERAGE(R23:T23)</f>
      </c>
      <c r="Y23" s="8">
        <f>AVERAGE(O23:T23)</f>
      </c>
      <c r="Z23" s="8">
        <f>AVERAGE(L23:T23)</f>
      </c>
      <c r="AA23" s="4">
        <f>IFERROR((X23*2)/(Y23+Z23), 0)</f>
      </c>
      <c r="AB23" s="4">
        <f>IFERROR(W23/SUM(E23:H23), 0)</f>
      </c>
      <c r="AC23" s="4">
        <f>IFERROR(W23/SUM(E23:H23), 0)</f>
      </c>
      <c r="AD23" s="4">
        <f>IFERROR(T23/H23, 0)</f>
      </c>
    </row>
    <row r="24" ht="20" customHeight="1" spans="1:30" x14ac:dyDescent="0.25">
      <c r="A24">
        <v>21</v>
      </c>
      <c r="B24" t="s">
        <v>52</v>
      </c>
      <c r="C24" t="s">
        <v>396</v>
      </c>
      <c r="D24" s="2" t="s">
        <v>52</v>
      </c>
      <c r="E24" s="8">
        <f>SUMIFS('Data nguồn'!H:H, 'Data nguồn'!D:D, $D24, 'Data nguồn'!F:F, $B$1, 'Data nguồn'!C:C, E$3)</f>
      </c>
      <c r="F24" s="8">
        <f>SUMIFS('Data nguồn'!H:H, 'Data nguồn'!D:D, $D24, 'Data nguồn'!F:F, $B$1, 'Data nguồn'!C:C, F$3)</f>
      </c>
      <c r="G24" s="8">
        <f>SUMIFS('Data nguồn'!H:H, 'Data nguồn'!D:D, $D24, 'Data nguồn'!F:F, $B$1, 'Data nguồn'!C:C, G$3)</f>
      </c>
      <c r="H24" s="8">
        <f>SUMIFS('Data nguồn'!H:H, 'Data nguồn'!D:D, $D24, 'Data nguồn'!F:F, $B$1, 'Data nguồn'!C:C, H$3)</f>
      </c>
      <c r="I24" s="8">
        <f>SUMIFS('Data nguồn'!H:H, 'Data nguồn'!D:D, $D24, 'Data nguồn'!F:F, $B$1, 'Data nguồn'!C:C, I$3)</f>
      </c>
      <c r="J24" s="8">
        <f>SUMIFS('Data nguồn'!H:H, 'Data nguồn'!D:D, $D24, 'Data nguồn'!F:F, $B$1, 'Data nguồn'!C:C, J$3)</f>
      </c>
      <c r="K24" s="8">
        <f>SUMIFS('Data nguồn'!H:H, 'Data nguồn'!D:D, $D24, 'Data nguồn'!F:F, $B$1, 'Data nguồn'!C:C, K$3)</f>
      </c>
      <c r="L24" s="8">
        <f>SUMIFS('Data nguồn'!H:H, 'Data nguồn'!D:D, $D24, 'Data nguồn'!F:F, $B$1, 'Data nguồn'!C:C, L$3)</f>
      </c>
      <c r="M24" s="8">
        <f>SUMIFS('Data nguồn'!H:H, 'Data nguồn'!D:D, $D24, 'Data nguồn'!F:F, $B$1, 'Data nguồn'!C:C, M$3)</f>
      </c>
      <c r="N24" s="8">
        <f>SUMIFS('Data nguồn'!H:H, 'Data nguồn'!D:D, $D24, 'Data nguồn'!F:F, $B$1, 'Data nguồn'!C:C, N$3)</f>
      </c>
      <c r="O24" s="8">
        <f>SUMIFS('Data nguồn'!H:H, 'Data nguồn'!D:D, $D24, 'Data nguồn'!F:F, $B$1, 'Data nguồn'!C:C, O$3)</f>
      </c>
      <c r="P24" s="8">
        <f>SUMIFS('Data nguồn'!H:H, 'Data nguồn'!D:D, $D24, 'Data nguồn'!F:F, $B$1, 'Data nguồn'!C:C, P$3)</f>
      </c>
      <c r="Q24" s="8">
        <f>SUMIFS('Data nguồn'!H:H, 'Data nguồn'!D:D, $D24, 'Data nguồn'!F:F, $B$1, 'Data nguồn'!C:C, Q$3)</f>
      </c>
      <c r="R24" s="8">
        <f>SUMIFS('Data nguồn'!H:H, 'Data nguồn'!D:D, $D24, 'Data nguồn'!F:F, $B$1, 'Data nguồn'!C:C, R$3)</f>
      </c>
      <c r="S24" s="8">
        <f>SUMIFS('Data nguồn'!H:H, 'Data nguồn'!D:D, $D24, 'Data nguồn'!F:F, $B$1, 'Data nguồn'!C:C, S$3)</f>
      </c>
      <c r="T24" s="8">
        <f>SUMIFS('Data nguồn'!H:H, 'Data nguồn'!D:D, $D24, 'Data nguồn'!F:F, $B$1, 'Data nguồn'!C:C, T$3)</f>
      </c>
      <c r="V24" s="8">
        <f>SUM(E24:P24)</f>
      </c>
      <c r="W24" s="8">
        <f>SUM(Q24:T24)</f>
      </c>
      <c r="X24" s="8">
        <f>AVERAGE(R24:T24)</f>
      </c>
      <c r="Y24" s="8">
        <f>AVERAGE(O24:T24)</f>
      </c>
      <c r="Z24" s="8">
        <f>AVERAGE(L24:T24)</f>
      </c>
      <c r="AA24" s="4">
        <f>IFERROR((X24*2)/(Y24+Z24), 0)</f>
      </c>
      <c r="AB24" s="4">
        <f>IFERROR(W24/SUM(E24:H24), 0)</f>
      </c>
      <c r="AC24" s="4">
        <f>IFERROR(W24/SUM(E24:H24), 0)</f>
      </c>
      <c r="AD24" s="4">
        <f>IFERROR(T24/H24, 0)</f>
      </c>
    </row>
    <row r="25" ht="20" customHeight="1" spans="1:30" x14ac:dyDescent="0.25">
      <c r="A25">
        <v>22</v>
      </c>
      <c r="B25" t="s">
        <v>58</v>
      </c>
      <c r="C25" t="s">
        <v>363</v>
      </c>
      <c r="D25" s="2" t="s">
        <v>58</v>
      </c>
      <c r="E25" s="8">
        <f>SUMIFS('Data nguồn'!H:H, 'Data nguồn'!D:D, $D25, 'Data nguồn'!F:F, $B$1, 'Data nguồn'!C:C, E$3)</f>
      </c>
      <c r="F25" s="8">
        <f>SUMIFS('Data nguồn'!H:H, 'Data nguồn'!D:D, $D25, 'Data nguồn'!F:F, $B$1, 'Data nguồn'!C:C, F$3)</f>
      </c>
      <c r="G25" s="8">
        <f>SUMIFS('Data nguồn'!H:H, 'Data nguồn'!D:D, $D25, 'Data nguồn'!F:F, $B$1, 'Data nguồn'!C:C, G$3)</f>
      </c>
      <c r="H25" s="8">
        <f>SUMIFS('Data nguồn'!H:H, 'Data nguồn'!D:D, $D25, 'Data nguồn'!F:F, $B$1, 'Data nguồn'!C:C, H$3)</f>
      </c>
      <c r="I25" s="8">
        <f>SUMIFS('Data nguồn'!H:H, 'Data nguồn'!D:D, $D25, 'Data nguồn'!F:F, $B$1, 'Data nguồn'!C:C, I$3)</f>
      </c>
      <c r="J25" s="8">
        <f>SUMIFS('Data nguồn'!H:H, 'Data nguồn'!D:D, $D25, 'Data nguồn'!F:F, $B$1, 'Data nguồn'!C:C, J$3)</f>
      </c>
      <c r="K25" s="8">
        <f>SUMIFS('Data nguồn'!H:H, 'Data nguồn'!D:D, $D25, 'Data nguồn'!F:F, $B$1, 'Data nguồn'!C:C, K$3)</f>
      </c>
      <c r="L25" s="8">
        <f>SUMIFS('Data nguồn'!H:H, 'Data nguồn'!D:D, $D25, 'Data nguồn'!F:F, $B$1, 'Data nguồn'!C:C, L$3)</f>
      </c>
      <c r="M25" s="8">
        <f>SUMIFS('Data nguồn'!H:H, 'Data nguồn'!D:D, $D25, 'Data nguồn'!F:F, $B$1, 'Data nguồn'!C:C, M$3)</f>
      </c>
      <c r="N25" s="8">
        <f>SUMIFS('Data nguồn'!H:H, 'Data nguồn'!D:D, $D25, 'Data nguồn'!F:F, $B$1, 'Data nguồn'!C:C, N$3)</f>
      </c>
      <c r="O25" s="8">
        <f>SUMIFS('Data nguồn'!H:H, 'Data nguồn'!D:D, $D25, 'Data nguồn'!F:F, $B$1, 'Data nguồn'!C:C, O$3)</f>
      </c>
      <c r="P25" s="8">
        <f>SUMIFS('Data nguồn'!H:H, 'Data nguồn'!D:D, $D25, 'Data nguồn'!F:F, $B$1, 'Data nguồn'!C:C, P$3)</f>
      </c>
      <c r="Q25" s="8">
        <f>SUMIFS('Data nguồn'!H:H, 'Data nguồn'!D:D, $D25, 'Data nguồn'!F:F, $B$1, 'Data nguồn'!C:C, Q$3)</f>
      </c>
      <c r="R25" s="8">
        <f>SUMIFS('Data nguồn'!H:H, 'Data nguồn'!D:D, $D25, 'Data nguồn'!F:F, $B$1, 'Data nguồn'!C:C, R$3)</f>
      </c>
      <c r="S25" s="8">
        <f>SUMIFS('Data nguồn'!H:H, 'Data nguồn'!D:D, $D25, 'Data nguồn'!F:F, $B$1, 'Data nguồn'!C:C, S$3)</f>
      </c>
      <c r="T25" s="8">
        <f>SUMIFS('Data nguồn'!H:H, 'Data nguồn'!D:D, $D25, 'Data nguồn'!F:F, $B$1, 'Data nguồn'!C:C, T$3)</f>
      </c>
      <c r="V25" s="8">
        <f>SUM(E25:P25)</f>
      </c>
      <c r="W25" s="8">
        <f>SUM(Q25:T25)</f>
      </c>
      <c r="X25" s="8">
        <f>AVERAGE(R25:T25)</f>
      </c>
      <c r="Y25" s="8">
        <f>AVERAGE(O25:T25)</f>
      </c>
      <c r="Z25" s="8">
        <f>AVERAGE(L25:T25)</f>
      </c>
      <c r="AA25" s="4">
        <f>IFERROR((X25*2)/(Y25+Z25), 0)</f>
      </c>
      <c r="AB25" s="4">
        <f>IFERROR(W25/SUM(E25:H25), 0)</f>
      </c>
      <c r="AC25" s="4">
        <f>IFERROR(W25/SUM(E25:H25), 0)</f>
      </c>
      <c r="AD25" s="4">
        <f>IFERROR(T25/H25, 0)</f>
      </c>
    </row>
    <row r="26" ht="20" customHeight="1" spans="1:30" x14ac:dyDescent="0.25">
      <c r="A26">
        <v>23</v>
      </c>
      <c r="B26" t="s">
        <v>64</v>
      </c>
      <c r="C26" t="s">
        <v>369</v>
      </c>
      <c r="D26" s="2" t="s">
        <v>64</v>
      </c>
      <c r="E26" s="8">
        <f>SUMIFS('Data nguồn'!H:H, 'Data nguồn'!D:D, $D26, 'Data nguồn'!F:F, $B$1, 'Data nguồn'!C:C, E$3)</f>
      </c>
      <c r="F26" s="8">
        <f>SUMIFS('Data nguồn'!H:H, 'Data nguồn'!D:D, $D26, 'Data nguồn'!F:F, $B$1, 'Data nguồn'!C:C, F$3)</f>
      </c>
      <c r="G26" s="8">
        <f>SUMIFS('Data nguồn'!H:H, 'Data nguồn'!D:D, $D26, 'Data nguồn'!F:F, $B$1, 'Data nguồn'!C:C, G$3)</f>
      </c>
      <c r="H26" s="8">
        <f>SUMIFS('Data nguồn'!H:H, 'Data nguồn'!D:D, $D26, 'Data nguồn'!F:F, $B$1, 'Data nguồn'!C:C, H$3)</f>
      </c>
      <c r="I26" s="8">
        <f>SUMIFS('Data nguồn'!H:H, 'Data nguồn'!D:D, $D26, 'Data nguồn'!F:F, $B$1, 'Data nguồn'!C:C, I$3)</f>
      </c>
      <c r="J26" s="8">
        <f>SUMIFS('Data nguồn'!H:H, 'Data nguồn'!D:D, $D26, 'Data nguồn'!F:F, $B$1, 'Data nguồn'!C:C, J$3)</f>
      </c>
      <c r="K26" s="8">
        <f>SUMIFS('Data nguồn'!H:H, 'Data nguồn'!D:D, $D26, 'Data nguồn'!F:F, $B$1, 'Data nguồn'!C:C, K$3)</f>
      </c>
      <c r="L26" s="8">
        <f>SUMIFS('Data nguồn'!H:H, 'Data nguồn'!D:D, $D26, 'Data nguồn'!F:F, $B$1, 'Data nguồn'!C:C, L$3)</f>
      </c>
      <c r="M26" s="8">
        <f>SUMIFS('Data nguồn'!H:H, 'Data nguồn'!D:D, $D26, 'Data nguồn'!F:F, $B$1, 'Data nguồn'!C:C, M$3)</f>
      </c>
      <c r="N26" s="8">
        <f>SUMIFS('Data nguồn'!H:H, 'Data nguồn'!D:D, $D26, 'Data nguồn'!F:F, $B$1, 'Data nguồn'!C:C, N$3)</f>
      </c>
      <c r="O26" s="8">
        <f>SUMIFS('Data nguồn'!H:H, 'Data nguồn'!D:D, $D26, 'Data nguồn'!F:F, $B$1, 'Data nguồn'!C:C, O$3)</f>
      </c>
      <c r="P26" s="8">
        <f>SUMIFS('Data nguồn'!H:H, 'Data nguồn'!D:D, $D26, 'Data nguồn'!F:F, $B$1, 'Data nguồn'!C:C, P$3)</f>
      </c>
      <c r="Q26" s="8">
        <f>SUMIFS('Data nguồn'!H:H, 'Data nguồn'!D:D, $D26, 'Data nguồn'!F:F, $B$1, 'Data nguồn'!C:C, Q$3)</f>
      </c>
      <c r="R26" s="8">
        <f>SUMIFS('Data nguồn'!H:H, 'Data nguồn'!D:D, $D26, 'Data nguồn'!F:F, $B$1, 'Data nguồn'!C:C, R$3)</f>
      </c>
      <c r="S26" s="8">
        <f>SUMIFS('Data nguồn'!H:H, 'Data nguồn'!D:D, $D26, 'Data nguồn'!F:F, $B$1, 'Data nguồn'!C:C, S$3)</f>
      </c>
      <c r="T26" s="8">
        <f>SUMIFS('Data nguồn'!H:H, 'Data nguồn'!D:D, $D26, 'Data nguồn'!F:F, $B$1, 'Data nguồn'!C:C, T$3)</f>
      </c>
      <c r="V26" s="8">
        <f>SUM(E26:P26)</f>
      </c>
      <c r="W26" s="8">
        <f>SUM(Q26:T26)</f>
      </c>
      <c r="X26" s="8">
        <f>AVERAGE(R26:T26)</f>
      </c>
      <c r="Y26" s="8">
        <f>AVERAGE(O26:T26)</f>
      </c>
      <c r="Z26" s="8">
        <f>AVERAGE(L26:T26)</f>
      </c>
      <c r="AA26" s="4">
        <f>IFERROR((X26*2)/(Y26+Z26), 0)</f>
      </c>
      <c r="AB26" s="4">
        <f>IFERROR(W26/SUM(E26:H26), 0)</f>
      </c>
      <c r="AC26" s="4">
        <f>IFERROR(W26/SUM(E26:H26), 0)</f>
      </c>
      <c r="AD26" s="4">
        <f>IFERROR(T26/H26, 0)</f>
      </c>
    </row>
    <row r="27" ht="20" customHeight="1" spans="1:30" x14ac:dyDescent="0.25">
      <c r="A27">
        <v>24</v>
      </c>
      <c r="B27" t="s">
        <v>66</v>
      </c>
      <c r="C27" t="s">
        <v>365</v>
      </c>
      <c r="D27" s="2" t="s">
        <v>66</v>
      </c>
      <c r="E27" s="8">
        <f>SUMIFS('Data nguồn'!H:H, 'Data nguồn'!D:D, $D27, 'Data nguồn'!F:F, $B$1, 'Data nguồn'!C:C, E$3)</f>
      </c>
      <c r="F27" s="8">
        <f>SUMIFS('Data nguồn'!H:H, 'Data nguồn'!D:D, $D27, 'Data nguồn'!F:F, $B$1, 'Data nguồn'!C:C, F$3)</f>
      </c>
      <c r="G27" s="8">
        <f>SUMIFS('Data nguồn'!H:H, 'Data nguồn'!D:D, $D27, 'Data nguồn'!F:F, $B$1, 'Data nguồn'!C:C, G$3)</f>
      </c>
      <c r="H27" s="8">
        <f>SUMIFS('Data nguồn'!H:H, 'Data nguồn'!D:D, $D27, 'Data nguồn'!F:F, $B$1, 'Data nguồn'!C:C, H$3)</f>
      </c>
      <c r="I27" s="8">
        <f>SUMIFS('Data nguồn'!H:H, 'Data nguồn'!D:D, $D27, 'Data nguồn'!F:F, $B$1, 'Data nguồn'!C:C, I$3)</f>
      </c>
      <c r="J27" s="8">
        <f>SUMIFS('Data nguồn'!H:H, 'Data nguồn'!D:D, $D27, 'Data nguồn'!F:F, $B$1, 'Data nguồn'!C:C, J$3)</f>
      </c>
      <c r="K27" s="8">
        <f>SUMIFS('Data nguồn'!H:H, 'Data nguồn'!D:D, $D27, 'Data nguồn'!F:F, $B$1, 'Data nguồn'!C:C, K$3)</f>
      </c>
      <c r="L27" s="8">
        <f>SUMIFS('Data nguồn'!H:H, 'Data nguồn'!D:D, $D27, 'Data nguồn'!F:F, $B$1, 'Data nguồn'!C:C, L$3)</f>
      </c>
      <c r="M27" s="8">
        <f>SUMIFS('Data nguồn'!H:H, 'Data nguồn'!D:D, $D27, 'Data nguồn'!F:F, $B$1, 'Data nguồn'!C:C, M$3)</f>
      </c>
      <c r="N27" s="8">
        <f>SUMIFS('Data nguồn'!H:H, 'Data nguồn'!D:D, $D27, 'Data nguồn'!F:F, $B$1, 'Data nguồn'!C:C, N$3)</f>
      </c>
      <c r="O27" s="8">
        <f>SUMIFS('Data nguồn'!H:H, 'Data nguồn'!D:D, $D27, 'Data nguồn'!F:F, $B$1, 'Data nguồn'!C:C, O$3)</f>
      </c>
      <c r="P27" s="8">
        <f>SUMIFS('Data nguồn'!H:H, 'Data nguồn'!D:D, $D27, 'Data nguồn'!F:F, $B$1, 'Data nguồn'!C:C, P$3)</f>
      </c>
      <c r="Q27" s="8">
        <f>SUMIFS('Data nguồn'!H:H, 'Data nguồn'!D:D, $D27, 'Data nguồn'!F:F, $B$1, 'Data nguồn'!C:C, Q$3)</f>
      </c>
      <c r="R27" s="8">
        <f>SUMIFS('Data nguồn'!H:H, 'Data nguồn'!D:D, $D27, 'Data nguồn'!F:F, $B$1, 'Data nguồn'!C:C, R$3)</f>
      </c>
      <c r="S27" s="8">
        <f>SUMIFS('Data nguồn'!H:H, 'Data nguồn'!D:D, $D27, 'Data nguồn'!F:F, $B$1, 'Data nguồn'!C:C, S$3)</f>
      </c>
      <c r="T27" s="8">
        <f>SUMIFS('Data nguồn'!H:H, 'Data nguồn'!D:D, $D27, 'Data nguồn'!F:F, $B$1, 'Data nguồn'!C:C, T$3)</f>
      </c>
      <c r="V27" s="8">
        <f>SUM(E27:P27)</f>
      </c>
      <c r="W27" s="8">
        <f>SUM(Q27:T27)</f>
      </c>
      <c r="X27" s="8">
        <f>AVERAGE(R27:T27)</f>
      </c>
      <c r="Y27" s="8">
        <f>AVERAGE(O27:T27)</f>
      </c>
      <c r="Z27" s="8">
        <f>AVERAGE(L27:T27)</f>
      </c>
      <c r="AA27" s="4">
        <f>IFERROR((X27*2)/(Y27+Z27), 0)</f>
      </c>
      <c r="AB27" s="4">
        <f>IFERROR(W27/SUM(E27:H27), 0)</f>
      </c>
      <c r="AC27" s="4">
        <f>IFERROR(W27/SUM(E27:H27), 0)</f>
      </c>
      <c r="AD27" s="4">
        <f>IFERROR(T27/H27, 0)</f>
      </c>
    </row>
    <row r="28" ht="20" customHeight="1" spans="1:30" x14ac:dyDescent="0.25">
      <c r="A28">
        <v>25</v>
      </c>
      <c r="B28" t="s">
        <v>68</v>
      </c>
      <c r="C28" t="s">
        <v>363</v>
      </c>
      <c r="D28" s="2" t="s">
        <v>68</v>
      </c>
      <c r="E28" s="8">
        <f>SUMIFS('Data nguồn'!H:H, 'Data nguồn'!D:D, $D28, 'Data nguồn'!F:F, $B$1, 'Data nguồn'!C:C, E$3)</f>
      </c>
      <c r="F28" s="8">
        <f>SUMIFS('Data nguồn'!H:H, 'Data nguồn'!D:D, $D28, 'Data nguồn'!F:F, $B$1, 'Data nguồn'!C:C, F$3)</f>
      </c>
      <c r="G28" s="8">
        <f>SUMIFS('Data nguồn'!H:H, 'Data nguồn'!D:D, $D28, 'Data nguồn'!F:F, $B$1, 'Data nguồn'!C:C, G$3)</f>
      </c>
      <c r="H28" s="8">
        <f>SUMIFS('Data nguồn'!H:H, 'Data nguồn'!D:D, $D28, 'Data nguồn'!F:F, $B$1, 'Data nguồn'!C:C, H$3)</f>
      </c>
      <c r="I28" s="8">
        <f>SUMIFS('Data nguồn'!H:H, 'Data nguồn'!D:D, $D28, 'Data nguồn'!F:F, $B$1, 'Data nguồn'!C:C, I$3)</f>
      </c>
      <c r="J28" s="8">
        <f>SUMIFS('Data nguồn'!H:H, 'Data nguồn'!D:D, $D28, 'Data nguồn'!F:F, $B$1, 'Data nguồn'!C:C, J$3)</f>
      </c>
      <c r="K28" s="8">
        <f>SUMIFS('Data nguồn'!H:H, 'Data nguồn'!D:D, $D28, 'Data nguồn'!F:F, $B$1, 'Data nguồn'!C:C, K$3)</f>
      </c>
      <c r="L28" s="8">
        <f>SUMIFS('Data nguồn'!H:H, 'Data nguồn'!D:D, $D28, 'Data nguồn'!F:F, $B$1, 'Data nguồn'!C:C, L$3)</f>
      </c>
      <c r="M28" s="8">
        <f>SUMIFS('Data nguồn'!H:H, 'Data nguồn'!D:D, $D28, 'Data nguồn'!F:F, $B$1, 'Data nguồn'!C:C, M$3)</f>
      </c>
      <c r="N28" s="8">
        <f>SUMIFS('Data nguồn'!H:H, 'Data nguồn'!D:D, $D28, 'Data nguồn'!F:F, $B$1, 'Data nguồn'!C:C, N$3)</f>
      </c>
      <c r="O28" s="8">
        <f>SUMIFS('Data nguồn'!H:H, 'Data nguồn'!D:D, $D28, 'Data nguồn'!F:F, $B$1, 'Data nguồn'!C:C, O$3)</f>
      </c>
      <c r="P28" s="8">
        <f>SUMIFS('Data nguồn'!H:H, 'Data nguồn'!D:D, $D28, 'Data nguồn'!F:F, $B$1, 'Data nguồn'!C:C, P$3)</f>
      </c>
      <c r="Q28" s="8">
        <f>SUMIFS('Data nguồn'!H:H, 'Data nguồn'!D:D, $D28, 'Data nguồn'!F:F, $B$1, 'Data nguồn'!C:C, Q$3)</f>
      </c>
      <c r="R28" s="8">
        <f>SUMIFS('Data nguồn'!H:H, 'Data nguồn'!D:D, $D28, 'Data nguồn'!F:F, $B$1, 'Data nguồn'!C:C, R$3)</f>
      </c>
      <c r="S28" s="8">
        <f>SUMIFS('Data nguồn'!H:H, 'Data nguồn'!D:D, $D28, 'Data nguồn'!F:F, $B$1, 'Data nguồn'!C:C, S$3)</f>
      </c>
      <c r="T28" s="8">
        <f>SUMIFS('Data nguồn'!H:H, 'Data nguồn'!D:D, $D28, 'Data nguồn'!F:F, $B$1, 'Data nguồn'!C:C, T$3)</f>
      </c>
      <c r="V28" s="8">
        <f>SUM(E28:P28)</f>
      </c>
      <c r="W28" s="8">
        <f>SUM(Q28:T28)</f>
      </c>
      <c r="X28" s="8">
        <f>AVERAGE(R28:T28)</f>
      </c>
      <c r="Y28" s="8">
        <f>AVERAGE(O28:T28)</f>
      </c>
      <c r="Z28" s="8">
        <f>AVERAGE(L28:T28)</f>
      </c>
      <c r="AA28" s="4">
        <f>IFERROR((X28*2)/(Y28+Z28), 0)</f>
      </c>
      <c r="AB28" s="4">
        <f>IFERROR(W28/SUM(E28:H28), 0)</f>
      </c>
      <c r="AC28" s="4">
        <f>IFERROR(W28/SUM(E28:H28), 0)</f>
      </c>
      <c r="AD28" s="4">
        <f>IFERROR(T28/H28, 0)</f>
      </c>
    </row>
    <row r="29" ht="20" customHeight="1" spans="1:30" x14ac:dyDescent="0.25">
      <c r="A29">
        <v>26</v>
      </c>
      <c r="B29" t="s">
        <v>70</v>
      </c>
      <c r="C29" t="s">
        <v>363</v>
      </c>
      <c r="D29" s="2" t="s">
        <v>70</v>
      </c>
      <c r="E29" s="8">
        <f>SUMIFS('Data nguồn'!H:H, 'Data nguồn'!D:D, $D29, 'Data nguồn'!F:F, $B$1, 'Data nguồn'!C:C, E$3)</f>
      </c>
      <c r="F29" s="8">
        <f>SUMIFS('Data nguồn'!H:H, 'Data nguồn'!D:D, $D29, 'Data nguồn'!F:F, $B$1, 'Data nguồn'!C:C, F$3)</f>
      </c>
      <c r="G29" s="8">
        <f>SUMIFS('Data nguồn'!H:H, 'Data nguồn'!D:D, $D29, 'Data nguồn'!F:F, $B$1, 'Data nguồn'!C:C, G$3)</f>
      </c>
      <c r="H29" s="8">
        <f>SUMIFS('Data nguồn'!H:H, 'Data nguồn'!D:D, $D29, 'Data nguồn'!F:F, $B$1, 'Data nguồn'!C:C, H$3)</f>
      </c>
      <c r="I29" s="8">
        <f>SUMIFS('Data nguồn'!H:H, 'Data nguồn'!D:D, $D29, 'Data nguồn'!F:F, $B$1, 'Data nguồn'!C:C, I$3)</f>
      </c>
      <c r="J29" s="8">
        <f>SUMIFS('Data nguồn'!H:H, 'Data nguồn'!D:D, $D29, 'Data nguồn'!F:F, $B$1, 'Data nguồn'!C:C, J$3)</f>
      </c>
      <c r="K29" s="8">
        <f>SUMIFS('Data nguồn'!H:H, 'Data nguồn'!D:D, $D29, 'Data nguồn'!F:F, $B$1, 'Data nguồn'!C:C, K$3)</f>
      </c>
      <c r="L29" s="8">
        <f>SUMIFS('Data nguồn'!H:H, 'Data nguồn'!D:D, $D29, 'Data nguồn'!F:F, $B$1, 'Data nguồn'!C:C, L$3)</f>
      </c>
      <c r="M29" s="8">
        <f>SUMIFS('Data nguồn'!H:H, 'Data nguồn'!D:D, $D29, 'Data nguồn'!F:F, $B$1, 'Data nguồn'!C:C, M$3)</f>
      </c>
      <c r="N29" s="8">
        <f>SUMIFS('Data nguồn'!H:H, 'Data nguồn'!D:D, $D29, 'Data nguồn'!F:F, $B$1, 'Data nguồn'!C:C, N$3)</f>
      </c>
      <c r="O29" s="8">
        <f>SUMIFS('Data nguồn'!H:H, 'Data nguồn'!D:D, $D29, 'Data nguồn'!F:F, $B$1, 'Data nguồn'!C:C, O$3)</f>
      </c>
      <c r="P29" s="8">
        <f>SUMIFS('Data nguồn'!H:H, 'Data nguồn'!D:D, $D29, 'Data nguồn'!F:F, $B$1, 'Data nguồn'!C:C, P$3)</f>
      </c>
      <c r="Q29" s="8">
        <f>SUMIFS('Data nguồn'!H:H, 'Data nguồn'!D:D, $D29, 'Data nguồn'!F:F, $B$1, 'Data nguồn'!C:C, Q$3)</f>
      </c>
      <c r="R29" s="8">
        <f>SUMIFS('Data nguồn'!H:H, 'Data nguồn'!D:D, $D29, 'Data nguồn'!F:F, $B$1, 'Data nguồn'!C:C, R$3)</f>
      </c>
      <c r="S29" s="8">
        <f>SUMIFS('Data nguồn'!H:H, 'Data nguồn'!D:D, $D29, 'Data nguồn'!F:F, $B$1, 'Data nguồn'!C:C, S$3)</f>
      </c>
      <c r="T29" s="8">
        <f>SUMIFS('Data nguồn'!H:H, 'Data nguồn'!D:D, $D29, 'Data nguồn'!F:F, $B$1, 'Data nguồn'!C:C, T$3)</f>
      </c>
      <c r="V29" s="8">
        <f>SUM(E29:P29)</f>
      </c>
      <c r="W29" s="8">
        <f>SUM(Q29:T29)</f>
      </c>
      <c r="X29" s="8">
        <f>AVERAGE(R29:T29)</f>
      </c>
      <c r="Y29" s="8">
        <f>AVERAGE(O29:T29)</f>
      </c>
      <c r="Z29" s="8">
        <f>AVERAGE(L29:T29)</f>
      </c>
      <c r="AA29" s="4">
        <f>IFERROR((X29*2)/(Y29+Z29), 0)</f>
      </c>
      <c r="AB29" s="4">
        <f>IFERROR(W29/SUM(E29:H29), 0)</f>
      </c>
      <c r="AC29" s="4">
        <f>IFERROR(W29/SUM(E29:H29), 0)</f>
      </c>
      <c r="AD29" s="4">
        <f>IFERROR(T29/H29, 0)</f>
      </c>
    </row>
    <row r="30" ht="20" customHeight="1" spans="1:30" x14ac:dyDescent="0.25">
      <c r="A30">
        <v>27</v>
      </c>
      <c r="B30" t="s">
        <v>72</v>
      </c>
      <c r="C30" t="s">
        <v>364</v>
      </c>
      <c r="D30" s="2" t="s">
        <v>72</v>
      </c>
      <c r="E30" s="8">
        <f>SUMIFS('Data nguồn'!H:H, 'Data nguồn'!D:D, $D30, 'Data nguồn'!F:F, $B$1, 'Data nguồn'!C:C, E$3)</f>
      </c>
      <c r="F30" s="8">
        <f>SUMIFS('Data nguồn'!H:H, 'Data nguồn'!D:D, $D30, 'Data nguồn'!F:F, $B$1, 'Data nguồn'!C:C, F$3)</f>
      </c>
      <c r="G30" s="8">
        <f>SUMIFS('Data nguồn'!H:H, 'Data nguồn'!D:D, $D30, 'Data nguồn'!F:F, $B$1, 'Data nguồn'!C:C, G$3)</f>
      </c>
      <c r="H30" s="8">
        <f>SUMIFS('Data nguồn'!H:H, 'Data nguồn'!D:D, $D30, 'Data nguồn'!F:F, $B$1, 'Data nguồn'!C:C, H$3)</f>
      </c>
      <c r="I30" s="8">
        <f>SUMIFS('Data nguồn'!H:H, 'Data nguồn'!D:D, $D30, 'Data nguồn'!F:F, $B$1, 'Data nguồn'!C:C, I$3)</f>
      </c>
      <c r="J30" s="8">
        <f>SUMIFS('Data nguồn'!H:H, 'Data nguồn'!D:D, $D30, 'Data nguồn'!F:F, $B$1, 'Data nguồn'!C:C, J$3)</f>
      </c>
      <c r="K30" s="8">
        <f>SUMIFS('Data nguồn'!H:H, 'Data nguồn'!D:D, $D30, 'Data nguồn'!F:F, $B$1, 'Data nguồn'!C:C, K$3)</f>
      </c>
      <c r="L30" s="8">
        <f>SUMIFS('Data nguồn'!H:H, 'Data nguồn'!D:D, $D30, 'Data nguồn'!F:F, $B$1, 'Data nguồn'!C:C, L$3)</f>
      </c>
      <c r="M30" s="8">
        <f>SUMIFS('Data nguồn'!H:H, 'Data nguồn'!D:D, $D30, 'Data nguồn'!F:F, $B$1, 'Data nguồn'!C:C, M$3)</f>
      </c>
      <c r="N30" s="8">
        <f>SUMIFS('Data nguồn'!H:H, 'Data nguồn'!D:D, $D30, 'Data nguồn'!F:F, $B$1, 'Data nguồn'!C:C, N$3)</f>
      </c>
      <c r="O30" s="8">
        <f>SUMIFS('Data nguồn'!H:H, 'Data nguồn'!D:D, $D30, 'Data nguồn'!F:F, $B$1, 'Data nguồn'!C:C, O$3)</f>
      </c>
      <c r="P30" s="8">
        <f>SUMIFS('Data nguồn'!H:H, 'Data nguồn'!D:D, $D30, 'Data nguồn'!F:F, $B$1, 'Data nguồn'!C:C, P$3)</f>
      </c>
      <c r="Q30" s="8">
        <f>SUMIFS('Data nguồn'!H:H, 'Data nguồn'!D:D, $D30, 'Data nguồn'!F:F, $B$1, 'Data nguồn'!C:C, Q$3)</f>
      </c>
      <c r="R30" s="8">
        <f>SUMIFS('Data nguồn'!H:H, 'Data nguồn'!D:D, $D30, 'Data nguồn'!F:F, $B$1, 'Data nguồn'!C:C, R$3)</f>
      </c>
      <c r="S30" s="8">
        <f>SUMIFS('Data nguồn'!H:H, 'Data nguồn'!D:D, $D30, 'Data nguồn'!F:F, $B$1, 'Data nguồn'!C:C, S$3)</f>
      </c>
      <c r="T30" s="8">
        <f>SUMIFS('Data nguồn'!H:H, 'Data nguồn'!D:D, $D30, 'Data nguồn'!F:F, $B$1, 'Data nguồn'!C:C, T$3)</f>
      </c>
      <c r="V30" s="8">
        <f>SUM(E30:P30)</f>
      </c>
      <c r="W30" s="8">
        <f>SUM(Q30:T30)</f>
      </c>
      <c r="X30" s="8">
        <f>AVERAGE(R30:T30)</f>
      </c>
      <c r="Y30" s="8">
        <f>AVERAGE(O30:T30)</f>
      </c>
      <c r="Z30" s="8">
        <f>AVERAGE(L30:T30)</f>
      </c>
      <c r="AA30" s="4">
        <f>IFERROR((X30*2)/(Y30+Z30), 0)</f>
      </c>
      <c r="AB30" s="4">
        <f>IFERROR(W30/SUM(E30:H30), 0)</f>
      </c>
      <c r="AC30" s="4">
        <f>IFERROR(W30/SUM(E30:H30), 0)</f>
      </c>
      <c r="AD30" s="4">
        <f>IFERROR(T30/H30, 0)</f>
      </c>
    </row>
    <row r="31" ht="20" customHeight="1" spans="1:30" x14ac:dyDescent="0.25">
      <c r="A31">
        <v>28</v>
      </c>
      <c r="B31" t="s">
        <v>74</v>
      </c>
      <c r="C31" t="s">
        <v>369</v>
      </c>
      <c r="D31" s="2" t="s">
        <v>74</v>
      </c>
      <c r="E31" s="8">
        <f>SUMIFS('Data nguồn'!H:H, 'Data nguồn'!D:D, $D31, 'Data nguồn'!F:F, $B$1, 'Data nguồn'!C:C, E$3)</f>
      </c>
      <c r="F31" s="8">
        <f>SUMIFS('Data nguồn'!H:H, 'Data nguồn'!D:D, $D31, 'Data nguồn'!F:F, $B$1, 'Data nguồn'!C:C, F$3)</f>
      </c>
      <c r="G31" s="8">
        <f>SUMIFS('Data nguồn'!H:H, 'Data nguồn'!D:D, $D31, 'Data nguồn'!F:F, $B$1, 'Data nguồn'!C:C, G$3)</f>
      </c>
      <c r="H31" s="8">
        <f>SUMIFS('Data nguồn'!H:H, 'Data nguồn'!D:D, $D31, 'Data nguồn'!F:F, $B$1, 'Data nguồn'!C:C, H$3)</f>
      </c>
      <c r="I31" s="8">
        <f>SUMIFS('Data nguồn'!H:H, 'Data nguồn'!D:D, $D31, 'Data nguồn'!F:F, $B$1, 'Data nguồn'!C:C, I$3)</f>
      </c>
      <c r="J31" s="8">
        <f>SUMIFS('Data nguồn'!H:H, 'Data nguồn'!D:D, $D31, 'Data nguồn'!F:F, $B$1, 'Data nguồn'!C:C, J$3)</f>
      </c>
      <c r="K31" s="8">
        <f>SUMIFS('Data nguồn'!H:H, 'Data nguồn'!D:D, $D31, 'Data nguồn'!F:F, $B$1, 'Data nguồn'!C:C, K$3)</f>
      </c>
      <c r="L31" s="8">
        <f>SUMIFS('Data nguồn'!H:H, 'Data nguồn'!D:D, $D31, 'Data nguồn'!F:F, $B$1, 'Data nguồn'!C:C, L$3)</f>
      </c>
      <c r="M31" s="8">
        <f>SUMIFS('Data nguồn'!H:H, 'Data nguồn'!D:D, $D31, 'Data nguồn'!F:F, $B$1, 'Data nguồn'!C:C, M$3)</f>
      </c>
      <c r="N31" s="8">
        <f>SUMIFS('Data nguồn'!H:H, 'Data nguồn'!D:D, $D31, 'Data nguồn'!F:F, $B$1, 'Data nguồn'!C:C, N$3)</f>
      </c>
      <c r="O31" s="8">
        <f>SUMIFS('Data nguồn'!H:H, 'Data nguồn'!D:D, $D31, 'Data nguồn'!F:F, $B$1, 'Data nguồn'!C:C, O$3)</f>
      </c>
      <c r="P31" s="8">
        <f>SUMIFS('Data nguồn'!H:H, 'Data nguồn'!D:D, $D31, 'Data nguồn'!F:F, $B$1, 'Data nguồn'!C:C, P$3)</f>
      </c>
      <c r="Q31" s="8">
        <f>SUMIFS('Data nguồn'!H:H, 'Data nguồn'!D:D, $D31, 'Data nguồn'!F:F, $B$1, 'Data nguồn'!C:C, Q$3)</f>
      </c>
      <c r="R31" s="8">
        <f>SUMIFS('Data nguồn'!H:H, 'Data nguồn'!D:D, $D31, 'Data nguồn'!F:F, $B$1, 'Data nguồn'!C:C, R$3)</f>
      </c>
      <c r="S31" s="8">
        <f>SUMIFS('Data nguồn'!H:H, 'Data nguồn'!D:D, $D31, 'Data nguồn'!F:F, $B$1, 'Data nguồn'!C:C, S$3)</f>
      </c>
      <c r="T31" s="8">
        <f>SUMIFS('Data nguồn'!H:H, 'Data nguồn'!D:D, $D31, 'Data nguồn'!F:F, $B$1, 'Data nguồn'!C:C, T$3)</f>
      </c>
      <c r="V31" s="8">
        <f>SUM(E31:P31)</f>
      </c>
      <c r="W31" s="8">
        <f>SUM(Q31:T31)</f>
      </c>
      <c r="X31" s="8">
        <f>AVERAGE(R31:T31)</f>
      </c>
      <c r="Y31" s="8">
        <f>AVERAGE(O31:T31)</f>
      </c>
      <c r="Z31" s="8">
        <f>AVERAGE(L31:T31)</f>
      </c>
      <c r="AA31" s="4">
        <f>IFERROR((X31*2)/(Y31+Z31), 0)</f>
      </c>
      <c r="AB31" s="4">
        <f>IFERROR(W31/SUM(E31:H31), 0)</f>
      </c>
      <c r="AC31" s="4">
        <f>IFERROR(W31/SUM(E31:H31), 0)</f>
      </c>
      <c r="AD31" s="4">
        <f>IFERROR(T31/H31, 0)</f>
      </c>
    </row>
    <row r="32" ht="20" customHeight="1" spans="1:30" x14ac:dyDescent="0.25">
      <c r="A32">
        <v>29</v>
      </c>
      <c r="B32" t="s">
        <v>76</v>
      </c>
      <c r="C32" t="s">
        <v>369</v>
      </c>
      <c r="D32" s="2" t="s">
        <v>76</v>
      </c>
      <c r="E32" s="8">
        <f>SUMIFS('Data nguồn'!H:H, 'Data nguồn'!D:D, $D32, 'Data nguồn'!F:F, $B$1, 'Data nguồn'!C:C, E$3)</f>
      </c>
      <c r="F32" s="8">
        <f>SUMIFS('Data nguồn'!H:H, 'Data nguồn'!D:D, $D32, 'Data nguồn'!F:F, $B$1, 'Data nguồn'!C:C, F$3)</f>
      </c>
      <c r="G32" s="8">
        <f>SUMIFS('Data nguồn'!H:H, 'Data nguồn'!D:D, $D32, 'Data nguồn'!F:F, $B$1, 'Data nguồn'!C:C, G$3)</f>
      </c>
      <c r="H32" s="8">
        <f>SUMIFS('Data nguồn'!H:H, 'Data nguồn'!D:D, $D32, 'Data nguồn'!F:F, $B$1, 'Data nguồn'!C:C, H$3)</f>
      </c>
      <c r="I32" s="8">
        <f>SUMIFS('Data nguồn'!H:H, 'Data nguồn'!D:D, $D32, 'Data nguồn'!F:F, $B$1, 'Data nguồn'!C:C, I$3)</f>
      </c>
      <c r="J32" s="8">
        <f>SUMIFS('Data nguồn'!H:H, 'Data nguồn'!D:D, $D32, 'Data nguồn'!F:F, $B$1, 'Data nguồn'!C:C, J$3)</f>
      </c>
      <c r="K32" s="8">
        <f>SUMIFS('Data nguồn'!H:H, 'Data nguồn'!D:D, $D32, 'Data nguồn'!F:F, $B$1, 'Data nguồn'!C:C, K$3)</f>
      </c>
      <c r="L32" s="8">
        <f>SUMIFS('Data nguồn'!H:H, 'Data nguồn'!D:D, $D32, 'Data nguồn'!F:F, $B$1, 'Data nguồn'!C:C, L$3)</f>
      </c>
      <c r="M32" s="8">
        <f>SUMIFS('Data nguồn'!H:H, 'Data nguồn'!D:D, $D32, 'Data nguồn'!F:F, $B$1, 'Data nguồn'!C:C, M$3)</f>
      </c>
      <c r="N32" s="8">
        <f>SUMIFS('Data nguồn'!H:H, 'Data nguồn'!D:D, $D32, 'Data nguồn'!F:F, $B$1, 'Data nguồn'!C:C, N$3)</f>
      </c>
      <c r="O32" s="8">
        <f>SUMIFS('Data nguồn'!H:H, 'Data nguồn'!D:D, $D32, 'Data nguồn'!F:F, $B$1, 'Data nguồn'!C:C, O$3)</f>
      </c>
      <c r="P32" s="8">
        <f>SUMIFS('Data nguồn'!H:H, 'Data nguồn'!D:D, $D32, 'Data nguồn'!F:F, $B$1, 'Data nguồn'!C:C, P$3)</f>
      </c>
      <c r="Q32" s="8">
        <f>SUMIFS('Data nguồn'!H:H, 'Data nguồn'!D:D, $D32, 'Data nguồn'!F:F, $B$1, 'Data nguồn'!C:C, Q$3)</f>
      </c>
      <c r="R32" s="8">
        <f>SUMIFS('Data nguồn'!H:H, 'Data nguồn'!D:D, $D32, 'Data nguồn'!F:F, $B$1, 'Data nguồn'!C:C, R$3)</f>
      </c>
      <c r="S32" s="8">
        <f>SUMIFS('Data nguồn'!H:H, 'Data nguồn'!D:D, $D32, 'Data nguồn'!F:F, $B$1, 'Data nguồn'!C:C, S$3)</f>
      </c>
      <c r="T32" s="8">
        <f>SUMIFS('Data nguồn'!H:H, 'Data nguồn'!D:D, $D32, 'Data nguồn'!F:F, $B$1, 'Data nguồn'!C:C, T$3)</f>
      </c>
      <c r="V32" s="8">
        <f>SUM(E32:P32)</f>
      </c>
      <c r="W32" s="8">
        <f>SUM(Q32:T32)</f>
      </c>
      <c r="X32" s="8">
        <f>AVERAGE(R32:T32)</f>
      </c>
      <c r="Y32" s="8">
        <f>AVERAGE(O32:T32)</f>
      </c>
      <c r="Z32" s="8">
        <f>AVERAGE(L32:T32)</f>
      </c>
      <c r="AA32" s="4">
        <f>IFERROR((X32*2)/(Y32+Z32), 0)</f>
      </c>
      <c r="AB32" s="4">
        <f>IFERROR(W32/SUM(E32:H32), 0)</f>
      </c>
      <c r="AC32" s="4">
        <f>IFERROR(W32/SUM(E32:H32), 0)</f>
      </c>
      <c r="AD32" s="4">
        <f>IFERROR(T32/H32, 0)</f>
      </c>
    </row>
    <row r="33" ht="20" customHeight="1" spans="1:30" x14ac:dyDescent="0.25">
      <c r="A33">
        <v>30</v>
      </c>
      <c r="B33" t="s">
        <v>84</v>
      </c>
      <c r="C33" t="s">
        <v>369</v>
      </c>
      <c r="D33" s="2" t="s">
        <v>84</v>
      </c>
      <c r="E33" s="8">
        <f>SUMIFS('Data nguồn'!H:H, 'Data nguồn'!D:D, $D33, 'Data nguồn'!F:F, $B$1, 'Data nguồn'!C:C, E$3)</f>
      </c>
      <c r="F33" s="8">
        <f>SUMIFS('Data nguồn'!H:H, 'Data nguồn'!D:D, $D33, 'Data nguồn'!F:F, $B$1, 'Data nguồn'!C:C, F$3)</f>
      </c>
      <c r="G33" s="8">
        <f>SUMIFS('Data nguồn'!H:H, 'Data nguồn'!D:D, $D33, 'Data nguồn'!F:F, $B$1, 'Data nguồn'!C:C, G$3)</f>
      </c>
      <c r="H33" s="8">
        <f>SUMIFS('Data nguồn'!H:H, 'Data nguồn'!D:D, $D33, 'Data nguồn'!F:F, $B$1, 'Data nguồn'!C:C, H$3)</f>
      </c>
      <c r="I33" s="8">
        <f>SUMIFS('Data nguồn'!H:H, 'Data nguồn'!D:D, $D33, 'Data nguồn'!F:F, $B$1, 'Data nguồn'!C:C, I$3)</f>
      </c>
      <c r="J33" s="8">
        <f>SUMIFS('Data nguồn'!H:H, 'Data nguồn'!D:D, $D33, 'Data nguồn'!F:F, $B$1, 'Data nguồn'!C:C, J$3)</f>
      </c>
      <c r="K33" s="8">
        <f>SUMIFS('Data nguồn'!H:H, 'Data nguồn'!D:D, $D33, 'Data nguồn'!F:F, $B$1, 'Data nguồn'!C:C, K$3)</f>
      </c>
      <c r="L33" s="8">
        <f>SUMIFS('Data nguồn'!H:H, 'Data nguồn'!D:D, $D33, 'Data nguồn'!F:F, $B$1, 'Data nguồn'!C:C, L$3)</f>
      </c>
      <c r="M33" s="8">
        <f>SUMIFS('Data nguồn'!H:H, 'Data nguồn'!D:D, $D33, 'Data nguồn'!F:F, $B$1, 'Data nguồn'!C:C, M$3)</f>
      </c>
      <c r="N33" s="8">
        <f>SUMIFS('Data nguồn'!H:H, 'Data nguồn'!D:D, $D33, 'Data nguồn'!F:F, $B$1, 'Data nguồn'!C:C, N$3)</f>
      </c>
      <c r="O33" s="8">
        <f>SUMIFS('Data nguồn'!H:H, 'Data nguồn'!D:D, $D33, 'Data nguồn'!F:F, $B$1, 'Data nguồn'!C:C, O$3)</f>
      </c>
      <c r="P33" s="8">
        <f>SUMIFS('Data nguồn'!H:H, 'Data nguồn'!D:D, $D33, 'Data nguồn'!F:F, $B$1, 'Data nguồn'!C:C, P$3)</f>
      </c>
      <c r="Q33" s="8">
        <f>SUMIFS('Data nguồn'!H:H, 'Data nguồn'!D:D, $D33, 'Data nguồn'!F:F, $B$1, 'Data nguồn'!C:C, Q$3)</f>
      </c>
      <c r="R33" s="8">
        <f>SUMIFS('Data nguồn'!H:H, 'Data nguồn'!D:D, $D33, 'Data nguồn'!F:F, $B$1, 'Data nguồn'!C:C, R$3)</f>
      </c>
      <c r="S33" s="8">
        <f>SUMIFS('Data nguồn'!H:H, 'Data nguồn'!D:D, $D33, 'Data nguồn'!F:F, $B$1, 'Data nguồn'!C:C, S$3)</f>
      </c>
      <c r="T33" s="8">
        <f>SUMIFS('Data nguồn'!H:H, 'Data nguồn'!D:D, $D33, 'Data nguồn'!F:F, $B$1, 'Data nguồn'!C:C, T$3)</f>
      </c>
      <c r="V33" s="8">
        <f>SUM(E33:P33)</f>
      </c>
      <c r="W33" s="8">
        <f>SUM(Q33:T33)</f>
      </c>
      <c r="X33" s="8">
        <f>AVERAGE(R33:T33)</f>
      </c>
      <c r="Y33" s="8">
        <f>AVERAGE(O33:T33)</f>
      </c>
      <c r="Z33" s="8">
        <f>AVERAGE(L33:T33)</f>
      </c>
      <c r="AA33" s="4">
        <f>IFERROR((X33*2)/(Y33+Z33), 0)</f>
      </c>
      <c r="AB33" s="4">
        <f>IFERROR(W33/SUM(E33:H33), 0)</f>
      </c>
      <c r="AC33" s="4">
        <f>IFERROR(W33/SUM(E33:H33), 0)</f>
      </c>
      <c r="AD33" s="4">
        <f>IFERROR(T33/H33, 0)</f>
      </c>
    </row>
    <row r="34" ht="20" customHeight="1" spans="1:30" x14ac:dyDescent="0.25">
      <c r="A34">
        <v>31</v>
      </c>
      <c r="B34" t="s">
        <v>86</v>
      </c>
      <c r="C34" t="s">
        <v>369</v>
      </c>
      <c r="D34" s="2" t="s">
        <v>86</v>
      </c>
      <c r="E34" s="8">
        <f>SUMIFS('Data nguồn'!H:H, 'Data nguồn'!D:D, $D34, 'Data nguồn'!F:F, $B$1, 'Data nguồn'!C:C, E$3)</f>
      </c>
      <c r="F34" s="8">
        <f>SUMIFS('Data nguồn'!H:H, 'Data nguồn'!D:D, $D34, 'Data nguồn'!F:F, $B$1, 'Data nguồn'!C:C, F$3)</f>
      </c>
      <c r="G34" s="8">
        <f>SUMIFS('Data nguồn'!H:H, 'Data nguồn'!D:D, $D34, 'Data nguồn'!F:F, $B$1, 'Data nguồn'!C:C, G$3)</f>
      </c>
      <c r="H34" s="8">
        <f>SUMIFS('Data nguồn'!H:H, 'Data nguồn'!D:D, $D34, 'Data nguồn'!F:F, $B$1, 'Data nguồn'!C:C, H$3)</f>
      </c>
      <c r="I34" s="8">
        <f>SUMIFS('Data nguồn'!H:H, 'Data nguồn'!D:D, $D34, 'Data nguồn'!F:F, $B$1, 'Data nguồn'!C:C, I$3)</f>
      </c>
      <c r="J34" s="8">
        <f>SUMIFS('Data nguồn'!H:H, 'Data nguồn'!D:D, $D34, 'Data nguồn'!F:F, $B$1, 'Data nguồn'!C:C, J$3)</f>
      </c>
      <c r="K34" s="8">
        <f>SUMIFS('Data nguồn'!H:H, 'Data nguồn'!D:D, $D34, 'Data nguồn'!F:F, $B$1, 'Data nguồn'!C:C, K$3)</f>
      </c>
      <c r="L34" s="8">
        <f>SUMIFS('Data nguồn'!H:H, 'Data nguồn'!D:D, $D34, 'Data nguồn'!F:F, $B$1, 'Data nguồn'!C:C, L$3)</f>
      </c>
      <c r="M34" s="8">
        <f>SUMIFS('Data nguồn'!H:H, 'Data nguồn'!D:D, $D34, 'Data nguồn'!F:F, $B$1, 'Data nguồn'!C:C, M$3)</f>
      </c>
      <c r="N34" s="8">
        <f>SUMIFS('Data nguồn'!H:H, 'Data nguồn'!D:D, $D34, 'Data nguồn'!F:F, $B$1, 'Data nguồn'!C:C, N$3)</f>
      </c>
      <c r="O34" s="8">
        <f>SUMIFS('Data nguồn'!H:H, 'Data nguồn'!D:D, $D34, 'Data nguồn'!F:F, $B$1, 'Data nguồn'!C:C, O$3)</f>
      </c>
      <c r="P34" s="8">
        <f>SUMIFS('Data nguồn'!H:H, 'Data nguồn'!D:D, $D34, 'Data nguồn'!F:F, $B$1, 'Data nguồn'!C:C, P$3)</f>
      </c>
      <c r="Q34" s="8">
        <f>SUMIFS('Data nguồn'!H:H, 'Data nguồn'!D:D, $D34, 'Data nguồn'!F:F, $B$1, 'Data nguồn'!C:C, Q$3)</f>
      </c>
      <c r="R34" s="8">
        <f>SUMIFS('Data nguồn'!H:H, 'Data nguồn'!D:D, $D34, 'Data nguồn'!F:F, $B$1, 'Data nguồn'!C:C, R$3)</f>
      </c>
      <c r="S34" s="8">
        <f>SUMIFS('Data nguồn'!H:H, 'Data nguồn'!D:D, $D34, 'Data nguồn'!F:F, $B$1, 'Data nguồn'!C:C, S$3)</f>
      </c>
      <c r="T34" s="8">
        <f>SUMIFS('Data nguồn'!H:H, 'Data nguồn'!D:D, $D34, 'Data nguồn'!F:F, $B$1, 'Data nguồn'!C:C, T$3)</f>
      </c>
      <c r="V34" s="8">
        <f>SUM(E34:P34)</f>
      </c>
      <c r="W34" s="8">
        <f>SUM(Q34:T34)</f>
      </c>
      <c r="X34" s="8">
        <f>AVERAGE(R34:T34)</f>
      </c>
      <c r="Y34" s="8">
        <f>AVERAGE(O34:T34)</f>
      </c>
      <c r="Z34" s="8">
        <f>AVERAGE(L34:T34)</f>
      </c>
      <c r="AA34" s="4">
        <f>IFERROR((X34*2)/(Y34+Z34), 0)</f>
      </c>
      <c r="AB34" s="4">
        <f>IFERROR(W34/SUM(E34:H34), 0)</f>
      </c>
      <c r="AC34" s="4">
        <f>IFERROR(W34/SUM(E34:H34), 0)</f>
      </c>
      <c r="AD34" s="4">
        <f>IFERROR(T34/H34, 0)</f>
      </c>
    </row>
    <row r="35" ht="20" customHeight="1" spans="1:30" x14ac:dyDescent="0.25">
      <c r="A35">
        <v>32</v>
      </c>
      <c r="B35" t="s">
        <v>88</v>
      </c>
      <c r="C35" t="s">
        <v>367</v>
      </c>
      <c r="D35" s="2" t="s">
        <v>88</v>
      </c>
      <c r="E35" s="8">
        <f>SUMIFS('Data nguồn'!H:H, 'Data nguồn'!D:D, $D35, 'Data nguồn'!F:F, $B$1, 'Data nguồn'!C:C, E$3)</f>
      </c>
      <c r="F35" s="8">
        <f>SUMIFS('Data nguồn'!H:H, 'Data nguồn'!D:D, $D35, 'Data nguồn'!F:F, $B$1, 'Data nguồn'!C:C, F$3)</f>
      </c>
      <c r="G35" s="8">
        <f>SUMIFS('Data nguồn'!H:H, 'Data nguồn'!D:D, $D35, 'Data nguồn'!F:F, $B$1, 'Data nguồn'!C:C, G$3)</f>
      </c>
      <c r="H35" s="8">
        <f>SUMIFS('Data nguồn'!H:H, 'Data nguồn'!D:D, $D35, 'Data nguồn'!F:F, $B$1, 'Data nguồn'!C:C, H$3)</f>
      </c>
      <c r="I35" s="8">
        <f>SUMIFS('Data nguồn'!H:H, 'Data nguồn'!D:D, $D35, 'Data nguồn'!F:F, $B$1, 'Data nguồn'!C:C, I$3)</f>
      </c>
      <c r="J35" s="8">
        <f>SUMIFS('Data nguồn'!H:H, 'Data nguồn'!D:D, $D35, 'Data nguồn'!F:F, $B$1, 'Data nguồn'!C:C, J$3)</f>
      </c>
      <c r="K35" s="8">
        <f>SUMIFS('Data nguồn'!H:H, 'Data nguồn'!D:D, $D35, 'Data nguồn'!F:F, $B$1, 'Data nguồn'!C:C, K$3)</f>
      </c>
      <c r="L35" s="8">
        <f>SUMIFS('Data nguồn'!H:H, 'Data nguồn'!D:D, $D35, 'Data nguồn'!F:F, $B$1, 'Data nguồn'!C:C, L$3)</f>
      </c>
      <c r="M35" s="8">
        <f>SUMIFS('Data nguồn'!H:H, 'Data nguồn'!D:D, $D35, 'Data nguồn'!F:F, $B$1, 'Data nguồn'!C:C, M$3)</f>
      </c>
      <c r="N35" s="8">
        <f>SUMIFS('Data nguồn'!H:H, 'Data nguồn'!D:D, $D35, 'Data nguồn'!F:F, $B$1, 'Data nguồn'!C:C, N$3)</f>
      </c>
      <c r="O35" s="8">
        <f>SUMIFS('Data nguồn'!H:H, 'Data nguồn'!D:D, $D35, 'Data nguồn'!F:F, $B$1, 'Data nguồn'!C:C, O$3)</f>
      </c>
      <c r="P35" s="8">
        <f>SUMIFS('Data nguồn'!H:H, 'Data nguồn'!D:D, $D35, 'Data nguồn'!F:F, $B$1, 'Data nguồn'!C:C, P$3)</f>
      </c>
      <c r="Q35" s="8">
        <f>SUMIFS('Data nguồn'!H:H, 'Data nguồn'!D:D, $D35, 'Data nguồn'!F:F, $B$1, 'Data nguồn'!C:C, Q$3)</f>
      </c>
      <c r="R35" s="8">
        <f>SUMIFS('Data nguồn'!H:H, 'Data nguồn'!D:D, $D35, 'Data nguồn'!F:F, $B$1, 'Data nguồn'!C:C, R$3)</f>
      </c>
      <c r="S35" s="8">
        <f>SUMIFS('Data nguồn'!H:H, 'Data nguồn'!D:D, $D35, 'Data nguồn'!F:F, $B$1, 'Data nguồn'!C:C, S$3)</f>
      </c>
      <c r="T35" s="8">
        <f>SUMIFS('Data nguồn'!H:H, 'Data nguồn'!D:D, $D35, 'Data nguồn'!F:F, $B$1, 'Data nguồn'!C:C, T$3)</f>
      </c>
      <c r="V35" s="8">
        <f>SUM(E35:P35)</f>
      </c>
      <c r="W35" s="8">
        <f>SUM(Q35:T35)</f>
      </c>
      <c r="X35" s="8">
        <f>AVERAGE(R35:T35)</f>
      </c>
      <c r="Y35" s="8">
        <f>AVERAGE(O35:T35)</f>
      </c>
      <c r="Z35" s="8">
        <f>AVERAGE(L35:T35)</f>
      </c>
      <c r="AA35" s="4">
        <f>IFERROR((X35*2)/(Y35+Z35), 0)</f>
      </c>
      <c r="AB35" s="4">
        <f>IFERROR(W35/SUM(E35:H35), 0)</f>
      </c>
      <c r="AC35" s="4">
        <f>IFERROR(W35/SUM(E35:H35), 0)</f>
      </c>
      <c r="AD35" s="4">
        <f>IFERROR(T35/H35, 0)</f>
      </c>
    </row>
    <row r="36" ht="20" customHeight="1" spans="1:30" x14ac:dyDescent="0.25">
      <c r="A36">
        <v>33</v>
      </c>
      <c r="B36" t="s">
        <v>90</v>
      </c>
      <c r="C36" t="s">
        <v>365</v>
      </c>
      <c r="D36" s="2" t="s">
        <v>90</v>
      </c>
      <c r="E36" s="8">
        <f>SUMIFS('Data nguồn'!H:H, 'Data nguồn'!D:D, $D36, 'Data nguồn'!F:F, $B$1, 'Data nguồn'!C:C, E$3)</f>
      </c>
      <c r="F36" s="8">
        <f>SUMIFS('Data nguồn'!H:H, 'Data nguồn'!D:D, $D36, 'Data nguồn'!F:F, $B$1, 'Data nguồn'!C:C, F$3)</f>
      </c>
      <c r="G36" s="8">
        <f>SUMIFS('Data nguồn'!H:H, 'Data nguồn'!D:D, $D36, 'Data nguồn'!F:F, $B$1, 'Data nguồn'!C:C, G$3)</f>
      </c>
      <c r="H36" s="8">
        <f>SUMIFS('Data nguồn'!H:H, 'Data nguồn'!D:D, $D36, 'Data nguồn'!F:F, $B$1, 'Data nguồn'!C:C, H$3)</f>
      </c>
      <c r="I36" s="8">
        <f>SUMIFS('Data nguồn'!H:H, 'Data nguồn'!D:D, $D36, 'Data nguồn'!F:F, $B$1, 'Data nguồn'!C:C, I$3)</f>
      </c>
      <c r="J36" s="8">
        <f>SUMIFS('Data nguồn'!H:H, 'Data nguồn'!D:D, $D36, 'Data nguồn'!F:F, $B$1, 'Data nguồn'!C:C, J$3)</f>
      </c>
      <c r="K36" s="8">
        <f>SUMIFS('Data nguồn'!H:H, 'Data nguồn'!D:D, $D36, 'Data nguồn'!F:F, $B$1, 'Data nguồn'!C:C, K$3)</f>
      </c>
      <c r="L36" s="8">
        <f>SUMIFS('Data nguồn'!H:H, 'Data nguồn'!D:D, $D36, 'Data nguồn'!F:F, $B$1, 'Data nguồn'!C:C, L$3)</f>
      </c>
      <c r="M36" s="8">
        <f>SUMIFS('Data nguồn'!H:H, 'Data nguồn'!D:D, $D36, 'Data nguồn'!F:F, $B$1, 'Data nguồn'!C:C, M$3)</f>
      </c>
      <c r="N36" s="8">
        <f>SUMIFS('Data nguồn'!H:H, 'Data nguồn'!D:D, $D36, 'Data nguồn'!F:F, $B$1, 'Data nguồn'!C:C, N$3)</f>
      </c>
      <c r="O36" s="8">
        <f>SUMIFS('Data nguồn'!H:H, 'Data nguồn'!D:D, $D36, 'Data nguồn'!F:F, $B$1, 'Data nguồn'!C:C, O$3)</f>
      </c>
      <c r="P36" s="8">
        <f>SUMIFS('Data nguồn'!H:H, 'Data nguồn'!D:D, $D36, 'Data nguồn'!F:F, $B$1, 'Data nguồn'!C:C, P$3)</f>
      </c>
      <c r="Q36" s="8">
        <f>SUMIFS('Data nguồn'!H:H, 'Data nguồn'!D:D, $D36, 'Data nguồn'!F:F, $B$1, 'Data nguồn'!C:C, Q$3)</f>
      </c>
      <c r="R36" s="8">
        <f>SUMIFS('Data nguồn'!H:H, 'Data nguồn'!D:D, $D36, 'Data nguồn'!F:F, $B$1, 'Data nguồn'!C:C, R$3)</f>
      </c>
      <c r="S36" s="8">
        <f>SUMIFS('Data nguồn'!H:H, 'Data nguồn'!D:D, $D36, 'Data nguồn'!F:F, $B$1, 'Data nguồn'!C:C, S$3)</f>
      </c>
      <c r="T36" s="8">
        <f>SUMIFS('Data nguồn'!H:H, 'Data nguồn'!D:D, $D36, 'Data nguồn'!F:F, $B$1, 'Data nguồn'!C:C, T$3)</f>
      </c>
      <c r="V36" s="8">
        <f>SUM(E36:P36)</f>
      </c>
      <c r="W36" s="8">
        <f>SUM(Q36:T36)</f>
      </c>
      <c r="X36" s="8">
        <f>AVERAGE(R36:T36)</f>
      </c>
      <c r="Y36" s="8">
        <f>AVERAGE(O36:T36)</f>
      </c>
      <c r="Z36" s="8">
        <f>AVERAGE(L36:T36)</f>
      </c>
      <c r="AA36" s="4">
        <f>IFERROR((X36*2)/(Y36+Z36), 0)</f>
      </c>
      <c r="AB36" s="4">
        <f>IFERROR(W36/SUM(E36:H36), 0)</f>
      </c>
      <c r="AC36" s="4">
        <f>IFERROR(W36/SUM(E36:H36), 0)</f>
      </c>
      <c r="AD36" s="4">
        <f>IFERROR(T36/H36, 0)</f>
      </c>
    </row>
    <row r="37" ht="20" customHeight="1" spans="1:30" x14ac:dyDescent="0.25">
      <c r="A37">
        <v>34</v>
      </c>
      <c r="B37" t="s">
        <v>92</v>
      </c>
      <c r="C37" t="s">
        <v>365</v>
      </c>
      <c r="D37" s="2" t="s">
        <v>92</v>
      </c>
      <c r="E37" s="8">
        <f>SUMIFS('Data nguồn'!H:H, 'Data nguồn'!D:D, $D37, 'Data nguồn'!F:F, $B$1, 'Data nguồn'!C:C, E$3)</f>
      </c>
      <c r="F37" s="8">
        <f>SUMIFS('Data nguồn'!H:H, 'Data nguồn'!D:D, $D37, 'Data nguồn'!F:F, $B$1, 'Data nguồn'!C:C, F$3)</f>
      </c>
      <c r="G37" s="8">
        <f>SUMIFS('Data nguồn'!H:H, 'Data nguồn'!D:D, $D37, 'Data nguồn'!F:F, $B$1, 'Data nguồn'!C:C, G$3)</f>
      </c>
      <c r="H37" s="8">
        <f>SUMIFS('Data nguồn'!H:H, 'Data nguồn'!D:D, $D37, 'Data nguồn'!F:F, $B$1, 'Data nguồn'!C:C, H$3)</f>
      </c>
      <c r="I37" s="8">
        <f>SUMIFS('Data nguồn'!H:H, 'Data nguồn'!D:D, $D37, 'Data nguồn'!F:F, $B$1, 'Data nguồn'!C:C, I$3)</f>
      </c>
      <c r="J37" s="8">
        <f>SUMIFS('Data nguồn'!H:H, 'Data nguồn'!D:D, $D37, 'Data nguồn'!F:F, $B$1, 'Data nguồn'!C:C, J$3)</f>
      </c>
      <c r="K37" s="8">
        <f>SUMIFS('Data nguồn'!H:H, 'Data nguồn'!D:D, $D37, 'Data nguồn'!F:F, $B$1, 'Data nguồn'!C:C, K$3)</f>
      </c>
      <c r="L37" s="8">
        <f>SUMIFS('Data nguồn'!H:H, 'Data nguồn'!D:D, $D37, 'Data nguồn'!F:F, $B$1, 'Data nguồn'!C:C, L$3)</f>
      </c>
      <c r="M37" s="8">
        <f>SUMIFS('Data nguồn'!H:H, 'Data nguồn'!D:D, $D37, 'Data nguồn'!F:F, $B$1, 'Data nguồn'!C:C, M$3)</f>
      </c>
      <c r="N37" s="8">
        <f>SUMIFS('Data nguồn'!H:H, 'Data nguồn'!D:D, $D37, 'Data nguồn'!F:F, $B$1, 'Data nguồn'!C:C, N$3)</f>
      </c>
      <c r="O37" s="8">
        <f>SUMIFS('Data nguồn'!H:H, 'Data nguồn'!D:D, $D37, 'Data nguồn'!F:F, $B$1, 'Data nguồn'!C:C, O$3)</f>
      </c>
      <c r="P37" s="8">
        <f>SUMIFS('Data nguồn'!H:H, 'Data nguồn'!D:D, $D37, 'Data nguồn'!F:F, $B$1, 'Data nguồn'!C:C, P$3)</f>
      </c>
      <c r="Q37" s="8">
        <f>SUMIFS('Data nguồn'!H:H, 'Data nguồn'!D:D, $D37, 'Data nguồn'!F:F, $B$1, 'Data nguồn'!C:C, Q$3)</f>
      </c>
      <c r="R37" s="8">
        <f>SUMIFS('Data nguồn'!H:H, 'Data nguồn'!D:D, $D37, 'Data nguồn'!F:F, $B$1, 'Data nguồn'!C:C, R$3)</f>
      </c>
      <c r="S37" s="8">
        <f>SUMIFS('Data nguồn'!H:H, 'Data nguồn'!D:D, $D37, 'Data nguồn'!F:F, $B$1, 'Data nguồn'!C:C, S$3)</f>
      </c>
      <c r="T37" s="8">
        <f>SUMIFS('Data nguồn'!H:H, 'Data nguồn'!D:D, $D37, 'Data nguồn'!F:F, $B$1, 'Data nguồn'!C:C, T$3)</f>
      </c>
      <c r="V37" s="8">
        <f>SUM(E37:P37)</f>
      </c>
      <c r="W37" s="8">
        <f>SUM(Q37:T37)</f>
      </c>
      <c r="X37" s="8">
        <f>AVERAGE(R37:T37)</f>
      </c>
      <c r="Y37" s="8">
        <f>AVERAGE(O37:T37)</f>
      </c>
      <c r="Z37" s="8">
        <f>AVERAGE(L37:T37)</f>
      </c>
      <c r="AA37" s="4">
        <f>IFERROR((X37*2)/(Y37+Z37), 0)</f>
      </c>
      <c r="AB37" s="4">
        <f>IFERROR(W37/SUM(E37:H37), 0)</f>
      </c>
      <c r="AC37" s="4">
        <f>IFERROR(W37/SUM(E37:H37), 0)</f>
      </c>
      <c r="AD37" s="4">
        <f>IFERROR(T37/H37, 0)</f>
      </c>
    </row>
    <row r="38" ht="20" customHeight="1" spans="1:30" x14ac:dyDescent="0.25">
      <c r="A38">
        <v>35</v>
      </c>
      <c r="B38" t="s">
        <v>94</v>
      </c>
      <c r="C38" t="s">
        <v>366</v>
      </c>
      <c r="D38" s="2" t="s">
        <v>94</v>
      </c>
      <c r="E38" s="8">
        <f>SUMIFS('Data nguồn'!H:H, 'Data nguồn'!D:D, $D38, 'Data nguồn'!F:F, $B$1, 'Data nguồn'!C:C, E$3)</f>
      </c>
      <c r="F38" s="8">
        <f>SUMIFS('Data nguồn'!H:H, 'Data nguồn'!D:D, $D38, 'Data nguồn'!F:F, $B$1, 'Data nguồn'!C:C, F$3)</f>
      </c>
      <c r="G38" s="8">
        <f>SUMIFS('Data nguồn'!H:H, 'Data nguồn'!D:D, $D38, 'Data nguồn'!F:F, $B$1, 'Data nguồn'!C:C, G$3)</f>
      </c>
      <c r="H38" s="8">
        <f>SUMIFS('Data nguồn'!H:H, 'Data nguồn'!D:D, $D38, 'Data nguồn'!F:F, $B$1, 'Data nguồn'!C:C, H$3)</f>
      </c>
      <c r="I38" s="8">
        <f>SUMIFS('Data nguồn'!H:H, 'Data nguồn'!D:D, $D38, 'Data nguồn'!F:F, $B$1, 'Data nguồn'!C:C, I$3)</f>
      </c>
      <c r="J38" s="8">
        <f>SUMIFS('Data nguồn'!H:H, 'Data nguồn'!D:D, $D38, 'Data nguồn'!F:F, $B$1, 'Data nguồn'!C:C, J$3)</f>
      </c>
      <c r="K38" s="8">
        <f>SUMIFS('Data nguồn'!H:H, 'Data nguồn'!D:D, $D38, 'Data nguồn'!F:F, $B$1, 'Data nguồn'!C:C, K$3)</f>
      </c>
      <c r="L38" s="8">
        <f>SUMIFS('Data nguồn'!H:H, 'Data nguồn'!D:D, $D38, 'Data nguồn'!F:F, $B$1, 'Data nguồn'!C:C, L$3)</f>
      </c>
      <c r="M38" s="8">
        <f>SUMIFS('Data nguồn'!H:H, 'Data nguồn'!D:D, $D38, 'Data nguồn'!F:F, $B$1, 'Data nguồn'!C:C, M$3)</f>
      </c>
      <c r="N38" s="8">
        <f>SUMIFS('Data nguồn'!H:H, 'Data nguồn'!D:D, $D38, 'Data nguồn'!F:F, $B$1, 'Data nguồn'!C:C, N$3)</f>
      </c>
      <c r="O38" s="8">
        <f>SUMIFS('Data nguồn'!H:H, 'Data nguồn'!D:D, $D38, 'Data nguồn'!F:F, $B$1, 'Data nguồn'!C:C, O$3)</f>
      </c>
      <c r="P38" s="8">
        <f>SUMIFS('Data nguồn'!H:H, 'Data nguồn'!D:D, $D38, 'Data nguồn'!F:F, $B$1, 'Data nguồn'!C:C, P$3)</f>
      </c>
      <c r="Q38" s="8">
        <f>SUMIFS('Data nguồn'!H:H, 'Data nguồn'!D:D, $D38, 'Data nguồn'!F:F, $B$1, 'Data nguồn'!C:C, Q$3)</f>
      </c>
      <c r="R38" s="8">
        <f>SUMIFS('Data nguồn'!H:H, 'Data nguồn'!D:D, $D38, 'Data nguồn'!F:F, $B$1, 'Data nguồn'!C:C, R$3)</f>
      </c>
      <c r="S38" s="8">
        <f>SUMIFS('Data nguồn'!H:H, 'Data nguồn'!D:D, $D38, 'Data nguồn'!F:F, $B$1, 'Data nguồn'!C:C, S$3)</f>
      </c>
      <c r="T38" s="8">
        <f>SUMIFS('Data nguồn'!H:H, 'Data nguồn'!D:D, $D38, 'Data nguồn'!F:F, $B$1, 'Data nguồn'!C:C, T$3)</f>
      </c>
      <c r="V38" s="8">
        <f>SUM(E38:P38)</f>
      </c>
      <c r="W38" s="8">
        <f>SUM(Q38:T38)</f>
      </c>
      <c r="X38" s="8">
        <f>AVERAGE(R38:T38)</f>
      </c>
      <c r="Y38" s="8">
        <f>AVERAGE(O38:T38)</f>
      </c>
      <c r="Z38" s="8">
        <f>AVERAGE(L38:T38)</f>
      </c>
      <c r="AA38" s="4">
        <f>IFERROR((X38*2)/(Y38+Z38), 0)</f>
      </c>
      <c r="AB38" s="4">
        <f>IFERROR(W38/SUM(E38:H38), 0)</f>
      </c>
      <c r="AC38" s="4">
        <f>IFERROR(W38/SUM(E38:H38), 0)</f>
      </c>
      <c r="AD38" s="4">
        <f>IFERROR(T38/H38, 0)</f>
      </c>
    </row>
    <row r="39" ht="20" customHeight="1" spans="1:30" x14ac:dyDescent="0.25">
      <c r="A39">
        <v>36</v>
      </c>
      <c r="B39" t="s">
        <v>96</v>
      </c>
      <c r="C39" t="s">
        <v>369</v>
      </c>
      <c r="D39" s="2" t="s">
        <v>96</v>
      </c>
      <c r="E39" s="8">
        <f>SUMIFS('Data nguồn'!H:H, 'Data nguồn'!D:D, $D39, 'Data nguồn'!F:F, $B$1, 'Data nguồn'!C:C, E$3)</f>
      </c>
      <c r="F39" s="8">
        <f>SUMIFS('Data nguồn'!H:H, 'Data nguồn'!D:D, $D39, 'Data nguồn'!F:F, $B$1, 'Data nguồn'!C:C, F$3)</f>
      </c>
      <c r="G39" s="8">
        <f>SUMIFS('Data nguồn'!H:H, 'Data nguồn'!D:D, $D39, 'Data nguồn'!F:F, $B$1, 'Data nguồn'!C:C, G$3)</f>
      </c>
      <c r="H39" s="8">
        <f>SUMIFS('Data nguồn'!H:H, 'Data nguồn'!D:D, $D39, 'Data nguồn'!F:F, $B$1, 'Data nguồn'!C:C, H$3)</f>
      </c>
      <c r="I39" s="8">
        <f>SUMIFS('Data nguồn'!H:H, 'Data nguồn'!D:D, $D39, 'Data nguồn'!F:F, $B$1, 'Data nguồn'!C:C, I$3)</f>
      </c>
      <c r="J39" s="8">
        <f>SUMIFS('Data nguồn'!H:H, 'Data nguồn'!D:D, $D39, 'Data nguồn'!F:F, $B$1, 'Data nguồn'!C:C, J$3)</f>
      </c>
      <c r="K39" s="8">
        <f>SUMIFS('Data nguồn'!H:H, 'Data nguồn'!D:D, $D39, 'Data nguồn'!F:F, $B$1, 'Data nguồn'!C:C, K$3)</f>
      </c>
      <c r="L39" s="8">
        <f>SUMIFS('Data nguồn'!H:H, 'Data nguồn'!D:D, $D39, 'Data nguồn'!F:F, $B$1, 'Data nguồn'!C:C, L$3)</f>
      </c>
      <c r="M39" s="8">
        <f>SUMIFS('Data nguồn'!H:H, 'Data nguồn'!D:D, $D39, 'Data nguồn'!F:F, $B$1, 'Data nguồn'!C:C, M$3)</f>
      </c>
      <c r="N39" s="8">
        <f>SUMIFS('Data nguồn'!H:H, 'Data nguồn'!D:D, $D39, 'Data nguồn'!F:F, $B$1, 'Data nguồn'!C:C, N$3)</f>
      </c>
      <c r="O39" s="8">
        <f>SUMIFS('Data nguồn'!H:H, 'Data nguồn'!D:D, $D39, 'Data nguồn'!F:F, $B$1, 'Data nguồn'!C:C, O$3)</f>
      </c>
      <c r="P39" s="8">
        <f>SUMIFS('Data nguồn'!H:H, 'Data nguồn'!D:D, $D39, 'Data nguồn'!F:F, $B$1, 'Data nguồn'!C:C, P$3)</f>
      </c>
      <c r="Q39" s="8">
        <f>SUMIFS('Data nguồn'!H:H, 'Data nguồn'!D:D, $D39, 'Data nguồn'!F:F, $B$1, 'Data nguồn'!C:C, Q$3)</f>
      </c>
      <c r="R39" s="8">
        <f>SUMIFS('Data nguồn'!H:H, 'Data nguồn'!D:D, $D39, 'Data nguồn'!F:F, $B$1, 'Data nguồn'!C:C, R$3)</f>
      </c>
      <c r="S39" s="8">
        <f>SUMIFS('Data nguồn'!H:H, 'Data nguồn'!D:D, $D39, 'Data nguồn'!F:F, $B$1, 'Data nguồn'!C:C, S$3)</f>
      </c>
      <c r="T39" s="8">
        <f>SUMIFS('Data nguồn'!H:H, 'Data nguồn'!D:D, $D39, 'Data nguồn'!F:F, $B$1, 'Data nguồn'!C:C, T$3)</f>
      </c>
      <c r="V39" s="8">
        <f>SUM(E39:P39)</f>
      </c>
      <c r="W39" s="8">
        <f>SUM(Q39:T39)</f>
      </c>
      <c r="X39" s="8">
        <f>AVERAGE(R39:T39)</f>
      </c>
      <c r="Y39" s="8">
        <f>AVERAGE(O39:T39)</f>
      </c>
      <c r="Z39" s="8">
        <f>AVERAGE(L39:T39)</f>
      </c>
      <c r="AA39" s="4">
        <f>IFERROR((X39*2)/(Y39+Z39), 0)</f>
      </c>
      <c r="AB39" s="4">
        <f>IFERROR(W39/SUM(E39:H39), 0)</f>
      </c>
      <c r="AC39" s="4">
        <f>IFERROR(W39/SUM(E39:H39), 0)</f>
      </c>
      <c r="AD39" s="4">
        <f>IFERROR(T39/H39, 0)</f>
      </c>
    </row>
    <row r="40" ht="20" customHeight="1" spans="1:30" x14ac:dyDescent="0.25">
      <c r="A40">
        <v>37</v>
      </c>
      <c r="B40" t="s">
        <v>98</v>
      </c>
      <c r="C40" t="s">
        <v>369</v>
      </c>
      <c r="D40" s="2" t="s">
        <v>98</v>
      </c>
      <c r="E40" s="8">
        <f>SUMIFS('Data nguồn'!H:H, 'Data nguồn'!D:D, $D40, 'Data nguồn'!F:F, $B$1, 'Data nguồn'!C:C, E$3)</f>
      </c>
      <c r="F40" s="8">
        <f>SUMIFS('Data nguồn'!H:H, 'Data nguồn'!D:D, $D40, 'Data nguồn'!F:F, $B$1, 'Data nguồn'!C:C, F$3)</f>
      </c>
      <c r="G40" s="8">
        <f>SUMIFS('Data nguồn'!H:H, 'Data nguồn'!D:D, $D40, 'Data nguồn'!F:F, $B$1, 'Data nguồn'!C:C, G$3)</f>
      </c>
      <c r="H40" s="8">
        <f>SUMIFS('Data nguồn'!H:H, 'Data nguồn'!D:D, $D40, 'Data nguồn'!F:F, $B$1, 'Data nguồn'!C:C, H$3)</f>
      </c>
      <c r="I40" s="8">
        <f>SUMIFS('Data nguồn'!H:H, 'Data nguồn'!D:D, $D40, 'Data nguồn'!F:F, $B$1, 'Data nguồn'!C:C, I$3)</f>
      </c>
      <c r="J40" s="8">
        <f>SUMIFS('Data nguồn'!H:H, 'Data nguồn'!D:D, $D40, 'Data nguồn'!F:F, $B$1, 'Data nguồn'!C:C, J$3)</f>
      </c>
      <c r="K40" s="8">
        <f>SUMIFS('Data nguồn'!H:H, 'Data nguồn'!D:D, $D40, 'Data nguồn'!F:F, $B$1, 'Data nguồn'!C:C, K$3)</f>
      </c>
      <c r="L40" s="8">
        <f>SUMIFS('Data nguồn'!H:H, 'Data nguồn'!D:D, $D40, 'Data nguồn'!F:F, $B$1, 'Data nguồn'!C:C, L$3)</f>
      </c>
      <c r="M40" s="8">
        <f>SUMIFS('Data nguồn'!H:H, 'Data nguồn'!D:D, $D40, 'Data nguồn'!F:F, $B$1, 'Data nguồn'!C:C, M$3)</f>
      </c>
      <c r="N40" s="8">
        <f>SUMIFS('Data nguồn'!H:H, 'Data nguồn'!D:D, $D40, 'Data nguồn'!F:F, $B$1, 'Data nguồn'!C:C, N$3)</f>
      </c>
      <c r="O40" s="8">
        <f>SUMIFS('Data nguồn'!H:H, 'Data nguồn'!D:D, $D40, 'Data nguồn'!F:F, $B$1, 'Data nguồn'!C:C, O$3)</f>
      </c>
      <c r="P40" s="8">
        <f>SUMIFS('Data nguồn'!H:H, 'Data nguồn'!D:D, $D40, 'Data nguồn'!F:F, $B$1, 'Data nguồn'!C:C, P$3)</f>
      </c>
      <c r="Q40" s="8">
        <f>SUMIFS('Data nguồn'!H:H, 'Data nguồn'!D:D, $D40, 'Data nguồn'!F:F, $B$1, 'Data nguồn'!C:C, Q$3)</f>
      </c>
      <c r="R40" s="8">
        <f>SUMIFS('Data nguồn'!H:H, 'Data nguồn'!D:D, $D40, 'Data nguồn'!F:F, $B$1, 'Data nguồn'!C:C, R$3)</f>
      </c>
      <c r="S40" s="8">
        <f>SUMIFS('Data nguồn'!H:H, 'Data nguồn'!D:D, $D40, 'Data nguồn'!F:F, $B$1, 'Data nguồn'!C:C, S$3)</f>
      </c>
      <c r="T40" s="8">
        <f>SUMIFS('Data nguồn'!H:H, 'Data nguồn'!D:D, $D40, 'Data nguồn'!F:F, $B$1, 'Data nguồn'!C:C, T$3)</f>
      </c>
      <c r="V40" s="8">
        <f>SUM(E40:P40)</f>
      </c>
      <c r="W40" s="8">
        <f>SUM(Q40:T40)</f>
      </c>
      <c r="X40" s="8">
        <f>AVERAGE(R40:T40)</f>
      </c>
      <c r="Y40" s="8">
        <f>AVERAGE(O40:T40)</f>
      </c>
      <c r="Z40" s="8">
        <f>AVERAGE(L40:T40)</f>
      </c>
      <c r="AA40" s="4">
        <f>IFERROR((X40*2)/(Y40+Z40), 0)</f>
      </c>
      <c r="AB40" s="4">
        <f>IFERROR(W40/SUM(E40:H40), 0)</f>
      </c>
      <c r="AC40" s="4">
        <f>IFERROR(W40/SUM(E40:H40), 0)</f>
      </c>
      <c r="AD40" s="4">
        <f>IFERROR(T40/H40, 0)</f>
      </c>
    </row>
    <row r="41" ht="20" customHeight="1" spans="1:30" x14ac:dyDescent="0.25">
      <c r="A41">
        <v>38</v>
      </c>
      <c r="B41" t="s">
        <v>100</v>
      </c>
      <c r="C41" t="s">
        <v>363</v>
      </c>
      <c r="D41" s="2" t="s">
        <v>100</v>
      </c>
      <c r="E41" s="8">
        <f>SUMIFS('Data nguồn'!H:H, 'Data nguồn'!D:D, $D41, 'Data nguồn'!F:F, $B$1, 'Data nguồn'!C:C, E$3)</f>
      </c>
      <c r="F41" s="8">
        <f>SUMIFS('Data nguồn'!H:H, 'Data nguồn'!D:D, $D41, 'Data nguồn'!F:F, $B$1, 'Data nguồn'!C:C, F$3)</f>
      </c>
      <c r="G41" s="8">
        <f>SUMIFS('Data nguồn'!H:H, 'Data nguồn'!D:D, $D41, 'Data nguồn'!F:F, $B$1, 'Data nguồn'!C:C, G$3)</f>
      </c>
      <c r="H41" s="8">
        <f>SUMIFS('Data nguồn'!H:H, 'Data nguồn'!D:D, $D41, 'Data nguồn'!F:F, $B$1, 'Data nguồn'!C:C, H$3)</f>
      </c>
      <c r="I41" s="8">
        <f>SUMIFS('Data nguồn'!H:H, 'Data nguồn'!D:D, $D41, 'Data nguồn'!F:F, $B$1, 'Data nguồn'!C:C, I$3)</f>
      </c>
      <c r="J41" s="8">
        <f>SUMIFS('Data nguồn'!H:H, 'Data nguồn'!D:D, $D41, 'Data nguồn'!F:F, $B$1, 'Data nguồn'!C:C, J$3)</f>
      </c>
      <c r="K41" s="8">
        <f>SUMIFS('Data nguồn'!H:H, 'Data nguồn'!D:D, $D41, 'Data nguồn'!F:F, $B$1, 'Data nguồn'!C:C, K$3)</f>
      </c>
      <c r="L41" s="8">
        <f>SUMIFS('Data nguồn'!H:H, 'Data nguồn'!D:D, $D41, 'Data nguồn'!F:F, $B$1, 'Data nguồn'!C:C, L$3)</f>
      </c>
      <c r="M41" s="8">
        <f>SUMIFS('Data nguồn'!H:H, 'Data nguồn'!D:D, $D41, 'Data nguồn'!F:F, $B$1, 'Data nguồn'!C:C, M$3)</f>
      </c>
      <c r="N41" s="8">
        <f>SUMIFS('Data nguồn'!H:H, 'Data nguồn'!D:D, $D41, 'Data nguồn'!F:F, $B$1, 'Data nguồn'!C:C, N$3)</f>
      </c>
      <c r="O41" s="8">
        <f>SUMIFS('Data nguồn'!H:H, 'Data nguồn'!D:D, $D41, 'Data nguồn'!F:F, $B$1, 'Data nguồn'!C:C, O$3)</f>
      </c>
      <c r="P41" s="8">
        <f>SUMIFS('Data nguồn'!H:H, 'Data nguồn'!D:D, $D41, 'Data nguồn'!F:F, $B$1, 'Data nguồn'!C:C, P$3)</f>
      </c>
      <c r="Q41" s="8">
        <f>SUMIFS('Data nguồn'!H:H, 'Data nguồn'!D:D, $D41, 'Data nguồn'!F:F, $B$1, 'Data nguồn'!C:C, Q$3)</f>
      </c>
      <c r="R41" s="8">
        <f>SUMIFS('Data nguồn'!H:H, 'Data nguồn'!D:D, $D41, 'Data nguồn'!F:F, $B$1, 'Data nguồn'!C:C, R$3)</f>
      </c>
      <c r="S41" s="8">
        <f>SUMIFS('Data nguồn'!H:H, 'Data nguồn'!D:D, $D41, 'Data nguồn'!F:F, $B$1, 'Data nguồn'!C:C, S$3)</f>
      </c>
      <c r="T41" s="8">
        <f>SUMIFS('Data nguồn'!H:H, 'Data nguồn'!D:D, $D41, 'Data nguồn'!F:F, $B$1, 'Data nguồn'!C:C, T$3)</f>
      </c>
      <c r="V41" s="8">
        <f>SUM(E41:P41)</f>
      </c>
      <c r="W41" s="8">
        <f>SUM(Q41:T41)</f>
      </c>
      <c r="X41" s="8">
        <f>AVERAGE(R41:T41)</f>
      </c>
      <c r="Y41" s="8">
        <f>AVERAGE(O41:T41)</f>
      </c>
      <c r="Z41" s="8">
        <f>AVERAGE(L41:T41)</f>
      </c>
      <c r="AA41" s="4">
        <f>IFERROR((X41*2)/(Y41+Z41), 0)</f>
      </c>
      <c r="AB41" s="4">
        <f>IFERROR(W41/SUM(E41:H41), 0)</f>
      </c>
      <c r="AC41" s="4">
        <f>IFERROR(W41/SUM(E41:H41), 0)</f>
      </c>
      <c r="AD41" s="4">
        <f>IFERROR(T41/H41, 0)</f>
      </c>
    </row>
    <row r="42" ht="20" customHeight="1" spans="1:30" x14ac:dyDescent="0.25">
      <c r="A42">
        <v>39</v>
      </c>
      <c r="B42" t="s">
        <v>101</v>
      </c>
      <c r="C42" t="s">
        <v>363</v>
      </c>
      <c r="D42" s="2" t="s">
        <v>101</v>
      </c>
      <c r="E42" s="8">
        <f>SUMIFS('Data nguồn'!H:H, 'Data nguồn'!D:D, $D42, 'Data nguồn'!F:F, $B$1, 'Data nguồn'!C:C, E$3)</f>
      </c>
      <c r="F42" s="8">
        <f>SUMIFS('Data nguồn'!H:H, 'Data nguồn'!D:D, $D42, 'Data nguồn'!F:F, $B$1, 'Data nguồn'!C:C, F$3)</f>
      </c>
      <c r="G42" s="8">
        <f>SUMIFS('Data nguồn'!H:H, 'Data nguồn'!D:D, $D42, 'Data nguồn'!F:F, $B$1, 'Data nguồn'!C:C, G$3)</f>
      </c>
      <c r="H42" s="8">
        <f>SUMIFS('Data nguồn'!H:H, 'Data nguồn'!D:D, $D42, 'Data nguồn'!F:F, $B$1, 'Data nguồn'!C:C, H$3)</f>
      </c>
      <c r="I42" s="8">
        <f>SUMIFS('Data nguồn'!H:H, 'Data nguồn'!D:D, $D42, 'Data nguồn'!F:F, $B$1, 'Data nguồn'!C:C, I$3)</f>
      </c>
      <c r="J42" s="8">
        <f>SUMIFS('Data nguồn'!H:H, 'Data nguồn'!D:D, $D42, 'Data nguồn'!F:F, $B$1, 'Data nguồn'!C:C, J$3)</f>
      </c>
      <c r="K42" s="8">
        <f>SUMIFS('Data nguồn'!H:H, 'Data nguồn'!D:D, $D42, 'Data nguồn'!F:F, $B$1, 'Data nguồn'!C:C, K$3)</f>
      </c>
      <c r="L42" s="8">
        <f>SUMIFS('Data nguồn'!H:H, 'Data nguồn'!D:D, $D42, 'Data nguồn'!F:F, $B$1, 'Data nguồn'!C:C, L$3)</f>
      </c>
      <c r="M42" s="8">
        <f>SUMIFS('Data nguồn'!H:H, 'Data nguồn'!D:D, $D42, 'Data nguồn'!F:F, $B$1, 'Data nguồn'!C:C, M$3)</f>
      </c>
      <c r="N42" s="8">
        <f>SUMIFS('Data nguồn'!H:H, 'Data nguồn'!D:D, $D42, 'Data nguồn'!F:F, $B$1, 'Data nguồn'!C:C, N$3)</f>
      </c>
      <c r="O42" s="8">
        <f>SUMIFS('Data nguồn'!H:H, 'Data nguồn'!D:D, $D42, 'Data nguồn'!F:F, $B$1, 'Data nguồn'!C:C, O$3)</f>
      </c>
      <c r="P42" s="8">
        <f>SUMIFS('Data nguồn'!H:H, 'Data nguồn'!D:D, $D42, 'Data nguồn'!F:F, $B$1, 'Data nguồn'!C:C, P$3)</f>
      </c>
      <c r="Q42" s="8">
        <f>SUMIFS('Data nguồn'!H:H, 'Data nguồn'!D:D, $D42, 'Data nguồn'!F:F, $B$1, 'Data nguồn'!C:C, Q$3)</f>
      </c>
      <c r="R42" s="8">
        <f>SUMIFS('Data nguồn'!H:H, 'Data nguồn'!D:D, $D42, 'Data nguồn'!F:F, $B$1, 'Data nguồn'!C:C, R$3)</f>
      </c>
      <c r="S42" s="8">
        <f>SUMIFS('Data nguồn'!H:H, 'Data nguồn'!D:D, $D42, 'Data nguồn'!F:F, $B$1, 'Data nguồn'!C:C, S$3)</f>
      </c>
      <c r="T42" s="8">
        <f>SUMIFS('Data nguồn'!H:H, 'Data nguồn'!D:D, $D42, 'Data nguồn'!F:F, $B$1, 'Data nguồn'!C:C, T$3)</f>
      </c>
      <c r="V42" s="8">
        <f>SUM(E42:P42)</f>
      </c>
      <c r="W42" s="8">
        <f>SUM(Q42:T42)</f>
      </c>
      <c r="X42" s="8">
        <f>AVERAGE(R42:T42)</f>
      </c>
      <c r="Y42" s="8">
        <f>AVERAGE(O42:T42)</f>
      </c>
      <c r="Z42" s="8">
        <f>AVERAGE(L42:T42)</f>
      </c>
      <c r="AA42" s="4">
        <f>IFERROR((X42*2)/(Y42+Z42), 0)</f>
      </c>
      <c r="AB42" s="4">
        <f>IFERROR(W42/SUM(E42:H42), 0)</f>
      </c>
      <c r="AC42" s="4">
        <f>IFERROR(W42/SUM(E42:H42), 0)</f>
      </c>
      <c r="AD42" s="4">
        <f>IFERROR(T42/H42, 0)</f>
      </c>
    </row>
    <row r="43" ht="20" customHeight="1" spans="1:30" x14ac:dyDescent="0.25">
      <c r="A43">
        <v>40</v>
      </c>
      <c r="B43" t="s">
        <v>102</v>
      </c>
      <c r="C43" t="s">
        <v>369</v>
      </c>
      <c r="D43" s="2" t="s">
        <v>102</v>
      </c>
      <c r="E43" s="8">
        <f>SUMIFS('Data nguồn'!H:H, 'Data nguồn'!D:D, $D43, 'Data nguồn'!F:F, $B$1, 'Data nguồn'!C:C, E$3)</f>
      </c>
      <c r="F43" s="8">
        <f>SUMIFS('Data nguồn'!H:H, 'Data nguồn'!D:D, $D43, 'Data nguồn'!F:F, $B$1, 'Data nguồn'!C:C, F$3)</f>
      </c>
      <c r="G43" s="8">
        <f>SUMIFS('Data nguồn'!H:H, 'Data nguồn'!D:D, $D43, 'Data nguồn'!F:F, $B$1, 'Data nguồn'!C:C, G$3)</f>
      </c>
      <c r="H43" s="8">
        <f>SUMIFS('Data nguồn'!H:H, 'Data nguồn'!D:D, $D43, 'Data nguồn'!F:F, $B$1, 'Data nguồn'!C:C, H$3)</f>
      </c>
      <c r="I43" s="8">
        <f>SUMIFS('Data nguồn'!H:H, 'Data nguồn'!D:D, $D43, 'Data nguồn'!F:F, $B$1, 'Data nguồn'!C:C, I$3)</f>
      </c>
      <c r="J43" s="8">
        <f>SUMIFS('Data nguồn'!H:H, 'Data nguồn'!D:D, $D43, 'Data nguồn'!F:F, $B$1, 'Data nguồn'!C:C, J$3)</f>
      </c>
      <c r="K43" s="8">
        <f>SUMIFS('Data nguồn'!H:H, 'Data nguồn'!D:D, $D43, 'Data nguồn'!F:F, $B$1, 'Data nguồn'!C:C, K$3)</f>
      </c>
      <c r="L43" s="8">
        <f>SUMIFS('Data nguồn'!H:H, 'Data nguồn'!D:D, $D43, 'Data nguồn'!F:F, $B$1, 'Data nguồn'!C:C, L$3)</f>
      </c>
      <c r="M43" s="8">
        <f>SUMIFS('Data nguồn'!H:H, 'Data nguồn'!D:D, $D43, 'Data nguồn'!F:F, $B$1, 'Data nguồn'!C:C, M$3)</f>
      </c>
      <c r="N43" s="8">
        <f>SUMIFS('Data nguồn'!H:H, 'Data nguồn'!D:D, $D43, 'Data nguồn'!F:F, $B$1, 'Data nguồn'!C:C, N$3)</f>
      </c>
      <c r="O43" s="8">
        <f>SUMIFS('Data nguồn'!H:H, 'Data nguồn'!D:D, $D43, 'Data nguồn'!F:F, $B$1, 'Data nguồn'!C:C, O$3)</f>
      </c>
      <c r="P43" s="8">
        <f>SUMIFS('Data nguồn'!H:H, 'Data nguồn'!D:D, $D43, 'Data nguồn'!F:F, $B$1, 'Data nguồn'!C:C, P$3)</f>
      </c>
      <c r="Q43" s="8">
        <f>SUMIFS('Data nguồn'!H:H, 'Data nguồn'!D:D, $D43, 'Data nguồn'!F:F, $B$1, 'Data nguồn'!C:C, Q$3)</f>
      </c>
      <c r="R43" s="8">
        <f>SUMIFS('Data nguồn'!H:H, 'Data nguồn'!D:D, $D43, 'Data nguồn'!F:F, $B$1, 'Data nguồn'!C:C, R$3)</f>
      </c>
      <c r="S43" s="8">
        <f>SUMIFS('Data nguồn'!H:H, 'Data nguồn'!D:D, $D43, 'Data nguồn'!F:F, $B$1, 'Data nguồn'!C:C, S$3)</f>
      </c>
      <c r="T43" s="8">
        <f>SUMIFS('Data nguồn'!H:H, 'Data nguồn'!D:D, $D43, 'Data nguồn'!F:F, $B$1, 'Data nguồn'!C:C, T$3)</f>
      </c>
      <c r="V43" s="8">
        <f>SUM(E43:P43)</f>
      </c>
      <c r="W43" s="8">
        <f>SUM(Q43:T43)</f>
      </c>
      <c r="X43" s="8">
        <f>AVERAGE(R43:T43)</f>
      </c>
      <c r="Y43" s="8">
        <f>AVERAGE(O43:T43)</f>
      </c>
      <c r="Z43" s="8">
        <f>AVERAGE(L43:T43)</f>
      </c>
      <c r="AA43" s="4">
        <f>IFERROR((X43*2)/(Y43+Z43), 0)</f>
      </c>
      <c r="AB43" s="4">
        <f>IFERROR(W43/SUM(E43:H43), 0)</f>
      </c>
      <c r="AC43" s="4">
        <f>IFERROR(W43/SUM(E43:H43), 0)</f>
      </c>
      <c r="AD43" s="4">
        <f>IFERROR(T43/H43, 0)</f>
      </c>
    </row>
    <row r="44" ht="20" customHeight="1" spans="1:30" x14ac:dyDescent="0.25">
      <c r="A44">
        <v>41</v>
      </c>
      <c r="B44" t="s">
        <v>103</v>
      </c>
      <c r="C44" t="s">
        <v>367</v>
      </c>
      <c r="D44" s="2" t="s">
        <v>103</v>
      </c>
      <c r="E44" s="8">
        <f>SUMIFS('Data nguồn'!H:H, 'Data nguồn'!D:D, $D44, 'Data nguồn'!F:F, $B$1, 'Data nguồn'!C:C, E$3)</f>
      </c>
      <c r="F44" s="8">
        <f>SUMIFS('Data nguồn'!H:H, 'Data nguồn'!D:D, $D44, 'Data nguồn'!F:F, $B$1, 'Data nguồn'!C:C, F$3)</f>
      </c>
      <c r="G44" s="8">
        <f>SUMIFS('Data nguồn'!H:H, 'Data nguồn'!D:D, $D44, 'Data nguồn'!F:F, $B$1, 'Data nguồn'!C:C, G$3)</f>
      </c>
      <c r="H44" s="8">
        <f>SUMIFS('Data nguồn'!H:H, 'Data nguồn'!D:D, $D44, 'Data nguồn'!F:F, $B$1, 'Data nguồn'!C:C, H$3)</f>
      </c>
      <c r="I44" s="8">
        <f>SUMIFS('Data nguồn'!H:H, 'Data nguồn'!D:D, $D44, 'Data nguồn'!F:F, $B$1, 'Data nguồn'!C:C, I$3)</f>
      </c>
      <c r="J44" s="8">
        <f>SUMIFS('Data nguồn'!H:H, 'Data nguồn'!D:D, $D44, 'Data nguồn'!F:F, $B$1, 'Data nguồn'!C:C, J$3)</f>
      </c>
      <c r="K44" s="8">
        <f>SUMIFS('Data nguồn'!H:H, 'Data nguồn'!D:D, $D44, 'Data nguồn'!F:F, $B$1, 'Data nguồn'!C:C, K$3)</f>
      </c>
      <c r="L44" s="8">
        <f>SUMIFS('Data nguồn'!H:H, 'Data nguồn'!D:D, $D44, 'Data nguồn'!F:F, $B$1, 'Data nguồn'!C:C, L$3)</f>
      </c>
      <c r="M44" s="8">
        <f>SUMIFS('Data nguồn'!H:H, 'Data nguồn'!D:D, $D44, 'Data nguồn'!F:F, $B$1, 'Data nguồn'!C:C, M$3)</f>
      </c>
      <c r="N44" s="8">
        <f>SUMIFS('Data nguồn'!H:H, 'Data nguồn'!D:D, $D44, 'Data nguồn'!F:F, $B$1, 'Data nguồn'!C:C, N$3)</f>
      </c>
      <c r="O44" s="8">
        <f>SUMIFS('Data nguồn'!H:H, 'Data nguồn'!D:D, $D44, 'Data nguồn'!F:F, $B$1, 'Data nguồn'!C:C, O$3)</f>
      </c>
      <c r="P44" s="8">
        <f>SUMIFS('Data nguồn'!H:H, 'Data nguồn'!D:D, $D44, 'Data nguồn'!F:F, $B$1, 'Data nguồn'!C:C, P$3)</f>
      </c>
      <c r="Q44" s="8">
        <f>SUMIFS('Data nguồn'!H:H, 'Data nguồn'!D:D, $D44, 'Data nguồn'!F:F, $B$1, 'Data nguồn'!C:C, Q$3)</f>
      </c>
      <c r="R44" s="8">
        <f>SUMIFS('Data nguồn'!H:H, 'Data nguồn'!D:D, $D44, 'Data nguồn'!F:F, $B$1, 'Data nguồn'!C:C, R$3)</f>
      </c>
      <c r="S44" s="8">
        <f>SUMIFS('Data nguồn'!H:H, 'Data nguồn'!D:D, $D44, 'Data nguồn'!F:F, $B$1, 'Data nguồn'!C:C, S$3)</f>
      </c>
      <c r="T44" s="8">
        <f>SUMIFS('Data nguồn'!H:H, 'Data nguồn'!D:D, $D44, 'Data nguồn'!F:F, $B$1, 'Data nguồn'!C:C, T$3)</f>
      </c>
      <c r="V44" s="8">
        <f>SUM(E44:P44)</f>
      </c>
      <c r="W44" s="8">
        <f>SUM(Q44:T44)</f>
      </c>
      <c r="X44" s="8">
        <f>AVERAGE(R44:T44)</f>
      </c>
      <c r="Y44" s="8">
        <f>AVERAGE(O44:T44)</f>
      </c>
      <c r="Z44" s="8">
        <f>AVERAGE(L44:T44)</f>
      </c>
      <c r="AA44" s="4">
        <f>IFERROR((X44*2)/(Y44+Z44), 0)</f>
      </c>
      <c r="AB44" s="4">
        <f>IFERROR(W44/SUM(E44:H44), 0)</f>
      </c>
      <c r="AC44" s="4">
        <f>IFERROR(W44/SUM(E44:H44), 0)</f>
      </c>
      <c r="AD44" s="4">
        <f>IFERROR(T44/H44, 0)</f>
      </c>
    </row>
    <row r="45" ht="20" customHeight="1" spans="1:30" x14ac:dyDescent="0.25">
      <c r="A45">
        <v>42</v>
      </c>
      <c r="B45" t="s">
        <v>104</v>
      </c>
      <c r="C45" t="s">
        <v>363</v>
      </c>
      <c r="D45" s="2" t="s">
        <v>104</v>
      </c>
      <c r="E45" s="8">
        <f>SUMIFS('Data nguồn'!H:H, 'Data nguồn'!D:D, $D45, 'Data nguồn'!F:F, $B$1, 'Data nguồn'!C:C, E$3)</f>
      </c>
      <c r="F45" s="8">
        <f>SUMIFS('Data nguồn'!H:H, 'Data nguồn'!D:D, $D45, 'Data nguồn'!F:F, $B$1, 'Data nguồn'!C:C, F$3)</f>
      </c>
      <c r="G45" s="8">
        <f>SUMIFS('Data nguồn'!H:H, 'Data nguồn'!D:D, $D45, 'Data nguồn'!F:F, $B$1, 'Data nguồn'!C:C, G$3)</f>
      </c>
      <c r="H45" s="8">
        <f>SUMIFS('Data nguồn'!H:H, 'Data nguồn'!D:D, $D45, 'Data nguồn'!F:F, $B$1, 'Data nguồn'!C:C, H$3)</f>
      </c>
      <c r="I45" s="8">
        <f>SUMIFS('Data nguồn'!H:H, 'Data nguồn'!D:D, $D45, 'Data nguồn'!F:F, $B$1, 'Data nguồn'!C:C, I$3)</f>
      </c>
      <c r="J45" s="8">
        <f>SUMIFS('Data nguồn'!H:H, 'Data nguồn'!D:D, $D45, 'Data nguồn'!F:F, $B$1, 'Data nguồn'!C:C, J$3)</f>
      </c>
      <c r="K45" s="8">
        <f>SUMIFS('Data nguồn'!H:H, 'Data nguồn'!D:D, $D45, 'Data nguồn'!F:F, $B$1, 'Data nguồn'!C:C, K$3)</f>
      </c>
      <c r="L45" s="8">
        <f>SUMIFS('Data nguồn'!H:H, 'Data nguồn'!D:D, $D45, 'Data nguồn'!F:F, $B$1, 'Data nguồn'!C:C, L$3)</f>
      </c>
      <c r="M45" s="8">
        <f>SUMIFS('Data nguồn'!H:H, 'Data nguồn'!D:D, $D45, 'Data nguồn'!F:F, $B$1, 'Data nguồn'!C:C, M$3)</f>
      </c>
      <c r="N45" s="8">
        <f>SUMIFS('Data nguồn'!H:H, 'Data nguồn'!D:D, $D45, 'Data nguồn'!F:F, $B$1, 'Data nguồn'!C:C, N$3)</f>
      </c>
      <c r="O45" s="8">
        <f>SUMIFS('Data nguồn'!H:H, 'Data nguồn'!D:D, $D45, 'Data nguồn'!F:F, $B$1, 'Data nguồn'!C:C, O$3)</f>
      </c>
      <c r="P45" s="8">
        <f>SUMIFS('Data nguồn'!H:H, 'Data nguồn'!D:D, $D45, 'Data nguồn'!F:F, $B$1, 'Data nguồn'!C:C, P$3)</f>
      </c>
      <c r="Q45" s="8">
        <f>SUMIFS('Data nguồn'!H:H, 'Data nguồn'!D:D, $D45, 'Data nguồn'!F:F, $B$1, 'Data nguồn'!C:C, Q$3)</f>
      </c>
      <c r="R45" s="8">
        <f>SUMIFS('Data nguồn'!H:H, 'Data nguồn'!D:D, $D45, 'Data nguồn'!F:F, $B$1, 'Data nguồn'!C:C, R$3)</f>
      </c>
      <c r="S45" s="8">
        <f>SUMIFS('Data nguồn'!H:H, 'Data nguồn'!D:D, $D45, 'Data nguồn'!F:F, $B$1, 'Data nguồn'!C:C, S$3)</f>
      </c>
      <c r="T45" s="8">
        <f>SUMIFS('Data nguồn'!H:H, 'Data nguồn'!D:D, $D45, 'Data nguồn'!F:F, $B$1, 'Data nguồn'!C:C, T$3)</f>
      </c>
      <c r="V45" s="8">
        <f>SUM(E45:P45)</f>
      </c>
      <c r="W45" s="8">
        <f>SUM(Q45:T45)</f>
      </c>
      <c r="X45" s="8">
        <f>AVERAGE(R45:T45)</f>
      </c>
      <c r="Y45" s="8">
        <f>AVERAGE(O45:T45)</f>
      </c>
      <c r="Z45" s="8">
        <f>AVERAGE(L45:T45)</f>
      </c>
      <c r="AA45" s="4">
        <f>IFERROR((X45*2)/(Y45+Z45), 0)</f>
      </c>
      <c r="AB45" s="4">
        <f>IFERROR(W45/SUM(E45:H45), 0)</f>
      </c>
      <c r="AC45" s="4">
        <f>IFERROR(W45/SUM(E45:H45), 0)</f>
      </c>
      <c r="AD45" s="4">
        <f>IFERROR(T45/H45, 0)</f>
      </c>
    </row>
    <row r="46" ht="20" customHeight="1" spans="1:30" x14ac:dyDescent="0.25">
      <c r="A46">
        <v>43</v>
      </c>
      <c r="B46" t="s">
        <v>106</v>
      </c>
      <c r="C46" t="s">
        <v>367</v>
      </c>
      <c r="D46" s="2" t="s">
        <v>106</v>
      </c>
      <c r="E46" s="8">
        <f>SUMIFS('Data nguồn'!H:H, 'Data nguồn'!D:D, $D46, 'Data nguồn'!F:F, $B$1, 'Data nguồn'!C:C, E$3)</f>
      </c>
      <c r="F46" s="8">
        <f>SUMIFS('Data nguồn'!H:H, 'Data nguồn'!D:D, $D46, 'Data nguồn'!F:F, $B$1, 'Data nguồn'!C:C, F$3)</f>
      </c>
      <c r="G46" s="8">
        <f>SUMIFS('Data nguồn'!H:H, 'Data nguồn'!D:D, $D46, 'Data nguồn'!F:F, $B$1, 'Data nguồn'!C:C, G$3)</f>
      </c>
      <c r="H46" s="8">
        <f>SUMIFS('Data nguồn'!H:H, 'Data nguồn'!D:D, $D46, 'Data nguồn'!F:F, $B$1, 'Data nguồn'!C:C, H$3)</f>
      </c>
      <c r="I46" s="8">
        <f>SUMIFS('Data nguồn'!H:H, 'Data nguồn'!D:D, $D46, 'Data nguồn'!F:F, $B$1, 'Data nguồn'!C:C, I$3)</f>
      </c>
      <c r="J46" s="8">
        <f>SUMIFS('Data nguồn'!H:H, 'Data nguồn'!D:D, $D46, 'Data nguồn'!F:F, $B$1, 'Data nguồn'!C:C, J$3)</f>
      </c>
      <c r="K46" s="8">
        <f>SUMIFS('Data nguồn'!H:H, 'Data nguồn'!D:D, $D46, 'Data nguồn'!F:F, $B$1, 'Data nguồn'!C:C, K$3)</f>
      </c>
      <c r="L46" s="8">
        <f>SUMIFS('Data nguồn'!H:H, 'Data nguồn'!D:D, $D46, 'Data nguồn'!F:F, $B$1, 'Data nguồn'!C:C, L$3)</f>
      </c>
      <c r="M46" s="8">
        <f>SUMIFS('Data nguồn'!H:H, 'Data nguồn'!D:D, $D46, 'Data nguồn'!F:F, $B$1, 'Data nguồn'!C:C, M$3)</f>
      </c>
      <c r="N46" s="8">
        <f>SUMIFS('Data nguồn'!H:H, 'Data nguồn'!D:D, $D46, 'Data nguồn'!F:F, $B$1, 'Data nguồn'!C:C, N$3)</f>
      </c>
      <c r="O46" s="8">
        <f>SUMIFS('Data nguồn'!H:H, 'Data nguồn'!D:D, $D46, 'Data nguồn'!F:F, $B$1, 'Data nguồn'!C:C, O$3)</f>
      </c>
      <c r="P46" s="8">
        <f>SUMIFS('Data nguồn'!H:H, 'Data nguồn'!D:D, $D46, 'Data nguồn'!F:F, $B$1, 'Data nguồn'!C:C, P$3)</f>
      </c>
      <c r="Q46" s="8">
        <f>SUMIFS('Data nguồn'!H:H, 'Data nguồn'!D:D, $D46, 'Data nguồn'!F:F, $B$1, 'Data nguồn'!C:C, Q$3)</f>
      </c>
      <c r="R46" s="8">
        <f>SUMIFS('Data nguồn'!H:H, 'Data nguồn'!D:D, $D46, 'Data nguồn'!F:F, $B$1, 'Data nguồn'!C:C, R$3)</f>
      </c>
      <c r="S46" s="8">
        <f>SUMIFS('Data nguồn'!H:H, 'Data nguồn'!D:D, $D46, 'Data nguồn'!F:F, $B$1, 'Data nguồn'!C:C, S$3)</f>
      </c>
      <c r="T46" s="8">
        <f>SUMIFS('Data nguồn'!H:H, 'Data nguồn'!D:D, $D46, 'Data nguồn'!F:F, $B$1, 'Data nguồn'!C:C, T$3)</f>
      </c>
      <c r="V46" s="8">
        <f>SUM(E46:P46)</f>
      </c>
      <c r="W46" s="8">
        <f>SUM(Q46:T46)</f>
      </c>
      <c r="X46" s="8">
        <f>AVERAGE(R46:T46)</f>
      </c>
      <c r="Y46" s="8">
        <f>AVERAGE(O46:T46)</f>
      </c>
      <c r="Z46" s="8">
        <f>AVERAGE(L46:T46)</f>
      </c>
      <c r="AA46" s="4">
        <f>IFERROR((X46*2)/(Y46+Z46), 0)</f>
      </c>
      <c r="AB46" s="4">
        <f>IFERROR(W46/SUM(E46:H46), 0)</f>
      </c>
      <c r="AC46" s="4">
        <f>IFERROR(W46/SUM(E46:H46), 0)</f>
      </c>
      <c r="AD46" s="4">
        <f>IFERROR(T46/H46, 0)</f>
      </c>
    </row>
    <row r="47" ht="20" customHeight="1" spans="1:30" x14ac:dyDescent="0.25">
      <c r="A47">
        <v>44</v>
      </c>
      <c r="B47" t="s">
        <v>107</v>
      </c>
      <c r="C47" t="s">
        <v>367</v>
      </c>
      <c r="D47" s="2" t="s">
        <v>107</v>
      </c>
      <c r="E47" s="8">
        <f>SUMIFS('Data nguồn'!H:H, 'Data nguồn'!D:D, $D47, 'Data nguồn'!F:F, $B$1, 'Data nguồn'!C:C, E$3)</f>
      </c>
      <c r="F47" s="8">
        <f>SUMIFS('Data nguồn'!H:H, 'Data nguồn'!D:D, $D47, 'Data nguồn'!F:F, $B$1, 'Data nguồn'!C:C, F$3)</f>
      </c>
      <c r="G47" s="8">
        <f>SUMIFS('Data nguồn'!H:H, 'Data nguồn'!D:D, $D47, 'Data nguồn'!F:F, $B$1, 'Data nguồn'!C:C, G$3)</f>
      </c>
      <c r="H47" s="8">
        <f>SUMIFS('Data nguồn'!H:H, 'Data nguồn'!D:D, $D47, 'Data nguồn'!F:F, $B$1, 'Data nguồn'!C:C, H$3)</f>
      </c>
      <c r="I47" s="8">
        <f>SUMIFS('Data nguồn'!H:H, 'Data nguồn'!D:D, $D47, 'Data nguồn'!F:F, $B$1, 'Data nguồn'!C:C, I$3)</f>
      </c>
      <c r="J47" s="8">
        <f>SUMIFS('Data nguồn'!H:H, 'Data nguồn'!D:D, $D47, 'Data nguồn'!F:F, $B$1, 'Data nguồn'!C:C, J$3)</f>
      </c>
      <c r="K47" s="8">
        <f>SUMIFS('Data nguồn'!H:H, 'Data nguồn'!D:D, $D47, 'Data nguồn'!F:F, $B$1, 'Data nguồn'!C:C, K$3)</f>
      </c>
      <c r="L47" s="8">
        <f>SUMIFS('Data nguồn'!H:H, 'Data nguồn'!D:D, $D47, 'Data nguồn'!F:F, $B$1, 'Data nguồn'!C:C, L$3)</f>
      </c>
      <c r="M47" s="8">
        <f>SUMIFS('Data nguồn'!H:H, 'Data nguồn'!D:D, $D47, 'Data nguồn'!F:F, $B$1, 'Data nguồn'!C:C, M$3)</f>
      </c>
      <c r="N47" s="8">
        <f>SUMIFS('Data nguồn'!H:H, 'Data nguồn'!D:D, $D47, 'Data nguồn'!F:F, $B$1, 'Data nguồn'!C:C, N$3)</f>
      </c>
      <c r="O47" s="8">
        <f>SUMIFS('Data nguồn'!H:H, 'Data nguồn'!D:D, $D47, 'Data nguồn'!F:F, $B$1, 'Data nguồn'!C:C, O$3)</f>
      </c>
      <c r="P47" s="8">
        <f>SUMIFS('Data nguồn'!H:H, 'Data nguồn'!D:D, $D47, 'Data nguồn'!F:F, $B$1, 'Data nguồn'!C:C, P$3)</f>
      </c>
      <c r="Q47" s="8">
        <f>SUMIFS('Data nguồn'!H:H, 'Data nguồn'!D:D, $D47, 'Data nguồn'!F:F, $B$1, 'Data nguồn'!C:C, Q$3)</f>
      </c>
      <c r="R47" s="8">
        <f>SUMIFS('Data nguồn'!H:H, 'Data nguồn'!D:D, $D47, 'Data nguồn'!F:F, $B$1, 'Data nguồn'!C:C, R$3)</f>
      </c>
      <c r="S47" s="8">
        <f>SUMIFS('Data nguồn'!H:H, 'Data nguồn'!D:D, $D47, 'Data nguồn'!F:F, $B$1, 'Data nguồn'!C:C, S$3)</f>
      </c>
      <c r="T47" s="8">
        <f>SUMIFS('Data nguồn'!H:H, 'Data nguồn'!D:D, $D47, 'Data nguồn'!F:F, $B$1, 'Data nguồn'!C:C, T$3)</f>
      </c>
      <c r="V47" s="8">
        <f>SUM(E47:P47)</f>
      </c>
      <c r="W47" s="8">
        <f>SUM(Q47:T47)</f>
      </c>
      <c r="X47" s="8">
        <f>AVERAGE(R47:T47)</f>
      </c>
      <c r="Y47" s="8">
        <f>AVERAGE(O47:T47)</f>
      </c>
      <c r="Z47" s="8">
        <f>AVERAGE(L47:T47)</f>
      </c>
      <c r="AA47" s="4">
        <f>IFERROR((X47*2)/(Y47+Z47), 0)</f>
      </c>
      <c r="AB47" s="4">
        <f>IFERROR(W47/SUM(E47:H47), 0)</f>
      </c>
      <c r="AC47" s="4">
        <f>IFERROR(W47/SUM(E47:H47), 0)</f>
      </c>
      <c r="AD47" s="4">
        <f>IFERROR(T47/H47, 0)</f>
      </c>
    </row>
    <row r="48" ht="20" customHeight="1" spans="1:30" x14ac:dyDescent="0.25">
      <c r="A48">
        <v>45</v>
      </c>
      <c r="B48" t="s">
        <v>108</v>
      </c>
      <c r="C48" t="s">
        <v>367</v>
      </c>
      <c r="D48" s="2" t="s">
        <v>108</v>
      </c>
      <c r="E48" s="8">
        <f>SUMIFS('Data nguồn'!H:H, 'Data nguồn'!D:D, $D48, 'Data nguồn'!F:F, $B$1, 'Data nguồn'!C:C, E$3)</f>
      </c>
      <c r="F48" s="8">
        <f>SUMIFS('Data nguồn'!H:H, 'Data nguồn'!D:D, $D48, 'Data nguồn'!F:F, $B$1, 'Data nguồn'!C:C, F$3)</f>
      </c>
      <c r="G48" s="8">
        <f>SUMIFS('Data nguồn'!H:H, 'Data nguồn'!D:D, $D48, 'Data nguồn'!F:F, $B$1, 'Data nguồn'!C:C, G$3)</f>
      </c>
      <c r="H48" s="8">
        <f>SUMIFS('Data nguồn'!H:H, 'Data nguồn'!D:D, $D48, 'Data nguồn'!F:F, $B$1, 'Data nguồn'!C:C, H$3)</f>
      </c>
      <c r="I48" s="8">
        <f>SUMIFS('Data nguồn'!H:H, 'Data nguồn'!D:D, $D48, 'Data nguồn'!F:F, $B$1, 'Data nguồn'!C:C, I$3)</f>
      </c>
      <c r="J48" s="8">
        <f>SUMIFS('Data nguồn'!H:H, 'Data nguồn'!D:D, $D48, 'Data nguồn'!F:F, $B$1, 'Data nguồn'!C:C, J$3)</f>
      </c>
      <c r="K48" s="8">
        <f>SUMIFS('Data nguồn'!H:H, 'Data nguồn'!D:D, $D48, 'Data nguồn'!F:F, $B$1, 'Data nguồn'!C:C, K$3)</f>
      </c>
      <c r="L48" s="8">
        <f>SUMIFS('Data nguồn'!H:H, 'Data nguồn'!D:D, $D48, 'Data nguồn'!F:F, $B$1, 'Data nguồn'!C:C, L$3)</f>
      </c>
      <c r="M48" s="8">
        <f>SUMIFS('Data nguồn'!H:H, 'Data nguồn'!D:D, $D48, 'Data nguồn'!F:F, $B$1, 'Data nguồn'!C:C, M$3)</f>
      </c>
      <c r="N48" s="8">
        <f>SUMIFS('Data nguồn'!H:H, 'Data nguồn'!D:D, $D48, 'Data nguồn'!F:F, $B$1, 'Data nguồn'!C:C, N$3)</f>
      </c>
      <c r="O48" s="8">
        <f>SUMIFS('Data nguồn'!H:H, 'Data nguồn'!D:D, $D48, 'Data nguồn'!F:F, $B$1, 'Data nguồn'!C:C, O$3)</f>
      </c>
      <c r="P48" s="8">
        <f>SUMIFS('Data nguồn'!H:H, 'Data nguồn'!D:D, $D48, 'Data nguồn'!F:F, $B$1, 'Data nguồn'!C:C, P$3)</f>
      </c>
      <c r="Q48" s="8">
        <f>SUMIFS('Data nguồn'!H:H, 'Data nguồn'!D:D, $D48, 'Data nguồn'!F:F, $B$1, 'Data nguồn'!C:C, Q$3)</f>
      </c>
      <c r="R48" s="8">
        <f>SUMIFS('Data nguồn'!H:H, 'Data nguồn'!D:D, $D48, 'Data nguồn'!F:F, $B$1, 'Data nguồn'!C:C, R$3)</f>
      </c>
      <c r="S48" s="8">
        <f>SUMIFS('Data nguồn'!H:H, 'Data nguồn'!D:D, $D48, 'Data nguồn'!F:F, $B$1, 'Data nguồn'!C:C, S$3)</f>
      </c>
      <c r="T48" s="8">
        <f>SUMIFS('Data nguồn'!H:H, 'Data nguồn'!D:D, $D48, 'Data nguồn'!F:F, $B$1, 'Data nguồn'!C:C, T$3)</f>
      </c>
      <c r="V48" s="8">
        <f>SUM(E48:P48)</f>
      </c>
      <c r="W48" s="8">
        <f>SUM(Q48:T48)</f>
      </c>
      <c r="X48" s="8">
        <f>AVERAGE(R48:T48)</f>
      </c>
      <c r="Y48" s="8">
        <f>AVERAGE(O48:T48)</f>
      </c>
      <c r="Z48" s="8">
        <f>AVERAGE(L48:T48)</f>
      </c>
      <c r="AA48" s="4">
        <f>IFERROR((X48*2)/(Y48+Z48), 0)</f>
      </c>
      <c r="AB48" s="4">
        <f>IFERROR(W48/SUM(E48:H48), 0)</f>
      </c>
      <c r="AC48" s="4">
        <f>IFERROR(W48/SUM(E48:H48), 0)</f>
      </c>
      <c r="AD48" s="4">
        <f>IFERROR(T48/H48, 0)</f>
      </c>
    </row>
    <row r="49" ht="20" customHeight="1" spans="1:30" x14ac:dyDescent="0.25">
      <c r="A49">
        <v>46</v>
      </c>
      <c r="B49" t="s">
        <v>109</v>
      </c>
      <c r="C49" t="s">
        <v>367</v>
      </c>
      <c r="D49" s="2" t="s">
        <v>109</v>
      </c>
      <c r="E49" s="8">
        <f>SUMIFS('Data nguồn'!H:H, 'Data nguồn'!D:D, $D49, 'Data nguồn'!F:F, $B$1, 'Data nguồn'!C:C, E$3)</f>
      </c>
      <c r="F49" s="8">
        <f>SUMIFS('Data nguồn'!H:H, 'Data nguồn'!D:D, $D49, 'Data nguồn'!F:F, $B$1, 'Data nguồn'!C:C, F$3)</f>
      </c>
      <c r="G49" s="8">
        <f>SUMIFS('Data nguồn'!H:H, 'Data nguồn'!D:D, $D49, 'Data nguồn'!F:F, $B$1, 'Data nguồn'!C:C, G$3)</f>
      </c>
      <c r="H49" s="8">
        <f>SUMIFS('Data nguồn'!H:H, 'Data nguồn'!D:D, $D49, 'Data nguồn'!F:F, $B$1, 'Data nguồn'!C:C, H$3)</f>
      </c>
      <c r="I49" s="8">
        <f>SUMIFS('Data nguồn'!H:H, 'Data nguồn'!D:D, $D49, 'Data nguồn'!F:F, $B$1, 'Data nguồn'!C:C, I$3)</f>
      </c>
      <c r="J49" s="8">
        <f>SUMIFS('Data nguồn'!H:H, 'Data nguồn'!D:D, $D49, 'Data nguồn'!F:F, $B$1, 'Data nguồn'!C:C, J$3)</f>
      </c>
      <c r="K49" s="8">
        <f>SUMIFS('Data nguồn'!H:H, 'Data nguồn'!D:D, $D49, 'Data nguồn'!F:F, $B$1, 'Data nguồn'!C:C, K$3)</f>
      </c>
      <c r="L49" s="8">
        <f>SUMIFS('Data nguồn'!H:H, 'Data nguồn'!D:D, $D49, 'Data nguồn'!F:F, $B$1, 'Data nguồn'!C:C, L$3)</f>
      </c>
      <c r="M49" s="8">
        <f>SUMIFS('Data nguồn'!H:H, 'Data nguồn'!D:D, $D49, 'Data nguồn'!F:F, $B$1, 'Data nguồn'!C:C, M$3)</f>
      </c>
      <c r="N49" s="8">
        <f>SUMIFS('Data nguồn'!H:H, 'Data nguồn'!D:D, $D49, 'Data nguồn'!F:F, $B$1, 'Data nguồn'!C:C, N$3)</f>
      </c>
      <c r="O49" s="8">
        <f>SUMIFS('Data nguồn'!H:H, 'Data nguồn'!D:D, $D49, 'Data nguồn'!F:F, $B$1, 'Data nguồn'!C:C, O$3)</f>
      </c>
      <c r="P49" s="8">
        <f>SUMIFS('Data nguồn'!H:H, 'Data nguồn'!D:D, $D49, 'Data nguồn'!F:F, $B$1, 'Data nguồn'!C:C, P$3)</f>
      </c>
      <c r="Q49" s="8">
        <f>SUMIFS('Data nguồn'!H:H, 'Data nguồn'!D:D, $D49, 'Data nguồn'!F:F, $B$1, 'Data nguồn'!C:C, Q$3)</f>
      </c>
      <c r="R49" s="8">
        <f>SUMIFS('Data nguồn'!H:H, 'Data nguồn'!D:D, $D49, 'Data nguồn'!F:F, $B$1, 'Data nguồn'!C:C, R$3)</f>
      </c>
      <c r="S49" s="8">
        <f>SUMIFS('Data nguồn'!H:H, 'Data nguồn'!D:D, $D49, 'Data nguồn'!F:F, $B$1, 'Data nguồn'!C:C, S$3)</f>
      </c>
      <c r="T49" s="8">
        <f>SUMIFS('Data nguồn'!H:H, 'Data nguồn'!D:D, $D49, 'Data nguồn'!F:F, $B$1, 'Data nguồn'!C:C, T$3)</f>
      </c>
      <c r="V49" s="8">
        <f>SUM(E49:P49)</f>
      </c>
      <c r="W49" s="8">
        <f>SUM(Q49:T49)</f>
      </c>
      <c r="X49" s="8">
        <f>AVERAGE(R49:T49)</f>
      </c>
      <c r="Y49" s="8">
        <f>AVERAGE(O49:T49)</f>
      </c>
      <c r="Z49" s="8">
        <f>AVERAGE(L49:T49)</f>
      </c>
      <c r="AA49" s="4">
        <f>IFERROR((X49*2)/(Y49+Z49), 0)</f>
      </c>
      <c r="AB49" s="4">
        <f>IFERROR(W49/SUM(E49:H49), 0)</f>
      </c>
      <c r="AC49" s="4">
        <f>IFERROR(W49/SUM(E49:H49), 0)</f>
      </c>
      <c r="AD49" s="4">
        <f>IFERROR(T49/H49, 0)</f>
      </c>
    </row>
    <row r="50" ht="20" customHeight="1" spans="1:30" x14ac:dyDescent="0.25">
      <c r="A50">
        <v>47</v>
      </c>
      <c r="B50" t="s">
        <v>111</v>
      </c>
      <c r="C50" t="s">
        <v>370</v>
      </c>
      <c r="D50" s="2" t="s">
        <v>111</v>
      </c>
      <c r="E50" s="8">
        <f>SUMIFS('Data nguồn'!H:H, 'Data nguồn'!D:D, $D50, 'Data nguồn'!F:F, $B$1, 'Data nguồn'!C:C, E$3)</f>
      </c>
      <c r="F50" s="8">
        <f>SUMIFS('Data nguồn'!H:H, 'Data nguồn'!D:D, $D50, 'Data nguồn'!F:F, $B$1, 'Data nguồn'!C:C, F$3)</f>
      </c>
      <c r="G50" s="8">
        <f>SUMIFS('Data nguồn'!H:H, 'Data nguồn'!D:D, $D50, 'Data nguồn'!F:F, $B$1, 'Data nguồn'!C:C, G$3)</f>
      </c>
      <c r="H50" s="8">
        <f>SUMIFS('Data nguồn'!H:H, 'Data nguồn'!D:D, $D50, 'Data nguồn'!F:F, $B$1, 'Data nguồn'!C:C, H$3)</f>
      </c>
      <c r="I50" s="8">
        <f>SUMIFS('Data nguồn'!H:H, 'Data nguồn'!D:D, $D50, 'Data nguồn'!F:F, $B$1, 'Data nguồn'!C:C, I$3)</f>
      </c>
      <c r="J50" s="8">
        <f>SUMIFS('Data nguồn'!H:H, 'Data nguồn'!D:D, $D50, 'Data nguồn'!F:F, $B$1, 'Data nguồn'!C:C, J$3)</f>
      </c>
      <c r="K50" s="8">
        <f>SUMIFS('Data nguồn'!H:H, 'Data nguồn'!D:D, $D50, 'Data nguồn'!F:F, $B$1, 'Data nguồn'!C:C, K$3)</f>
      </c>
      <c r="L50" s="8">
        <f>SUMIFS('Data nguồn'!H:H, 'Data nguồn'!D:D, $D50, 'Data nguồn'!F:F, $B$1, 'Data nguồn'!C:C, L$3)</f>
      </c>
      <c r="M50" s="8">
        <f>SUMIFS('Data nguồn'!H:H, 'Data nguồn'!D:D, $D50, 'Data nguồn'!F:F, $B$1, 'Data nguồn'!C:C, M$3)</f>
      </c>
      <c r="N50" s="8">
        <f>SUMIFS('Data nguồn'!H:H, 'Data nguồn'!D:D, $D50, 'Data nguồn'!F:F, $B$1, 'Data nguồn'!C:C, N$3)</f>
      </c>
      <c r="O50" s="8">
        <f>SUMIFS('Data nguồn'!H:H, 'Data nguồn'!D:D, $D50, 'Data nguồn'!F:F, $B$1, 'Data nguồn'!C:C, O$3)</f>
      </c>
      <c r="P50" s="8">
        <f>SUMIFS('Data nguồn'!H:H, 'Data nguồn'!D:D, $D50, 'Data nguồn'!F:F, $B$1, 'Data nguồn'!C:C, P$3)</f>
      </c>
      <c r="Q50" s="8">
        <f>SUMIFS('Data nguồn'!H:H, 'Data nguồn'!D:D, $D50, 'Data nguồn'!F:F, $B$1, 'Data nguồn'!C:C, Q$3)</f>
      </c>
      <c r="R50" s="8">
        <f>SUMIFS('Data nguồn'!H:H, 'Data nguồn'!D:D, $D50, 'Data nguồn'!F:F, $B$1, 'Data nguồn'!C:C, R$3)</f>
      </c>
      <c r="S50" s="8">
        <f>SUMIFS('Data nguồn'!H:H, 'Data nguồn'!D:D, $D50, 'Data nguồn'!F:F, $B$1, 'Data nguồn'!C:C, S$3)</f>
      </c>
      <c r="T50" s="8">
        <f>SUMIFS('Data nguồn'!H:H, 'Data nguồn'!D:D, $D50, 'Data nguồn'!F:F, $B$1, 'Data nguồn'!C:C, T$3)</f>
      </c>
      <c r="V50" s="8">
        <f>SUM(E50:P50)</f>
      </c>
      <c r="W50" s="8">
        <f>SUM(Q50:T50)</f>
      </c>
      <c r="X50" s="8">
        <f>AVERAGE(R50:T50)</f>
      </c>
      <c r="Y50" s="8">
        <f>AVERAGE(O50:T50)</f>
      </c>
      <c r="Z50" s="8">
        <f>AVERAGE(L50:T50)</f>
      </c>
      <c r="AA50" s="4">
        <f>IFERROR((X50*2)/(Y50+Z50), 0)</f>
      </c>
      <c r="AB50" s="4">
        <f>IFERROR(W50/SUM(E50:H50), 0)</f>
      </c>
      <c r="AC50" s="4">
        <f>IFERROR(W50/SUM(E50:H50), 0)</f>
      </c>
      <c r="AD50" s="4">
        <f>IFERROR(T50/H50, 0)</f>
      </c>
    </row>
    <row r="51" ht="20" customHeight="1" spans="1:30" x14ac:dyDescent="0.25">
      <c r="A51">
        <v>48</v>
      </c>
      <c r="B51" t="s">
        <v>112</v>
      </c>
      <c r="C51" t="s">
        <v>370</v>
      </c>
      <c r="D51" s="2" t="s">
        <v>112</v>
      </c>
      <c r="E51" s="8">
        <f>SUMIFS('Data nguồn'!H:H, 'Data nguồn'!D:D, $D51, 'Data nguồn'!F:F, $B$1, 'Data nguồn'!C:C, E$3)</f>
      </c>
      <c r="F51" s="8">
        <f>SUMIFS('Data nguồn'!H:H, 'Data nguồn'!D:D, $D51, 'Data nguồn'!F:F, $B$1, 'Data nguồn'!C:C, F$3)</f>
      </c>
      <c r="G51" s="8">
        <f>SUMIFS('Data nguồn'!H:H, 'Data nguồn'!D:D, $D51, 'Data nguồn'!F:F, $B$1, 'Data nguồn'!C:C, G$3)</f>
      </c>
      <c r="H51" s="8">
        <f>SUMIFS('Data nguồn'!H:H, 'Data nguồn'!D:D, $D51, 'Data nguồn'!F:F, $B$1, 'Data nguồn'!C:C, H$3)</f>
      </c>
      <c r="I51" s="8">
        <f>SUMIFS('Data nguồn'!H:H, 'Data nguồn'!D:D, $D51, 'Data nguồn'!F:F, $B$1, 'Data nguồn'!C:C, I$3)</f>
      </c>
      <c r="J51" s="8">
        <f>SUMIFS('Data nguồn'!H:H, 'Data nguồn'!D:D, $D51, 'Data nguồn'!F:F, $B$1, 'Data nguồn'!C:C, J$3)</f>
      </c>
      <c r="K51" s="8">
        <f>SUMIFS('Data nguồn'!H:H, 'Data nguồn'!D:D, $D51, 'Data nguồn'!F:F, $B$1, 'Data nguồn'!C:C, K$3)</f>
      </c>
      <c r="L51" s="8">
        <f>SUMIFS('Data nguồn'!H:H, 'Data nguồn'!D:D, $D51, 'Data nguồn'!F:F, $B$1, 'Data nguồn'!C:C, L$3)</f>
      </c>
      <c r="M51" s="8">
        <f>SUMIFS('Data nguồn'!H:H, 'Data nguồn'!D:D, $D51, 'Data nguồn'!F:F, $B$1, 'Data nguồn'!C:C, M$3)</f>
      </c>
      <c r="N51" s="8">
        <f>SUMIFS('Data nguồn'!H:H, 'Data nguồn'!D:D, $D51, 'Data nguồn'!F:F, $B$1, 'Data nguồn'!C:C, N$3)</f>
      </c>
      <c r="O51" s="8">
        <f>SUMIFS('Data nguồn'!H:H, 'Data nguồn'!D:D, $D51, 'Data nguồn'!F:F, $B$1, 'Data nguồn'!C:C, O$3)</f>
      </c>
      <c r="P51" s="8">
        <f>SUMIFS('Data nguồn'!H:H, 'Data nguồn'!D:D, $D51, 'Data nguồn'!F:F, $B$1, 'Data nguồn'!C:C, P$3)</f>
      </c>
      <c r="Q51" s="8">
        <f>SUMIFS('Data nguồn'!H:H, 'Data nguồn'!D:D, $D51, 'Data nguồn'!F:F, $B$1, 'Data nguồn'!C:C, Q$3)</f>
      </c>
      <c r="R51" s="8">
        <f>SUMIFS('Data nguồn'!H:H, 'Data nguồn'!D:D, $D51, 'Data nguồn'!F:F, $B$1, 'Data nguồn'!C:C, R$3)</f>
      </c>
      <c r="S51" s="8">
        <f>SUMIFS('Data nguồn'!H:H, 'Data nguồn'!D:D, $D51, 'Data nguồn'!F:F, $B$1, 'Data nguồn'!C:C, S$3)</f>
      </c>
      <c r="T51" s="8">
        <f>SUMIFS('Data nguồn'!H:H, 'Data nguồn'!D:D, $D51, 'Data nguồn'!F:F, $B$1, 'Data nguồn'!C:C, T$3)</f>
      </c>
      <c r="V51" s="8">
        <f>SUM(E51:P51)</f>
      </c>
      <c r="W51" s="8">
        <f>SUM(Q51:T51)</f>
      </c>
      <c r="X51" s="8">
        <f>AVERAGE(R51:T51)</f>
      </c>
      <c r="Y51" s="8">
        <f>AVERAGE(O51:T51)</f>
      </c>
      <c r="Z51" s="8">
        <f>AVERAGE(L51:T51)</f>
      </c>
      <c r="AA51" s="4">
        <f>IFERROR((X51*2)/(Y51+Z51), 0)</f>
      </c>
      <c r="AB51" s="4">
        <f>IFERROR(W51/SUM(E51:H51), 0)</f>
      </c>
      <c r="AC51" s="4">
        <f>IFERROR(W51/SUM(E51:H51), 0)</f>
      </c>
      <c r="AD51" s="4">
        <f>IFERROR(T51/H51, 0)</f>
      </c>
    </row>
    <row r="52" ht="20" customHeight="1" spans="1:30" x14ac:dyDescent="0.25">
      <c r="A52">
        <v>49</v>
      </c>
      <c r="B52" t="s">
        <v>113</v>
      </c>
      <c r="C52" t="s">
        <v>370</v>
      </c>
      <c r="D52" s="2" t="s">
        <v>113</v>
      </c>
      <c r="E52" s="8">
        <f>SUMIFS('Data nguồn'!H:H, 'Data nguồn'!D:D, $D52, 'Data nguồn'!F:F, $B$1, 'Data nguồn'!C:C, E$3)</f>
      </c>
      <c r="F52" s="8">
        <f>SUMIFS('Data nguồn'!H:H, 'Data nguồn'!D:D, $D52, 'Data nguồn'!F:F, $B$1, 'Data nguồn'!C:C, F$3)</f>
      </c>
      <c r="G52" s="8">
        <f>SUMIFS('Data nguồn'!H:H, 'Data nguồn'!D:D, $D52, 'Data nguồn'!F:F, $B$1, 'Data nguồn'!C:C, G$3)</f>
      </c>
      <c r="H52" s="8">
        <f>SUMIFS('Data nguồn'!H:H, 'Data nguồn'!D:D, $D52, 'Data nguồn'!F:F, $B$1, 'Data nguồn'!C:C, H$3)</f>
      </c>
      <c r="I52" s="8">
        <f>SUMIFS('Data nguồn'!H:H, 'Data nguồn'!D:D, $D52, 'Data nguồn'!F:F, $B$1, 'Data nguồn'!C:C, I$3)</f>
      </c>
      <c r="J52" s="8">
        <f>SUMIFS('Data nguồn'!H:H, 'Data nguồn'!D:D, $D52, 'Data nguồn'!F:F, $B$1, 'Data nguồn'!C:C, J$3)</f>
      </c>
      <c r="K52" s="8">
        <f>SUMIFS('Data nguồn'!H:H, 'Data nguồn'!D:D, $D52, 'Data nguồn'!F:F, $B$1, 'Data nguồn'!C:C, K$3)</f>
      </c>
      <c r="L52" s="8">
        <f>SUMIFS('Data nguồn'!H:H, 'Data nguồn'!D:D, $D52, 'Data nguồn'!F:F, $B$1, 'Data nguồn'!C:C, L$3)</f>
      </c>
      <c r="M52" s="8">
        <f>SUMIFS('Data nguồn'!H:H, 'Data nguồn'!D:D, $D52, 'Data nguồn'!F:F, $B$1, 'Data nguồn'!C:C, M$3)</f>
      </c>
      <c r="N52" s="8">
        <f>SUMIFS('Data nguồn'!H:H, 'Data nguồn'!D:D, $D52, 'Data nguồn'!F:F, $B$1, 'Data nguồn'!C:C, N$3)</f>
      </c>
      <c r="O52" s="8">
        <f>SUMIFS('Data nguồn'!H:H, 'Data nguồn'!D:D, $D52, 'Data nguồn'!F:F, $B$1, 'Data nguồn'!C:C, O$3)</f>
      </c>
      <c r="P52" s="8">
        <f>SUMIFS('Data nguồn'!H:H, 'Data nguồn'!D:D, $D52, 'Data nguồn'!F:F, $B$1, 'Data nguồn'!C:C, P$3)</f>
      </c>
      <c r="Q52" s="8">
        <f>SUMIFS('Data nguồn'!H:H, 'Data nguồn'!D:D, $D52, 'Data nguồn'!F:F, $B$1, 'Data nguồn'!C:C, Q$3)</f>
      </c>
      <c r="R52" s="8">
        <f>SUMIFS('Data nguồn'!H:H, 'Data nguồn'!D:D, $D52, 'Data nguồn'!F:F, $B$1, 'Data nguồn'!C:C, R$3)</f>
      </c>
      <c r="S52" s="8">
        <f>SUMIFS('Data nguồn'!H:H, 'Data nguồn'!D:D, $D52, 'Data nguồn'!F:F, $B$1, 'Data nguồn'!C:C, S$3)</f>
      </c>
      <c r="T52" s="8">
        <f>SUMIFS('Data nguồn'!H:H, 'Data nguồn'!D:D, $D52, 'Data nguồn'!F:F, $B$1, 'Data nguồn'!C:C, T$3)</f>
      </c>
      <c r="V52" s="8">
        <f>SUM(E52:P52)</f>
      </c>
      <c r="W52" s="8">
        <f>SUM(Q52:T52)</f>
      </c>
      <c r="X52" s="8">
        <f>AVERAGE(R52:T52)</f>
      </c>
      <c r="Y52" s="8">
        <f>AVERAGE(O52:T52)</f>
      </c>
      <c r="Z52" s="8">
        <f>AVERAGE(L52:T52)</f>
      </c>
      <c r="AA52" s="4">
        <f>IFERROR((X52*2)/(Y52+Z52), 0)</f>
      </c>
      <c r="AB52" s="4">
        <f>IFERROR(W52/SUM(E52:H52), 0)</f>
      </c>
      <c r="AC52" s="4">
        <f>IFERROR(W52/SUM(E52:H52), 0)</f>
      </c>
      <c r="AD52" s="4">
        <f>IFERROR(T52/H52, 0)</f>
      </c>
    </row>
    <row r="53" ht="20" customHeight="1" spans="1:30" x14ac:dyDescent="0.25">
      <c r="A53">
        <v>50</v>
      </c>
      <c r="B53" t="s">
        <v>114</v>
      </c>
      <c r="C53" t="s">
        <v>370</v>
      </c>
      <c r="D53" s="2" t="s">
        <v>114</v>
      </c>
      <c r="E53" s="8">
        <f>SUMIFS('Data nguồn'!H:H, 'Data nguồn'!D:D, $D53, 'Data nguồn'!F:F, $B$1, 'Data nguồn'!C:C, E$3)</f>
      </c>
      <c r="F53" s="8">
        <f>SUMIFS('Data nguồn'!H:H, 'Data nguồn'!D:D, $D53, 'Data nguồn'!F:F, $B$1, 'Data nguồn'!C:C, F$3)</f>
      </c>
      <c r="G53" s="8">
        <f>SUMIFS('Data nguồn'!H:H, 'Data nguồn'!D:D, $D53, 'Data nguồn'!F:F, $B$1, 'Data nguồn'!C:C, G$3)</f>
      </c>
      <c r="H53" s="8">
        <f>SUMIFS('Data nguồn'!H:H, 'Data nguồn'!D:D, $D53, 'Data nguồn'!F:F, $B$1, 'Data nguồn'!C:C, H$3)</f>
      </c>
      <c r="I53" s="8">
        <f>SUMIFS('Data nguồn'!H:H, 'Data nguồn'!D:D, $D53, 'Data nguồn'!F:F, $B$1, 'Data nguồn'!C:C, I$3)</f>
      </c>
      <c r="J53" s="8">
        <f>SUMIFS('Data nguồn'!H:H, 'Data nguồn'!D:D, $D53, 'Data nguồn'!F:F, $B$1, 'Data nguồn'!C:C, J$3)</f>
      </c>
      <c r="K53" s="8">
        <f>SUMIFS('Data nguồn'!H:H, 'Data nguồn'!D:D, $D53, 'Data nguồn'!F:F, $B$1, 'Data nguồn'!C:C, K$3)</f>
      </c>
      <c r="L53" s="8">
        <f>SUMIFS('Data nguồn'!H:H, 'Data nguồn'!D:D, $D53, 'Data nguồn'!F:F, $B$1, 'Data nguồn'!C:C, L$3)</f>
      </c>
      <c r="M53" s="8">
        <f>SUMIFS('Data nguồn'!H:H, 'Data nguồn'!D:D, $D53, 'Data nguồn'!F:F, $B$1, 'Data nguồn'!C:C, M$3)</f>
      </c>
      <c r="N53" s="8">
        <f>SUMIFS('Data nguồn'!H:H, 'Data nguồn'!D:D, $D53, 'Data nguồn'!F:F, $B$1, 'Data nguồn'!C:C, N$3)</f>
      </c>
      <c r="O53" s="8">
        <f>SUMIFS('Data nguồn'!H:H, 'Data nguồn'!D:D, $D53, 'Data nguồn'!F:F, $B$1, 'Data nguồn'!C:C, O$3)</f>
      </c>
      <c r="P53" s="8">
        <f>SUMIFS('Data nguồn'!H:H, 'Data nguồn'!D:D, $D53, 'Data nguồn'!F:F, $B$1, 'Data nguồn'!C:C, P$3)</f>
      </c>
      <c r="Q53" s="8">
        <f>SUMIFS('Data nguồn'!H:H, 'Data nguồn'!D:D, $D53, 'Data nguồn'!F:F, $B$1, 'Data nguồn'!C:C, Q$3)</f>
      </c>
      <c r="R53" s="8">
        <f>SUMIFS('Data nguồn'!H:H, 'Data nguồn'!D:D, $D53, 'Data nguồn'!F:F, $B$1, 'Data nguồn'!C:C, R$3)</f>
      </c>
      <c r="S53" s="8">
        <f>SUMIFS('Data nguồn'!H:H, 'Data nguồn'!D:D, $D53, 'Data nguồn'!F:F, $B$1, 'Data nguồn'!C:C, S$3)</f>
      </c>
      <c r="T53" s="8">
        <f>SUMIFS('Data nguồn'!H:H, 'Data nguồn'!D:D, $D53, 'Data nguồn'!F:F, $B$1, 'Data nguồn'!C:C, T$3)</f>
      </c>
      <c r="V53" s="8">
        <f>SUM(E53:P53)</f>
      </c>
      <c r="W53" s="8">
        <f>SUM(Q53:T53)</f>
      </c>
      <c r="X53" s="8">
        <f>AVERAGE(R53:T53)</f>
      </c>
      <c r="Y53" s="8">
        <f>AVERAGE(O53:T53)</f>
      </c>
      <c r="Z53" s="8">
        <f>AVERAGE(L53:T53)</f>
      </c>
      <c r="AA53" s="4">
        <f>IFERROR((X53*2)/(Y53+Z53), 0)</f>
      </c>
      <c r="AB53" s="4">
        <f>IFERROR(W53/SUM(E53:H53), 0)</f>
      </c>
      <c r="AC53" s="4">
        <f>IFERROR(W53/SUM(E53:H53), 0)</f>
      </c>
      <c r="AD53" s="4">
        <f>IFERROR(T53/H53, 0)</f>
      </c>
    </row>
    <row r="54" ht="20" customHeight="1" spans="1:30" x14ac:dyDescent="0.25">
      <c r="A54">
        <v>51</v>
      </c>
      <c r="B54" t="s">
        <v>115</v>
      </c>
      <c r="C54" t="s">
        <v>370</v>
      </c>
      <c r="D54" s="2" t="s">
        <v>115</v>
      </c>
      <c r="E54" s="8">
        <f>SUMIFS('Data nguồn'!H:H, 'Data nguồn'!D:D, $D54, 'Data nguồn'!F:F, $B$1, 'Data nguồn'!C:C, E$3)</f>
      </c>
      <c r="F54" s="8">
        <f>SUMIFS('Data nguồn'!H:H, 'Data nguồn'!D:D, $D54, 'Data nguồn'!F:F, $B$1, 'Data nguồn'!C:C, F$3)</f>
      </c>
      <c r="G54" s="8">
        <f>SUMIFS('Data nguồn'!H:H, 'Data nguồn'!D:D, $D54, 'Data nguồn'!F:F, $B$1, 'Data nguồn'!C:C, G$3)</f>
      </c>
      <c r="H54" s="8">
        <f>SUMIFS('Data nguồn'!H:H, 'Data nguồn'!D:D, $D54, 'Data nguồn'!F:F, $B$1, 'Data nguồn'!C:C, H$3)</f>
      </c>
      <c r="I54" s="8">
        <f>SUMIFS('Data nguồn'!H:H, 'Data nguồn'!D:D, $D54, 'Data nguồn'!F:F, $B$1, 'Data nguồn'!C:C, I$3)</f>
      </c>
      <c r="J54" s="8">
        <f>SUMIFS('Data nguồn'!H:H, 'Data nguồn'!D:D, $D54, 'Data nguồn'!F:F, $B$1, 'Data nguồn'!C:C, J$3)</f>
      </c>
      <c r="K54" s="8">
        <f>SUMIFS('Data nguồn'!H:H, 'Data nguồn'!D:D, $D54, 'Data nguồn'!F:F, $B$1, 'Data nguồn'!C:C, K$3)</f>
      </c>
      <c r="L54" s="8">
        <f>SUMIFS('Data nguồn'!H:H, 'Data nguồn'!D:D, $D54, 'Data nguồn'!F:F, $B$1, 'Data nguồn'!C:C, L$3)</f>
      </c>
      <c r="M54" s="8">
        <f>SUMIFS('Data nguồn'!H:H, 'Data nguồn'!D:D, $D54, 'Data nguồn'!F:F, $B$1, 'Data nguồn'!C:C, M$3)</f>
      </c>
      <c r="N54" s="8">
        <f>SUMIFS('Data nguồn'!H:H, 'Data nguồn'!D:D, $D54, 'Data nguồn'!F:F, $B$1, 'Data nguồn'!C:C, N$3)</f>
      </c>
      <c r="O54" s="8">
        <f>SUMIFS('Data nguồn'!H:H, 'Data nguồn'!D:D, $D54, 'Data nguồn'!F:F, $B$1, 'Data nguồn'!C:C, O$3)</f>
      </c>
      <c r="P54" s="8">
        <f>SUMIFS('Data nguồn'!H:H, 'Data nguồn'!D:D, $D54, 'Data nguồn'!F:F, $B$1, 'Data nguồn'!C:C, P$3)</f>
      </c>
      <c r="Q54" s="8">
        <f>SUMIFS('Data nguồn'!H:H, 'Data nguồn'!D:D, $D54, 'Data nguồn'!F:F, $B$1, 'Data nguồn'!C:C, Q$3)</f>
      </c>
      <c r="R54" s="8">
        <f>SUMIFS('Data nguồn'!H:H, 'Data nguồn'!D:D, $D54, 'Data nguồn'!F:F, $B$1, 'Data nguồn'!C:C, R$3)</f>
      </c>
      <c r="S54" s="8">
        <f>SUMIFS('Data nguồn'!H:H, 'Data nguồn'!D:D, $D54, 'Data nguồn'!F:F, $B$1, 'Data nguồn'!C:C, S$3)</f>
      </c>
      <c r="T54" s="8">
        <f>SUMIFS('Data nguồn'!H:H, 'Data nguồn'!D:D, $D54, 'Data nguồn'!F:F, $B$1, 'Data nguồn'!C:C, T$3)</f>
      </c>
      <c r="V54" s="8">
        <f>SUM(E54:P54)</f>
      </c>
      <c r="W54" s="8">
        <f>SUM(Q54:T54)</f>
      </c>
      <c r="X54" s="8">
        <f>AVERAGE(R54:T54)</f>
      </c>
      <c r="Y54" s="8">
        <f>AVERAGE(O54:T54)</f>
      </c>
      <c r="Z54" s="8">
        <f>AVERAGE(L54:T54)</f>
      </c>
      <c r="AA54" s="4">
        <f>IFERROR((X54*2)/(Y54+Z54), 0)</f>
      </c>
      <c r="AB54" s="4">
        <f>IFERROR(W54/SUM(E54:H54), 0)</f>
      </c>
      <c r="AC54" s="4">
        <f>IFERROR(W54/SUM(E54:H54), 0)</f>
      </c>
      <c r="AD54" s="4">
        <f>IFERROR(T54/H54, 0)</f>
      </c>
    </row>
    <row r="55" ht="20" customHeight="1" spans="1:30" x14ac:dyDescent="0.25">
      <c r="A55">
        <v>52</v>
      </c>
      <c r="B55" t="s">
        <v>116</v>
      </c>
      <c r="C55" t="s">
        <v>370</v>
      </c>
      <c r="D55" s="2" t="s">
        <v>116</v>
      </c>
      <c r="E55" s="8">
        <f>SUMIFS('Data nguồn'!H:H, 'Data nguồn'!D:D, $D55, 'Data nguồn'!F:F, $B$1, 'Data nguồn'!C:C, E$3)</f>
      </c>
      <c r="F55" s="8">
        <f>SUMIFS('Data nguồn'!H:H, 'Data nguồn'!D:D, $D55, 'Data nguồn'!F:F, $B$1, 'Data nguồn'!C:C, F$3)</f>
      </c>
      <c r="G55" s="8">
        <f>SUMIFS('Data nguồn'!H:H, 'Data nguồn'!D:D, $D55, 'Data nguồn'!F:F, $B$1, 'Data nguồn'!C:C, G$3)</f>
      </c>
      <c r="H55" s="8">
        <f>SUMIFS('Data nguồn'!H:H, 'Data nguồn'!D:D, $D55, 'Data nguồn'!F:F, $B$1, 'Data nguồn'!C:C, H$3)</f>
      </c>
      <c r="I55" s="8">
        <f>SUMIFS('Data nguồn'!H:H, 'Data nguồn'!D:D, $D55, 'Data nguồn'!F:F, $B$1, 'Data nguồn'!C:C, I$3)</f>
      </c>
      <c r="J55" s="8">
        <f>SUMIFS('Data nguồn'!H:H, 'Data nguồn'!D:D, $D55, 'Data nguồn'!F:F, $B$1, 'Data nguồn'!C:C, J$3)</f>
      </c>
      <c r="K55" s="8">
        <f>SUMIFS('Data nguồn'!H:H, 'Data nguồn'!D:D, $D55, 'Data nguồn'!F:F, $B$1, 'Data nguồn'!C:C, K$3)</f>
      </c>
      <c r="L55" s="8">
        <f>SUMIFS('Data nguồn'!H:H, 'Data nguồn'!D:D, $D55, 'Data nguồn'!F:F, $B$1, 'Data nguồn'!C:C, L$3)</f>
      </c>
      <c r="M55" s="8">
        <f>SUMIFS('Data nguồn'!H:H, 'Data nguồn'!D:D, $D55, 'Data nguồn'!F:F, $B$1, 'Data nguồn'!C:C, M$3)</f>
      </c>
      <c r="N55" s="8">
        <f>SUMIFS('Data nguồn'!H:H, 'Data nguồn'!D:D, $D55, 'Data nguồn'!F:F, $B$1, 'Data nguồn'!C:C, N$3)</f>
      </c>
      <c r="O55" s="8">
        <f>SUMIFS('Data nguồn'!H:H, 'Data nguồn'!D:D, $D55, 'Data nguồn'!F:F, $B$1, 'Data nguồn'!C:C, O$3)</f>
      </c>
      <c r="P55" s="8">
        <f>SUMIFS('Data nguồn'!H:H, 'Data nguồn'!D:D, $D55, 'Data nguồn'!F:F, $B$1, 'Data nguồn'!C:C, P$3)</f>
      </c>
      <c r="Q55" s="8">
        <f>SUMIFS('Data nguồn'!H:H, 'Data nguồn'!D:D, $D55, 'Data nguồn'!F:F, $B$1, 'Data nguồn'!C:C, Q$3)</f>
      </c>
      <c r="R55" s="8">
        <f>SUMIFS('Data nguồn'!H:H, 'Data nguồn'!D:D, $D55, 'Data nguồn'!F:F, $B$1, 'Data nguồn'!C:C, R$3)</f>
      </c>
      <c r="S55" s="8">
        <f>SUMIFS('Data nguồn'!H:H, 'Data nguồn'!D:D, $D55, 'Data nguồn'!F:F, $B$1, 'Data nguồn'!C:C, S$3)</f>
      </c>
      <c r="T55" s="8">
        <f>SUMIFS('Data nguồn'!H:H, 'Data nguồn'!D:D, $D55, 'Data nguồn'!F:F, $B$1, 'Data nguồn'!C:C, T$3)</f>
      </c>
      <c r="V55" s="8">
        <f>SUM(E55:P55)</f>
      </c>
      <c r="W55" s="8">
        <f>SUM(Q55:T55)</f>
      </c>
      <c r="X55" s="8">
        <f>AVERAGE(R55:T55)</f>
      </c>
      <c r="Y55" s="8">
        <f>AVERAGE(O55:T55)</f>
      </c>
      <c r="Z55" s="8">
        <f>AVERAGE(L55:T55)</f>
      </c>
      <c r="AA55" s="4">
        <f>IFERROR((X55*2)/(Y55+Z55), 0)</f>
      </c>
      <c r="AB55" s="4">
        <f>IFERROR(W55/SUM(E55:H55), 0)</f>
      </c>
      <c r="AC55" s="4">
        <f>IFERROR(W55/SUM(E55:H55), 0)</f>
      </c>
      <c r="AD55" s="4">
        <f>IFERROR(T55/H55, 0)</f>
      </c>
    </row>
    <row r="56" ht="20" customHeight="1" spans="1:30" x14ac:dyDescent="0.25">
      <c r="A56">
        <v>53</v>
      </c>
      <c r="B56" t="s">
        <v>117</v>
      </c>
      <c r="C56" t="s">
        <v>370</v>
      </c>
      <c r="D56" s="2" t="s">
        <v>117</v>
      </c>
      <c r="E56" s="8">
        <f>SUMIFS('Data nguồn'!H:H, 'Data nguồn'!D:D, $D56, 'Data nguồn'!F:F, $B$1, 'Data nguồn'!C:C, E$3)</f>
      </c>
      <c r="F56" s="8">
        <f>SUMIFS('Data nguồn'!H:H, 'Data nguồn'!D:D, $D56, 'Data nguồn'!F:F, $B$1, 'Data nguồn'!C:C, F$3)</f>
      </c>
      <c r="G56" s="8">
        <f>SUMIFS('Data nguồn'!H:H, 'Data nguồn'!D:D, $D56, 'Data nguồn'!F:F, $B$1, 'Data nguồn'!C:C, G$3)</f>
      </c>
      <c r="H56" s="8">
        <f>SUMIFS('Data nguồn'!H:H, 'Data nguồn'!D:D, $D56, 'Data nguồn'!F:F, $B$1, 'Data nguồn'!C:C, H$3)</f>
      </c>
      <c r="I56" s="8">
        <f>SUMIFS('Data nguồn'!H:H, 'Data nguồn'!D:D, $D56, 'Data nguồn'!F:F, $B$1, 'Data nguồn'!C:C, I$3)</f>
      </c>
      <c r="J56" s="8">
        <f>SUMIFS('Data nguồn'!H:H, 'Data nguồn'!D:D, $D56, 'Data nguồn'!F:F, $B$1, 'Data nguồn'!C:C, J$3)</f>
      </c>
      <c r="K56" s="8">
        <f>SUMIFS('Data nguồn'!H:H, 'Data nguồn'!D:D, $D56, 'Data nguồn'!F:F, $B$1, 'Data nguồn'!C:C, K$3)</f>
      </c>
      <c r="L56" s="8">
        <f>SUMIFS('Data nguồn'!H:H, 'Data nguồn'!D:D, $D56, 'Data nguồn'!F:F, $B$1, 'Data nguồn'!C:C, L$3)</f>
      </c>
      <c r="M56" s="8">
        <f>SUMIFS('Data nguồn'!H:H, 'Data nguồn'!D:D, $D56, 'Data nguồn'!F:F, $B$1, 'Data nguồn'!C:C, M$3)</f>
      </c>
      <c r="N56" s="8">
        <f>SUMIFS('Data nguồn'!H:H, 'Data nguồn'!D:D, $D56, 'Data nguồn'!F:F, $B$1, 'Data nguồn'!C:C, N$3)</f>
      </c>
      <c r="O56" s="8">
        <f>SUMIFS('Data nguồn'!H:H, 'Data nguồn'!D:D, $D56, 'Data nguồn'!F:F, $B$1, 'Data nguồn'!C:C, O$3)</f>
      </c>
      <c r="P56" s="8">
        <f>SUMIFS('Data nguồn'!H:H, 'Data nguồn'!D:D, $D56, 'Data nguồn'!F:F, $B$1, 'Data nguồn'!C:C, P$3)</f>
      </c>
      <c r="Q56" s="8">
        <f>SUMIFS('Data nguồn'!H:H, 'Data nguồn'!D:D, $D56, 'Data nguồn'!F:F, $B$1, 'Data nguồn'!C:C, Q$3)</f>
      </c>
      <c r="R56" s="8">
        <f>SUMIFS('Data nguồn'!H:H, 'Data nguồn'!D:D, $D56, 'Data nguồn'!F:F, $B$1, 'Data nguồn'!C:C, R$3)</f>
      </c>
      <c r="S56" s="8">
        <f>SUMIFS('Data nguồn'!H:H, 'Data nguồn'!D:D, $D56, 'Data nguồn'!F:F, $B$1, 'Data nguồn'!C:C, S$3)</f>
      </c>
      <c r="T56" s="8">
        <f>SUMIFS('Data nguồn'!H:H, 'Data nguồn'!D:D, $D56, 'Data nguồn'!F:F, $B$1, 'Data nguồn'!C:C, T$3)</f>
      </c>
      <c r="V56" s="8">
        <f>SUM(E56:P56)</f>
      </c>
      <c r="W56" s="8">
        <f>SUM(Q56:T56)</f>
      </c>
      <c r="X56" s="8">
        <f>AVERAGE(R56:T56)</f>
      </c>
      <c r="Y56" s="8">
        <f>AVERAGE(O56:T56)</f>
      </c>
      <c r="Z56" s="8">
        <f>AVERAGE(L56:T56)</f>
      </c>
      <c r="AA56" s="4">
        <f>IFERROR((X56*2)/(Y56+Z56), 0)</f>
      </c>
      <c r="AB56" s="4">
        <f>IFERROR(W56/SUM(E56:H56), 0)</f>
      </c>
      <c r="AC56" s="4">
        <f>IFERROR(W56/SUM(E56:H56), 0)</f>
      </c>
      <c r="AD56" s="4">
        <f>IFERROR(T56/H56, 0)</f>
      </c>
    </row>
    <row r="57" ht="20" customHeight="1" spans="1:30" x14ac:dyDescent="0.25">
      <c r="A57">
        <v>54</v>
      </c>
      <c r="B57" t="s">
        <v>118</v>
      </c>
      <c r="C57" t="s">
        <v>370</v>
      </c>
      <c r="D57" s="2" t="s">
        <v>118</v>
      </c>
      <c r="E57" s="8">
        <f>SUMIFS('Data nguồn'!H:H, 'Data nguồn'!D:D, $D57, 'Data nguồn'!F:F, $B$1, 'Data nguồn'!C:C, E$3)</f>
      </c>
      <c r="F57" s="8">
        <f>SUMIFS('Data nguồn'!H:H, 'Data nguồn'!D:D, $D57, 'Data nguồn'!F:F, $B$1, 'Data nguồn'!C:C, F$3)</f>
      </c>
      <c r="G57" s="8">
        <f>SUMIFS('Data nguồn'!H:H, 'Data nguồn'!D:D, $D57, 'Data nguồn'!F:F, $B$1, 'Data nguồn'!C:C, G$3)</f>
      </c>
      <c r="H57" s="8">
        <f>SUMIFS('Data nguồn'!H:H, 'Data nguồn'!D:D, $D57, 'Data nguồn'!F:F, $B$1, 'Data nguồn'!C:C, H$3)</f>
      </c>
      <c r="I57" s="8">
        <f>SUMIFS('Data nguồn'!H:H, 'Data nguồn'!D:D, $D57, 'Data nguồn'!F:F, $B$1, 'Data nguồn'!C:C, I$3)</f>
      </c>
      <c r="J57" s="8">
        <f>SUMIFS('Data nguồn'!H:H, 'Data nguồn'!D:D, $D57, 'Data nguồn'!F:F, $B$1, 'Data nguồn'!C:C, J$3)</f>
      </c>
      <c r="K57" s="8">
        <f>SUMIFS('Data nguồn'!H:H, 'Data nguồn'!D:D, $D57, 'Data nguồn'!F:F, $B$1, 'Data nguồn'!C:C, K$3)</f>
      </c>
      <c r="L57" s="8">
        <f>SUMIFS('Data nguồn'!H:H, 'Data nguồn'!D:D, $D57, 'Data nguồn'!F:F, $B$1, 'Data nguồn'!C:C, L$3)</f>
      </c>
      <c r="M57" s="8">
        <f>SUMIFS('Data nguồn'!H:H, 'Data nguồn'!D:D, $D57, 'Data nguồn'!F:F, $B$1, 'Data nguồn'!C:C, M$3)</f>
      </c>
      <c r="N57" s="8">
        <f>SUMIFS('Data nguồn'!H:H, 'Data nguồn'!D:D, $D57, 'Data nguồn'!F:F, $B$1, 'Data nguồn'!C:C, N$3)</f>
      </c>
      <c r="O57" s="8">
        <f>SUMIFS('Data nguồn'!H:H, 'Data nguồn'!D:D, $D57, 'Data nguồn'!F:F, $B$1, 'Data nguồn'!C:C, O$3)</f>
      </c>
      <c r="P57" s="8">
        <f>SUMIFS('Data nguồn'!H:H, 'Data nguồn'!D:D, $D57, 'Data nguồn'!F:F, $B$1, 'Data nguồn'!C:C, P$3)</f>
      </c>
      <c r="Q57" s="8">
        <f>SUMIFS('Data nguồn'!H:H, 'Data nguồn'!D:D, $D57, 'Data nguồn'!F:F, $B$1, 'Data nguồn'!C:C, Q$3)</f>
      </c>
      <c r="R57" s="8">
        <f>SUMIFS('Data nguồn'!H:H, 'Data nguồn'!D:D, $D57, 'Data nguồn'!F:F, $B$1, 'Data nguồn'!C:C, R$3)</f>
      </c>
      <c r="S57" s="8">
        <f>SUMIFS('Data nguồn'!H:H, 'Data nguồn'!D:D, $D57, 'Data nguồn'!F:F, $B$1, 'Data nguồn'!C:C, S$3)</f>
      </c>
      <c r="T57" s="8">
        <f>SUMIFS('Data nguồn'!H:H, 'Data nguồn'!D:D, $D57, 'Data nguồn'!F:F, $B$1, 'Data nguồn'!C:C, T$3)</f>
      </c>
      <c r="V57" s="8">
        <f>SUM(E57:P57)</f>
      </c>
      <c r="W57" s="8">
        <f>SUM(Q57:T57)</f>
      </c>
      <c r="X57" s="8">
        <f>AVERAGE(R57:T57)</f>
      </c>
      <c r="Y57" s="8">
        <f>AVERAGE(O57:T57)</f>
      </c>
      <c r="Z57" s="8">
        <f>AVERAGE(L57:T57)</f>
      </c>
      <c r="AA57" s="4">
        <f>IFERROR((X57*2)/(Y57+Z57), 0)</f>
      </c>
      <c r="AB57" s="4">
        <f>IFERROR(W57/SUM(E57:H57), 0)</f>
      </c>
      <c r="AC57" s="4">
        <f>IFERROR(W57/SUM(E57:H57), 0)</f>
      </c>
      <c r="AD57" s="4">
        <f>IFERROR(T57/H57, 0)</f>
      </c>
    </row>
    <row r="58" ht="20" customHeight="1" spans="1:30" x14ac:dyDescent="0.25">
      <c r="A58">
        <v>55</v>
      </c>
      <c r="B58" t="s">
        <v>119</v>
      </c>
      <c r="C58" t="s">
        <v>370</v>
      </c>
      <c r="D58" s="2" t="s">
        <v>119</v>
      </c>
      <c r="E58" s="8">
        <f>SUMIFS('Data nguồn'!H:H, 'Data nguồn'!D:D, $D58, 'Data nguồn'!F:F, $B$1, 'Data nguồn'!C:C, E$3)</f>
      </c>
      <c r="F58" s="8">
        <f>SUMIFS('Data nguồn'!H:H, 'Data nguồn'!D:D, $D58, 'Data nguồn'!F:F, $B$1, 'Data nguồn'!C:C, F$3)</f>
      </c>
      <c r="G58" s="8">
        <f>SUMIFS('Data nguồn'!H:H, 'Data nguồn'!D:D, $D58, 'Data nguồn'!F:F, $B$1, 'Data nguồn'!C:C, G$3)</f>
      </c>
      <c r="H58" s="8">
        <f>SUMIFS('Data nguồn'!H:H, 'Data nguồn'!D:D, $D58, 'Data nguồn'!F:F, $B$1, 'Data nguồn'!C:C, H$3)</f>
      </c>
      <c r="I58" s="8">
        <f>SUMIFS('Data nguồn'!H:H, 'Data nguồn'!D:D, $D58, 'Data nguồn'!F:F, $B$1, 'Data nguồn'!C:C, I$3)</f>
      </c>
      <c r="J58" s="8">
        <f>SUMIFS('Data nguồn'!H:H, 'Data nguồn'!D:D, $D58, 'Data nguồn'!F:F, $B$1, 'Data nguồn'!C:C, J$3)</f>
      </c>
      <c r="K58" s="8">
        <f>SUMIFS('Data nguồn'!H:H, 'Data nguồn'!D:D, $D58, 'Data nguồn'!F:F, $B$1, 'Data nguồn'!C:C, K$3)</f>
      </c>
      <c r="L58" s="8">
        <f>SUMIFS('Data nguồn'!H:H, 'Data nguồn'!D:D, $D58, 'Data nguồn'!F:F, $B$1, 'Data nguồn'!C:C, L$3)</f>
      </c>
      <c r="M58" s="8">
        <f>SUMIFS('Data nguồn'!H:H, 'Data nguồn'!D:D, $D58, 'Data nguồn'!F:F, $B$1, 'Data nguồn'!C:C, M$3)</f>
      </c>
      <c r="N58" s="8">
        <f>SUMIFS('Data nguồn'!H:H, 'Data nguồn'!D:D, $D58, 'Data nguồn'!F:F, $B$1, 'Data nguồn'!C:C, N$3)</f>
      </c>
      <c r="O58" s="8">
        <f>SUMIFS('Data nguồn'!H:H, 'Data nguồn'!D:D, $D58, 'Data nguồn'!F:F, $B$1, 'Data nguồn'!C:C, O$3)</f>
      </c>
      <c r="P58" s="8">
        <f>SUMIFS('Data nguồn'!H:H, 'Data nguồn'!D:D, $D58, 'Data nguồn'!F:F, $B$1, 'Data nguồn'!C:C, P$3)</f>
      </c>
      <c r="Q58" s="8">
        <f>SUMIFS('Data nguồn'!H:H, 'Data nguồn'!D:D, $D58, 'Data nguồn'!F:F, $B$1, 'Data nguồn'!C:C, Q$3)</f>
      </c>
      <c r="R58" s="8">
        <f>SUMIFS('Data nguồn'!H:H, 'Data nguồn'!D:D, $D58, 'Data nguồn'!F:F, $B$1, 'Data nguồn'!C:C, R$3)</f>
      </c>
      <c r="S58" s="8">
        <f>SUMIFS('Data nguồn'!H:H, 'Data nguồn'!D:D, $D58, 'Data nguồn'!F:F, $B$1, 'Data nguồn'!C:C, S$3)</f>
      </c>
      <c r="T58" s="8">
        <f>SUMIFS('Data nguồn'!H:H, 'Data nguồn'!D:D, $D58, 'Data nguồn'!F:F, $B$1, 'Data nguồn'!C:C, T$3)</f>
      </c>
      <c r="V58" s="8">
        <f>SUM(E58:P58)</f>
      </c>
      <c r="W58" s="8">
        <f>SUM(Q58:T58)</f>
      </c>
      <c r="X58" s="8">
        <f>AVERAGE(R58:T58)</f>
      </c>
      <c r="Y58" s="8">
        <f>AVERAGE(O58:T58)</f>
      </c>
      <c r="Z58" s="8">
        <f>AVERAGE(L58:T58)</f>
      </c>
      <c r="AA58" s="4">
        <f>IFERROR((X58*2)/(Y58+Z58), 0)</f>
      </c>
      <c r="AB58" s="4">
        <f>IFERROR(W58/SUM(E58:H58), 0)</f>
      </c>
      <c r="AC58" s="4">
        <f>IFERROR(W58/SUM(E58:H58), 0)</f>
      </c>
      <c r="AD58" s="4">
        <f>IFERROR(T58/H58, 0)</f>
      </c>
    </row>
    <row r="59" ht="20" customHeight="1" spans="1:30" x14ac:dyDescent="0.25">
      <c r="A59">
        <v>56</v>
      </c>
      <c r="B59" t="s">
        <v>120</v>
      </c>
      <c r="C59" t="s">
        <v>370</v>
      </c>
      <c r="D59" s="2" t="s">
        <v>120</v>
      </c>
      <c r="E59" s="8">
        <f>SUMIFS('Data nguồn'!H:H, 'Data nguồn'!D:D, $D59, 'Data nguồn'!F:F, $B$1, 'Data nguồn'!C:C, E$3)</f>
      </c>
      <c r="F59" s="8">
        <f>SUMIFS('Data nguồn'!H:H, 'Data nguồn'!D:D, $D59, 'Data nguồn'!F:F, $B$1, 'Data nguồn'!C:C, F$3)</f>
      </c>
      <c r="G59" s="8">
        <f>SUMIFS('Data nguồn'!H:H, 'Data nguồn'!D:D, $D59, 'Data nguồn'!F:F, $B$1, 'Data nguồn'!C:C, G$3)</f>
      </c>
      <c r="H59" s="8">
        <f>SUMIFS('Data nguồn'!H:H, 'Data nguồn'!D:D, $D59, 'Data nguồn'!F:F, $B$1, 'Data nguồn'!C:C, H$3)</f>
      </c>
      <c r="I59" s="8">
        <f>SUMIFS('Data nguồn'!H:H, 'Data nguồn'!D:D, $D59, 'Data nguồn'!F:F, $B$1, 'Data nguồn'!C:C, I$3)</f>
      </c>
      <c r="J59" s="8">
        <f>SUMIFS('Data nguồn'!H:H, 'Data nguồn'!D:D, $D59, 'Data nguồn'!F:F, $B$1, 'Data nguồn'!C:C, J$3)</f>
      </c>
      <c r="K59" s="8">
        <f>SUMIFS('Data nguồn'!H:H, 'Data nguồn'!D:D, $D59, 'Data nguồn'!F:F, $B$1, 'Data nguồn'!C:C, K$3)</f>
      </c>
      <c r="L59" s="8">
        <f>SUMIFS('Data nguồn'!H:H, 'Data nguồn'!D:D, $D59, 'Data nguồn'!F:F, $B$1, 'Data nguồn'!C:C, L$3)</f>
      </c>
      <c r="M59" s="8">
        <f>SUMIFS('Data nguồn'!H:H, 'Data nguồn'!D:D, $D59, 'Data nguồn'!F:F, $B$1, 'Data nguồn'!C:C, M$3)</f>
      </c>
      <c r="N59" s="8">
        <f>SUMIFS('Data nguồn'!H:H, 'Data nguồn'!D:D, $D59, 'Data nguồn'!F:F, $B$1, 'Data nguồn'!C:C, N$3)</f>
      </c>
      <c r="O59" s="8">
        <f>SUMIFS('Data nguồn'!H:H, 'Data nguồn'!D:D, $D59, 'Data nguồn'!F:F, $B$1, 'Data nguồn'!C:C, O$3)</f>
      </c>
      <c r="P59" s="8">
        <f>SUMIFS('Data nguồn'!H:H, 'Data nguồn'!D:D, $D59, 'Data nguồn'!F:F, $B$1, 'Data nguồn'!C:C, P$3)</f>
      </c>
      <c r="Q59" s="8">
        <f>SUMIFS('Data nguồn'!H:H, 'Data nguồn'!D:D, $D59, 'Data nguồn'!F:F, $B$1, 'Data nguồn'!C:C, Q$3)</f>
      </c>
      <c r="R59" s="8">
        <f>SUMIFS('Data nguồn'!H:H, 'Data nguồn'!D:D, $D59, 'Data nguồn'!F:F, $B$1, 'Data nguồn'!C:C, R$3)</f>
      </c>
      <c r="S59" s="8">
        <f>SUMIFS('Data nguồn'!H:H, 'Data nguồn'!D:D, $D59, 'Data nguồn'!F:F, $B$1, 'Data nguồn'!C:C, S$3)</f>
      </c>
      <c r="T59" s="8">
        <f>SUMIFS('Data nguồn'!H:H, 'Data nguồn'!D:D, $D59, 'Data nguồn'!F:F, $B$1, 'Data nguồn'!C:C, T$3)</f>
      </c>
      <c r="V59" s="8">
        <f>SUM(E59:P59)</f>
      </c>
      <c r="W59" s="8">
        <f>SUM(Q59:T59)</f>
      </c>
      <c r="X59" s="8">
        <f>AVERAGE(R59:T59)</f>
      </c>
      <c r="Y59" s="8">
        <f>AVERAGE(O59:T59)</f>
      </c>
      <c r="Z59" s="8">
        <f>AVERAGE(L59:T59)</f>
      </c>
      <c r="AA59" s="4">
        <f>IFERROR((X59*2)/(Y59+Z59), 0)</f>
      </c>
      <c r="AB59" s="4">
        <f>IFERROR(W59/SUM(E59:H59), 0)</f>
      </c>
      <c r="AC59" s="4">
        <f>IFERROR(W59/SUM(E59:H59), 0)</f>
      </c>
      <c r="AD59" s="4">
        <f>IFERROR(T59/H59, 0)</f>
      </c>
    </row>
    <row r="60" ht="20" customHeight="1" spans="1:30" x14ac:dyDescent="0.25">
      <c r="A60">
        <v>57</v>
      </c>
      <c r="B60" t="s">
        <v>121</v>
      </c>
      <c r="C60" t="s">
        <v>370</v>
      </c>
      <c r="D60" s="2" t="s">
        <v>121</v>
      </c>
      <c r="E60" s="8">
        <f>SUMIFS('Data nguồn'!H:H, 'Data nguồn'!D:D, $D60, 'Data nguồn'!F:F, $B$1, 'Data nguồn'!C:C, E$3)</f>
      </c>
      <c r="F60" s="8">
        <f>SUMIFS('Data nguồn'!H:H, 'Data nguồn'!D:D, $D60, 'Data nguồn'!F:F, $B$1, 'Data nguồn'!C:C, F$3)</f>
      </c>
      <c r="G60" s="8">
        <f>SUMIFS('Data nguồn'!H:H, 'Data nguồn'!D:D, $D60, 'Data nguồn'!F:F, $B$1, 'Data nguồn'!C:C, G$3)</f>
      </c>
      <c r="H60" s="8">
        <f>SUMIFS('Data nguồn'!H:H, 'Data nguồn'!D:D, $D60, 'Data nguồn'!F:F, $B$1, 'Data nguồn'!C:C, H$3)</f>
      </c>
      <c r="I60" s="8">
        <f>SUMIFS('Data nguồn'!H:H, 'Data nguồn'!D:D, $D60, 'Data nguồn'!F:F, $B$1, 'Data nguồn'!C:C, I$3)</f>
      </c>
      <c r="J60" s="8">
        <f>SUMIFS('Data nguồn'!H:H, 'Data nguồn'!D:D, $D60, 'Data nguồn'!F:F, $B$1, 'Data nguồn'!C:C, J$3)</f>
      </c>
      <c r="K60" s="8">
        <f>SUMIFS('Data nguồn'!H:H, 'Data nguồn'!D:D, $D60, 'Data nguồn'!F:F, $B$1, 'Data nguồn'!C:C, K$3)</f>
      </c>
      <c r="L60" s="8">
        <f>SUMIFS('Data nguồn'!H:H, 'Data nguồn'!D:D, $D60, 'Data nguồn'!F:F, $B$1, 'Data nguồn'!C:C, L$3)</f>
      </c>
      <c r="M60" s="8">
        <f>SUMIFS('Data nguồn'!H:H, 'Data nguồn'!D:D, $D60, 'Data nguồn'!F:F, $B$1, 'Data nguồn'!C:C, M$3)</f>
      </c>
      <c r="N60" s="8">
        <f>SUMIFS('Data nguồn'!H:H, 'Data nguồn'!D:D, $D60, 'Data nguồn'!F:F, $B$1, 'Data nguồn'!C:C, N$3)</f>
      </c>
      <c r="O60" s="8">
        <f>SUMIFS('Data nguồn'!H:H, 'Data nguồn'!D:D, $D60, 'Data nguồn'!F:F, $B$1, 'Data nguồn'!C:C, O$3)</f>
      </c>
      <c r="P60" s="8">
        <f>SUMIFS('Data nguồn'!H:H, 'Data nguồn'!D:D, $D60, 'Data nguồn'!F:F, $B$1, 'Data nguồn'!C:C, P$3)</f>
      </c>
      <c r="Q60" s="8">
        <f>SUMIFS('Data nguồn'!H:H, 'Data nguồn'!D:D, $D60, 'Data nguồn'!F:F, $B$1, 'Data nguồn'!C:C, Q$3)</f>
      </c>
      <c r="R60" s="8">
        <f>SUMIFS('Data nguồn'!H:H, 'Data nguồn'!D:D, $D60, 'Data nguồn'!F:F, $B$1, 'Data nguồn'!C:C, R$3)</f>
      </c>
      <c r="S60" s="8">
        <f>SUMIFS('Data nguồn'!H:H, 'Data nguồn'!D:D, $D60, 'Data nguồn'!F:F, $B$1, 'Data nguồn'!C:C, S$3)</f>
      </c>
      <c r="T60" s="8">
        <f>SUMIFS('Data nguồn'!H:H, 'Data nguồn'!D:D, $D60, 'Data nguồn'!F:F, $B$1, 'Data nguồn'!C:C, T$3)</f>
      </c>
      <c r="V60" s="8">
        <f>SUM(E60:P60)</f>
      </c>
      <c r="W60" s="8">
        <f>SUM(Q60:T60)</f>
      </c>
      <c r="X60" s="8">
        <f>AVERAGE(R60:T60)</f>
      </c>
      <c r="Y60" s="8">
        <f>AVERAGE(O60:T60)</f>
      </c>
      <c r="Z60" s="8">
        <f>AVERAGE(L60:T60)</f>
      </c>
      <c r="AA60" s="4">
        <f>IFERROR((X60*2)/(Y60+Z60), 0)</f>
      </c>
      <c r="AB60" s="4">
        <f>IFERROR(W60/SUM(E60:H60), 0)</f>
      </c>
      <c r="AC60" s="4">
        <f>IFERROR(W60/SUM(E60:H60), 0)</f>
      </c>
      <c r="AD60" s="4">
        <f>IFERROR(T60/H60, 0)</f>
      </c>
    </row>
    <row r="61" ht="20" customHeight="1" spans="1:30" x14ac:dyDescent="0.25">
      <c r="A61">
        <v>58</v>
      </c>
      <c r="B61" t="s">
        <v>122</v>
      </c>
      <c r="C61" t="s">
        <v>370</v>
      </c>
      <c r="D61" s="2" t="s">
        <v>122</v>
      </c>
      <c r="E61" s="8">
        <f>SUMIFS('Data nguồn'!H:H, 'Data nguồn'!D:D, $D61, 'Data nguồn'!F:F, $B$1, 'Data nguồn'!C:C, E$3)</f>
      </c>
      <c r="F61" s="8">
        <f>SUMIFS('Data nguồn'!H:H, 'Data nguồn'!D:D, $D61, 'Data nguồn'!F:F, $B$1, 'Data nguồn'!C:C, F$3)</f>
      </c>
      <c r="G61" s="8">
        <f>SUMIFS('Data nguồn'!H:H, 'Data nguồn'!D:D, $D61, 'Data nguồn'!F:F, $B$1, 'Data nguồn'!C:C, G$3)</f>
      </c>
      <c r="H61" s="8">
        <f>SUMIFS('Data nguồn'!H:H, 'Data nguồn'!D:D, $D61, 'Data nguồn'!F:F, $B$1, 'Data nguồn'!C:C, H$3)</f>
      </c>
      <c r="I61" s="8">
        <f>SUMIFS('Data nguồn'!H:H, 'Data nguồn'!D:D, $D61, 'Data nguồn'!F:F, $B$1, 'Data nguồn'!C:C, I$3)</f>
      </c>
      <c r="J61" s="8">
        <f>SUMIFS('Data nguồn'!H:H, 'Data nguồn'!D:D, $D61, 'Data nguồn'!F:F, $B$1, 'Data nguồn'!C:C, J$3)</f>
      </c>
      <c r="K61" s="8">
        <f>SUMIFS('Data nguồn'!H:H, 'Data nguồn'!D:D, $D61, 'Data nguồn'!F:F, $B$1, 'Data nguồn'!C:C, K$3)</f>
      </c>
      <c r="L61" s="8">
        <f>SUMIFS('Data nguồn'!H:H, 'Data nguồn'!D:D, $D61, 'Data nguồn'!F:F, $B$1, 'Data nguồn'!C:C, L$3)</f>
      </c>
      <c r="M61" s="8">
        <f>SUMIFS('Data nguồn'!H:H, 'Data nguồn'!D:D, $D61, 'Data nguồn'!F:F, $B$1, 'Data nguồn'!C:C, M$3)</f>
      </c>
      <c r="N61" s="8">
        <f>SUMIFS('Data nguồn'!H:H, 'Data nguồn'!D:D, $D61, 'Data nguồn'!F:F, $B$1, 'Data nguồn'!C:C, N$3)</f>
      </c>
      <c r="O61" s="8">
        <f>SUMIFS('Data nguồn'!H:H, 'Data nguồn'!D:D, $D61, 'Data nguồn'!F:F, $B$1, 'Data nguồn'!C:C, O$3)</f>
      </c>
      <c r="P61" s="8">
        <f>SUMIFS('Data nguồn'!H:H, 'Data nguồn'!D:D, $D61, 'Data nguồn'!F:F, $B$1, 'Data nguồn'!C:C, P$3)</f>
      </c>
      <c r="Q61" s="8">
        <f>SUMIFS('Data nguồn'!H:H, 'Data nguồn'!D:D, $D61, 'Data nguồn'!F:F, $B$1, 'Data nguồn'!C:C, Q$3)</f>
      </c>
      <c r="R61" s="8">
        <f>SUMIFS('Data nguồn'!H:H, 'Data nguồn'!D:D, $D61, 'Data nguồn'!F:F, $B$1, 'Data nguồn'!C:C, R$3)</f>
      </c>
      <c r="S61" s="8">
        <f>SUMIFS('Data nguồn'!H:H, 'Data nguồn'!D:D, $D61, 'Data nguồn'!F:F, $B$1, 'Data nguồn'!C:C, S$3)</f>
      </c>
      <c r="T61" s="8">
        <f>SUMIFS('Data nguồn'!H:H, 'Data nguồn'!D:D, $D61, 'Data nguồn'!F:F, $B$1, 'Data nguồn'!C:C, T$3)</f>
      </c>
      <c r="V61" s="8">
        <f>SUM(E61:P61)</f>
      </c>
      <c r="W61" s="8">
        <f>SUM(Q61:T61)</f>
      </c>
      <c r="X61" s="8">
        <f>AVERAGE(R61:T61)</f>
      </c>
      <c r="Y61" s="8">
        <f>AVERAGE(O61:T61)</f>
      </c>
      <c r="Z61" s="8">
        <f>AVERAGE(L61:T61)</f>
      </c>
      <c r="AA61" s="4">
        <f>IFERROR((X61*2)/(Y61+Z61), 0)</f>
      </c>
      <c r="AB61" s="4">
        <f>IFERROR(W61/SUM(E61:H61), 0)</f>
      </c>
      <c r="AC61" s="4">
        <f>IFERROR(W61/SUM(E61:H61), 0)</f>
      </c>
      <c r="AD61" s="4">
        <f>IFERROR(T61/H61, 0)</f>
      </c>
    </row>
    <row r="62" ht="20" customHeight="1" spans="1:30" x14ac:dyDescent="0.25">
      <c r="A62">
        <v>59</v>
      </c>
      <c r="B62" t="s">
        <v>123</v>
      </c>
      <c r="C62" t="s">
        <v>370</v>
      </c>
      <c r="D62" s="2" t="s">
        <v>123</v>
      </c>
      <c r="E62" s="8">
        <f>SUMIFS('Data nguồn'!H:H, 'Data nguồn'!D:D, $D62, 'Data nguồn'!F:F, $B$1, 'Data nguồn'!C:C, E$3)</f>
      </c>
      <c r="F62" s="8">
        <f>SUMIFS('Data nguồn'!H:H, 'Data nguồn'!D:D, $D62, 'Data nguồn'!F:F, $B$1, 'Data nguồn'!C:C, F$3)</f>
      </c>
      <c r="G62" s="8">
        <f>SUMIFS('Data nguồn'!H:H, 'Data nguồn'!D:D, $D62, 'Data nguồn'!F:F, $B$1, 'Data nguồn'!C:C, G$3)</f>
      </c>
      <c r="H62" s="8">
        <f>SUMIFS('Data nguồn'!H:H, 'Data nguồn'!D:D, $D62, 'Data nguồn'!F:F, $B$1, 'Data nguồn'!C:C, H$3)</f>
      </c>
      <c r="I62" s="8">
        <f>SUMIFS('Data nguồn'!H:H, 'Data nguồn'!D:D, $D62, 'Data nguồn'!F:F, $B$1, 'Data nguồn'!C:C, I$3)</f>
      </c>
      <c r="J62" s="8">
        <f>SUMIFS('Data nguồn'!H:H, 'Data nguồn'!D:D, $D62, 'Data nguồn'!F:F, $B$1, 'Data nguồn'!C:C, J$3)</f>
      </c>
      <c r="K62" s="8">
        <f>SUMIFS('Data nguồn'!H:H, 'Data nguồn'!D:D, $D62, 'Data nguồn'!F:F, $B$1, 'Data nguồn'!C:C, K$3)</f>
      </c>
      <c r="L62" s="8">
        <f>SUMIFS('Data nguồn'!H:H, 'Data nguồn'!D:D, $D62, 'Data nguồn'!F:F, $B$1, 'Data nguồn'!C:C, L$3)</f>
      </c>
      <c r="M62" s="8">
        <f>SUMIFS('Data nguồn'!H:H, 'Data nguồn'!D:D, $D62, 'Data nguồn'!F:F, $B$1, 'Data nguồn'!C:C, M$3)</f>
      </c>
      <c r="N62" s="8">
        <f>SUMIFS('Data nguồn'!H:H, 'Data nguồn'!D:D, $D62, 'Data nguồn'!F:F, $B$1, 'Data nguồn'!C:C, N$3)</f>
      </c>
      <c r="O62" s="8">
        <f>SUMIFS('Data nguồn'!H:H, 'Data nguồn'!D:D, $D62, 'Data nguồn'!F:F, $B$1, 'Data nguồn'!C:C, O$3)</f>
      </c>
      <c r="P62" s="8">
        <f>SUMIFS('Data nguồn'!H:H, 'Data nguồn'!D:D, $D62, 'Data nguồn'!F:F, $B$1, 'Data nguồn'!C:C, P$3)</f>
      </c>
      <c r="Q62" s="8">
        <f>SUMIFS('Data nguồn'!H:H, 'Data nguồn'!D:D, $D62, 'Data nguồn'!F:F, $B$1, 'Data nguồn'!C:C, Q$3)</f>
      </c>
      <c r="R62" s="8">
        <f>SUMIFS('Data nguồn'!H:H, 'Data nguồn'!D:D, $D62, 'Data nguồn'!F:F, $B$1, 'Data nguồn'!C:C, R$3)</f>
      </c>
      <c r="S62" s="8">
        <f>SUMIFS('Data nguồn'!H:H, 'Data nguồn'!D:D, $D62, 'Data nguồn'!F:F, $B$1, 'Data nguồn'!C:C, S$3)</f>
      </c>
      <c r="T62" s="8">
        <f>SUMIFS('Data nguồn'!H:H, 'Data nguồn'!D:D, $D62, 'Data nguồn'!F:F, $B$1, 'Data nguồn'!C:C, T$3)</f>
      </c>
      <c r="V62" s="8">
        <f>SUM(E62:P62)</f>
      </c>
      <c r="W62" s="8">
        <f>SUM(Q62:T62)</f>
      </c>
      <c r="X62" s="8">
        <f>AVERAGE(R62:T62)</f>
      </c>
      <c r="Y62" s="8">
        <f>AVERAGE(O62:T62)</f>
      </c>
      <c r="Z62" s="8">
        <f>AVERAGE(L62:T62)</f>
      </c>
      <c r="AA62" s="4">
        <f>IFERROR((X62*2)/(Y62+Z62), 0)</f>
      </c>
      <c r="AB62" s="4">
        <f>IFERROR(W62/SUM(E62:H62), 0)</f>
      </c>
      <c r="AC62" s="4">
        <f>IFERROR(W62/SUM(E62:H62), 0)</f>
      </c>
      <c r="AD62" s="4">
        <f>IFERROR(T62/H62, 0)</f>
      </c>
    </row>
    <row r="63" ht="20" customHeight="1" spans="1:30" x14ac:dyDescent="0.25">
      <c r="A63">
        <v>60</v>
      </c>
      <c r="B63" t="s">
        <v>124</v>
      </c>
      <c r="C63" t="s">
        <v>367</v>
      </c>
      <c r="D63" s="2" t="s">
        <v>124</v>
      </c>
      <c r="E63" s="8">
        <f>SUMIFS('Data nguồn'!H:H, 'Data nguồn'!D:D, $D63, 'Data nguồn'!F:F, $B$1, 'Data nguồn'!C:C, E$3)</f>
      </c>
      <c r="F63" s="8">
        <f>SUMIFS('Data nguồn'!H:H, 'Data nguồn'!D:D, $D63, 'Data nguồn'!F:F, $B$1, 'Data nguồn'!C:C, F$3)</f>
      </c>
      <c r="G63" s="8">
        <f>SUMIFS('Data nguồn'!H:H, 'Data nguồn'!D:D, $D63, 'Data nguồn'!F:F, $B$1, 'Data nguồn'!C:C, G$3)</f>
      </c>
      <c r="H63" s="8">
        <f>SUMIFS('Data nguồn'!H:H, 'Data nguồn'!D:D, $D63, 'Data nguồn'!F:F, $B$1, 'Data nguồn'!C:C, H$3)</f>
      </c>
      <c r="I63" s="8">
        <f>SUMIFS('Data nguồn'!H:H, 'Data nguồn'!D:D, $D63, 'Data nguồn'!F:F, $B$1, 'Data nguồn'!C:C, I$3)</f>
      </c>
      <c r="J63" s="8">
        <f>SUMIFS('Data nguồn'!H:H, 'Data nguồn'!D:D, $D63, 'Data nguồn'!F:F, $B$1, 'Data nguồn'!C:C, J$3)</f>
      </c>
      <c r="K63" s="8">
        <f>SUMIFS('Data nguồn'!H:H, 'Data nguồn'!D:D, $D63, 'Data nguồn'!F:F, $B$1, 'Data nguồn'!C:C, K$3)</f>
      </c>
      <c r="L63" s="8">
        <f>SUMIFS('Data nguồn'!H:H, 'Data nguồn'!D:D, $D63, 'Data nguồn'!F:F, $B$1, 'Data nguồn'!C:C, L$3)</f>
      </c>
      <c r="M63" s="8">
        <f>SUMIFS('Data nguồn'!H:H, 'Data nguồn'!D:D, $D63, 'Data nguồn'!F:F, $B$1, 'Data nguồn'!C:C, M$3)</f>
      </c>
      <c r="N63" s="8">
        <f>SUMIFS('Data nguồn'!H:H, 'Data nguồn'!D:D, $D63, 'Data nguồn'!F:F, $B$1, 'Data nguồn'!C:C, N$3)</f>
      </c>
      <c r="O63" s="8">
        <f>SUMIFS('Data nguồn'!H:H, 'Data nguồn'!D:D, $D63, 'Data nguồn'!F:F, $B$1, 'Data nguồn'!C:C, O$3)</f>
      </c>
      <c r="P63" s="8">
        <f>SUMIFS('Data nguồn'!H:H, 'Data nguồn'!D:D, $D63, 'Data nguồn'!F:F, $B$1, 'Data nguồn'!C:C, P$3)</f>
      </c>
      <c r="Q63" s="8">
        <f>SUMIFS('Data nguồn'!H:H, 'Data nguồn'!D:D, $D63, 'Data nguồn'!F:F, $B$1, 'Data nguồn'!C:C, Q$3)</f>
      </c>
      <c r="R63" s="8">
        <f>SUMIFS('Data nguồn'!H:H, 'Data nguồn'!D:D, $D63, 'Data nguồn'!F:F, $B$1, 'Data nguồn'!C:C, R$3)</f>
      </c>
      <c r="S63" s="8">
        <f>SUMIFS('Data nguồn'!H:H, 'Data nguồn'!D:D, $D63, 'Data nguồn'!F:F, $B$1, 'Data nguồn'!C:C, S$3)</f>
      </c>
      <c r="T63" s="8">
        <f>SUMIFS('Data nguồn'!H:H, 'Data nguồn'!D:D, $D63, 'Data nguồn'!F:F, $B$1, 'Data nguồn'!C:C, T$3)</f>
      </c>
      <c r="V63" s="8">
        <f>SUM(E63:P63)</f>
      </c>
      <c r="W63" s="8">
        <f>SUM(Q63:T63)</f>
      </c>
      <c r="X63" s="8">
        <f>AVERAGE(R63:T63)</f>
      </c>
      <c r="Y63" s="8">
        <f>AVERAGE(O63:T63)</f>
      </c>
      <c r="Z63" s="8">
        <f>AVERAGE(L63:T63)</f>
      </c>
      <c r="AA63" s="4">
        <f>IFERROR((X63*2)/(Y63+Z63), 0)</f>
      </c>
      <c r="AB63" s="4">
        <f>IFERROR(W63/SUM(E63:H63), 0)</f>
      </c>
      <c r="AC63" s="4">
        <f>IFERROR(W63/SUM(E63:H63), 0)</f>
      </c>
      <c r="AD63" s="4">
        <f>IFERROR(T63/H63, 0)</f>
      </c>
    </row>
    <row r="64" ht="20" customHeight="1" spans="1:30" x14ac:dyDescent="0.25">
      <c r="A64">
        <v>61</v>
      </c>
      <c r="B64" t="s">
        <v>128</v>
      </c>
      <c r="C64" t="s">
        <v>367</v>
      </c>
      <c r="D64" s="2" t="s">
        <v>128</v>
      </c>
      <c r="E64" s="8">
        <f>SUMIFS('Data nguồn'!H:H, 'Data nguồn'!D:D, $D64, 'Data nguồn'!F:F, $B$1, 'Data nguồn'!C:C, E$3)</f>
      </c>
      <c r="F64" s="8">
        <f>SUMIFS('Data nguồn'!H:H, 'Data nguồn'!D:D, $D64, 'Data nguồn'!F:F, $B$1, 'Data nguồn'!C:C, F$3)</f>
      </c>
      <c r="G64" s="8">
        <f>SUMIFS('Data nguồn'!H:H, 'Data nguồn'!D:D, $D64, 'Data nguồn'!F:F, $B$1, 'Data nguồn'!C:C, G$3)</f>
      </c>
      <c r="H64" s="8">
        <f>SUMIFS('Data nguồn'!H:H, 'Data nguồn'!D:D, $D64, 'Data nguồn'!F:F, $B$1, 'Data nguồn'!C:C, H$3)</f>
      </c>
      <c r="I64" s="8">
        <f>SUMIFS('Data nguồn'!H:H, 'Data nguồn'!D:D, $D64, 'Data nguồn'!F:F, $B$1, 'Data nguồn'!C:C, I$3)</f>
      </c>
      <c r="J64" s="8">
        <f>SUMIFS('Data nguồn'!H:H, 'Data nguồn'!D:D, $D64, 'Data nguồn'!F:F, $B$1, 'Data nguồn'!C:C, J$3)</f>
      </c>
      <c r="K64" s="8">
        <f>SUMIFS('Data nguồn'!H:H, 'Data nguồn'!D:D, $D64, 'Data nguồn'!F:F, $B$1, 'Data nguồn'!C:C, K$3)</f>
      </c>
      <c r="L64" s="8">
        <f>SUMIFS('Data nguồn'!H:H, 'Data nguồn'!D:D, $D64, 'Data nguồn'!F:F, $B$1, 'Data nguồn'!C:C, L$3)</f>
      </c>
      <c r="M64" s="8">
        <f>SUMIFS('Data nguồn'!H:H, 'Data nguồn'!D:D, $D64, 'Data nguồn'!F:F, $B$1, 'Data nguồn'!C:C, M$3)</f>
      </c>
      <c r="N64" s="8">
        <f>SUMIFS('Data nguồn'!H:H, 'Data nguồn'!D:D, $D64, 'Data nguồn'!F:F, $B$1, 'Data nguồn'!C:C, N$3)</f>
      </c>
      <c r="O64" s="8">
        <f>SUMIFS('Data nguồn'!H:H, 'Data nguồn'!D:D, $D64, 'Data nguồn'!F:F, $B$1, 'Data nguồn'!C:C, O$3)</f>
      </c>
      <c r="P64" s="8">
        <f>SUMIFS('Data nguồn'!H:H, 'Data nguồn'!D:D, $D64, 'Data nguồn'!F:F, $B$1, 'Data nguồn'!C:C, P$3)</f>
      </c>
      <c r="Q64" s="8">
        <f>SUMIFS('Data nguồn'!H:H, 'Data nguồn'!D:D, $D64, 'Data nguồn'!F:F, $B$1, 'Data nguồn'!C:C, Q$3)</f>
      </c>
      <c r="R64" s="8">
        <f>SUMIFS('Data nguồn'!H:H, 'Data nguồn'!D:D, $D64, 'Data nguồn'!F:F, $B$1, 'Data nguồn'!C:C, R$3)</f>
      </c>
      <c r="S64" s="8">
        <f>SUMIFS('Data nguồn'!H:H, 'Data nguồn'!D:D, $D64, 'Data nguồn'!F:F, $B$1, 'Data nguồn'!C:C, S$3)</f>
      </c>
      <c r="T64" s="8">
        <f>SUMIFS('Data nguồn'!H:H, 'Data nguồn'!D:D, $D64, 'Data nguồn'!F:F, $B$1, 'Data nguồn'!C:C, T$3)</f>
      </c>
      <c r="V64" s="8">
        <f>SUM(E64:P64)</f>
      </c>
      <c r="W64" s="8">
        <f>SUM(Q64:T64)</f>
      </c>
      <c r="X64" s="8">
        <f>AVERAGE(R64:T64)</f>
      </c>
      <c r="Y64" s="8">
        <f>AVERAGE(O64:T64)</f>
      </c>
      <c r="Z64" s="8">
        <f>AVERAGE(L64:T64)</f>
      </c>
      <c r="AA64" s="4">
        <f>IFERROR((X64*2)/(Y64+Z64), 0)</f>
      </c>
      <c r="AB64" s="4">
        <f>IFERROR(W64/SUM(E64:H64), 0)</f>
      </c>
      <c r="AC64" s="4">
        <f>IFERROR(W64/SUM(E64:H64), 0)</f>
      </c>
      <c r="AD64" s="4">
        <f>IFERROR(T64/H64, 0)</f>
      </c>
    </row>
    <row r="65" ht="20" customHeight="1" spans="1:30" x14ac:dyDescent="0.25">
      <c r="A65">
        <v>62</v>
      </c>
      <c r="B65" t="s">
        <v>129</v>
      </c>
      <c r="C65" t="s">
        <v>367</v>
      </c>
      <c r="D65" s="2" t="s">
        <v>129</v>
      </c>
      <c r="E65" s="8">
        <f>SUMIFS('Data nguồn'!H:H, 'Data nguồn'!D:D, $D65, 'Data nguồn'!F:F, $B$1, 'Data nguồn'!C:C, E$3)</f>
      </c>
      <c r="F65" s="8">
        <f>SUMIFS('Data nguồn'!H:H, 'Data nguồn'!D:D, $D65, 'Data nguồn'!F:F, $B$1, 'Data nguồn'!C:C, F$3)</f>
      </c>
      <c r="G65" s="8">
        <f>SUMIFS('Data nguồn'!H:H, 'Data nguồn'!D:D, $D65, 'Data nguồn'!F:F, $B$1, 'Data nguồn'!C:C, G$3)</f>
      </c>
      <c r="H65" s="8">
        <f>SUMIFS('Data nguồn'!H:H, 'Data nguồn'!D:D, $D65, 'Data nguồn'!F:F, $B$1, 'Data nguồn'!C:C, H$3)</f>
      </c>
      <c r="I65" s="8">
        <f>SUMIFS('Data nguồn'!H:H, 'Data nguồn'!D:D, $D65, 'Data nguồn'!F:F, $B$1, 'Data nguồn'!C:C, I$3)</f>
      </c>
      <c r="J65" s="8">
        <f>SUMIFS('Data nguồn'!H:H, 'Data nguồn'!D:D, $D65, 'Data nguồn'!F:F, $B$1, 'Data nguồn'!C:C, J$3)</f>
      </c>
      <c r="K65" s="8">
        <f>SUMIFS('Data nguồn'!H:H, 'Data nguồn'!D:D, $D65, 'Data nguồn'!F:F, $B$1, 'Data nguồn'!C:C, K$3)</f>
      </c>
      <c r="L65" s="8">
        <f>SUMIFS('Data nguồn'!H:H, 'Data nguồn'!D:D, $D65, 'Data nguồn'!F:F, $B$1, 'Data nguồn'!C:C, L$3)</f>
      </c>
      <c r="M65" s="8">
        <f>SUMIFS('Data nguồn'!H:H, 'Data nguồn'!D:D, $D65, 'Data nguồn'!F:F, $B$1, 'Data nguồn'!C:C, M$3)</f>
      </c>
      <c r="N65" s="8">
        <f>SUMIFS('Data nguồn'!H:H, 'Data nguồn'!D:D, $D65, 'Data nguồn'!F:F, $B$1, 'Data nguồn'!C:C, N$3)</f>
      </c>
      <c r="O65" s="8">
        <f>SUMIFS('Data nguồn'!H:H, 'Data nguồn'!D:D, $D65, 'Data nguồn'!F:F, $B$1, 'Data nguồn'!C:C, O$3)</f>
      </c>
      <c r="P65" s="8">
        <f>SUMIFS('Data nguồn'!H:H, 'Data nguồn'!D:D, $D65, 'Data nguồn'!F:F, $B$1, 'Data nguồn'!C:C, P$3)</f>
      </c>
      <c r="Q65" s="8">
        <f>SUMIFS('Data nguồn'!H:H, 'Data nguồn'!D:D, $D65, 'Data nguồn'!F:F, $B$1, 'Data nguồn'!C:C, Q$3)</f>
      </c>
      <c r="R65" s="8">
        <f>SUMIFS('Data nguồn'!H:H, 'Data nguồn'!D:D, $D65, 'Data nguồn'!F:F, $B$1, 'Data nguồn'!C:C, R$3)</f>
      </c>
      <c r="S65" s="8">
        <f>SUMIFS('Data nguồn'!H:H, 'Data nguồn'!D:D, $D65, 'Data nguồn'!F:F, $B$1, 'Data nguồn'!C:C, S$3)</f>
      </c>
      <c r="T65" s="8">
        <f>SUMIFS('Data nguồn'!H:H, 'Data nguồn'!D:D, $D65, 'Data nguồn'!F:F, $B$1, 'Data nguồn'!C:C, T$3)</f>
      </c>
      <c r="V65" s="8">
        <f>SUM(E65:P65)</f>
      </c>
      <c r="W65" s="8">
        <f>SUM(Q65:T65)</f>
      </c>
      <c r="X65" s="8">
        <f>AVERAGE(R65:T65)</f>
      </c>
      <c r="Y65" s="8">
        <f>AVERAGE(O65:T65)</f>
      </c>
      <c r="Z65" s="8">
        <f>AVERAGE(L65:T65)</f>
      </c>
      <c r="AA65" s="4">
        <f>IFERROR((X65*2)/(Y65+Z65), 0)</f>
      </c>
      <c r="AB65" s="4">
        <f>IFERROR(W65/SUM(E65:H65), 0)</f>
      </c>
      <c r="AC65" s="4">
        <f>IFERROR(W65/SUM(E65:H65), 0)</f>
      </c>
      <c r="AD65" s="4">
        <f>IFERROR(T65/H65, 0)</f>
      </c>
    </row>
    <row r="66" ht="20" customHeight="1" spans="1:30" x14ac:dyDescent="0.25">
      <c r="A66">
        <v>63</v>
      </c>
      <c r="B66" t="s">
        <v>130</v>
      </c>
      <c r="C66" t="s">
        <v>365</v>
      </c>
      <c r="D66" s="2" t="s">
        <v>130</v>
      </c>
      <c r="E66" s="8">
        <f>SUMIFS('Data nguồn'!H:H, 'Data nguồn'!D:D, $D66, 'Data nguồn'!F:F, $B$1, 'Data nguồn'!C:C, E$3)</f>
      </c>
      <c r="F66" s="8">
        <f>SUMIFS('Data nguồn'!H:H, 'Data nguồn'!D:D, $D66, 'Data nguồn'!F:F, $B$1, 'Data nguồn'!C:C, F$3)</f>
      </c>
      <c r="G66" s="8">
        <f>SUMIFS('Data nguồn'!H:H, 'Data nguồn'!D:D, $D66, 'Data nguồn'!F:F, $B$1, 'Data nguồn'!C:C, G$3)</f>
      </c>
      <c r="H66" s="8">
        <f>SUMIFS('Data nguồn'!H:H, 'Data nguồn'!D:D, $D66, 'Data nguồn'!F:F, $B$1, 'Data nguồn'!C:C, H$3)</f>
      </c>
      <c r="I66" s="8">
        <f>SUMIFS('Data nguồn'!H:H, 'Data nguồn'!D:D, $D66, 'Data nguồn'!F:F, $B$1, 'Data nguồn'!C:C, I$3)</f>
      </c>
      <c r="J66" s="8">
        <f>SUMIFS('Data nguồn'!H:H, 'Data nguồn'!D:D, $D66, 'Data nguồn'!F:F, $B$1, 'Data nguồn'!C:C, J$3)</f>
      </c>
      <c r="K66" s="8">
        <f>SUMIFS('Data nguồn'!H:H, 'Data nguồn'!D:D, $D66, 'Data nguồn'!F:F, $B$1, 'Data nguồn'!C:C, K$3)</f>
      </c>
      <c r="L66" s="8">
        <f>SUMIFS('Data nguồn'!H:H, 'Data nguồn'!D:D, $D66, 'Data nguồn'!F:F, $B$1, 'Data nguồn'!C:C, L$3)</f>
      </c>
      <c r="M66" s="8">
        <f>SUMIFS('Data nguồn'!H:H, 'Data nguồn'!D:D, $D66, 'Data nguồn'!F:F, $B$1, 'Data nguồn'!C:C, M$3)</f>
      </c>
      <c r="N66" s="8">
        <f>SUMIFS('Data nguồn'!H:H, 'Data nguồn'!D:D, $D66, 'Data nguồn'!F:F, $B$1, 'Data nguồn'!C:C, N$3)</f>
      </c>
      <c r="O66" s="8">
        <f>SUMIFS('Data nguồn'!H:H, 'Data nguồn'!D:D, $D66, 'Data nguồn'!F:F, $B$1, 'Data nguồn'!C:C, O$3)</f>
      </c>
      <c r="P66" s="8">
        <f>SUMIFS('Data nguồn'!H:H, 'Data nguồn'!D:D, $D66, 'Data nguồn'!F:F, $B$1, 'Data nguồn'!C:C, P$3)</f>
      </c>
      <c r="Q66" s="8">
        <f>SUMIFS('Data nguồn'!H:H, 'Data nguồn'!D:D, $D66, 'Data nguồn'!F:F, $B$1, 'Data nguồn'!C:C, Q$3)</f>
      </c>
      <c r="R66" s="8">
        <f>SUMIFS('Data nguồn'!H:H, 'Data nguồn'!D:D, $D66, 'Data nguồn'!F:F, $B$1, 'Data nguồn'!C:C, R$3)</f>
      </c>
      <c r="S66" s="8">
        <f>SUMIFS('Data nguồn'!H:H, 'Data nguồn'!D:D, $D66, 'Data nguồn'!F:F, $B$1, 'Data nguồn'!C:C, S$3)</f>
      </c>
      <c r="T66" s="8">
        <f>SUMIFS('Data nguồn'!H:H, 'Data nguồn'!D:D, $D66, 'Data nguồn'!F:F, $B$1, 'Data nguồn'!C:C, T$3)</f>
      </c>
      <c r="V66" s="8">
        <f>SUM(E66:P66)</f>
      </c>
      <c r="W66" s="8">
        <f>SUM(Q66:T66)</f>
      </c>
      <c r="X66" s="8">
        <f>AVERAGE(R66:T66)</f>
      </c>
      <c r="Y66" s="8">
        <f>AVERAGE(O66:T66)</f>
      </c>
      <c r="Z66" s="8">
        <f>AVERAGE(L66:T66)</f>
      </c>
      <c r="AA66" s="4">
        <f>IFERROR((X66*2)/(Y66+Z66), 0)</f>
      </c>
      <c r="AB66" s="4">
        <f>IFERROR(W66/SUM(E66:H66), 0)</f>
      </c>
      <c r="AC66" s="4">
        <f>IFERROR(W66/SUM(E66:H66), 0)</f>
      </c>
      <c r="AD66" s="4">
        <f>IFERROR(T66/H66, 0)</f>
      </c>
    </row>
    <row r="67" ht="20" customHeight="1" spans="1:30" x14ac:dyDescent="0.25">
      <c r="A67">
        <v>64</v>
      </c>
      <c r="B67" t="s">
        <v>131</v>
      </c>
      <c r="C67" t="s">
        <v>367</v>
      </c>
      <c r="D67" s="2" t="s">
        <v>131</v>
      </c>
      <c r="E67" s="8">
        <f>SUMIFS('Data nguồn'!H:H, 'Data nguồn'!D:D, $D67, 'Data nguồn'!F:F, $B$1, 'Data nguồn'!C:C, E$3)</f>
      </c>
      <c r="F67" s="8">
        <f>SUMIFS('Data nguồn'!H:H, 'Data nguồn'!D:D, $D67, 'Data nguồn'!F:F, $B$1, 'Data nguồn'!C:C, F$3)</f>
      </c>
      <c r="G67" s="8">
        <f>SUMIFS('Data nguồn'!H:H, 'Data nguồn'!D:D, $D67, 'Data nguồn'!F:F, $B$1, 'Data nguồn'!C:C, G$3)</f>
      </c>
      <c r="H67" s="8">
        <f>SUMIFS('Data nguồn'!H:H, 'Data nguồn'!D:D, $D67, 'Data nguồn'!F:F, $B$1, 'Data nguồn'!C:C, H$3)</f>
      </c>
      <c r="I67" s="8">
        <f>SUMIFS('Data nguồn'!H:H, 'Data nguồn'!D:D, $D67, 'Data nguồn'!F:F, $B$1, 'Data nguồn'!C:C, I$3)</f>
      </c>
      <c r="J67" s="8">
        <f>SUMIFS('Data nguồn'!H:H, 'Data nguồn'!D:D, $D67, 'Data nguồn'!F:F, $B$1, 'Data nguồn'!C:C, J$3)</f>
      </c>
      <c r="K67" s="8">
        <f>SUMIFS('Data nguồn'!H:H, 'Data nguồn'!D:D, $D67, 'Data nguồn'!F:F, $B$1, 'Data nguồn'!C:C, K$3)</f>
      </c>
      <c r="L67" s="8">
        <f>SUMIFS('Data nguồn'!H:H, 'Data nguồn'!D:D, $D67, 'Data nguồn'!F:F, $B$1, 'Data nguồn'!C:C, L$3)</f>
      </c>
      <c r="M67" s="8">
        <f>SUMIFS('Data nguồn'!H:H, 'Data nguồn'!D:D, $D67, 'Data nguồn'!F:F, $B$1, 'Data nguồn'!C:C, M$3)</f>
      </c>
      <c r="N67" s="8">
        <f>SUMIFS('Data nguồn'!H:H, 'Data nguồn'!D:D, $D67, 'Data nguồn'!F:F, $B$1, 'Data nguồn'!C:C, N$3)</f>
      </c>
      <c r="O67" s="8">
        <f>SUMIFS('Data nguồn'!H:H, 'Data nguồn'!D:D, $D67, 'Data nguồn'!F:F, $B$1, 'Data nguồn'!C:C, O$3)</f>
      </c>
      <c r="P67" s="8">
        <f>SUMIFS('Data nguồn'!H:H, 'Data nguồn'!D:D, $D67, 'Data nguồn'!F:F, $B$1, 'Data nguồn'!C:C, P$3)</f>
      </c>
      <c r="Q67" s="8">
        <f>SUMIFS('Data nguồn'!H:H, 'Data nguồn'!D:D, $D67, 'Data nguồn'!F:F, $B$1, 'Data nguồn'!C:C, Q$3)</f>
      </c>
      <c r="R67" s="8">
        <f>SUMIFS('Data nguồn'!H:H, 'Data nguồn'!D:D, $D67, 'Data nguồn'!F:F, $B$1, 'Data nguồn'!C:C, R$3)</f>
      </c>
      <c r="S67" s="8">
        <f>SUMIFS('Data nguồn'!H:H, 'Data nguồn'!D:D, $D67, 'Data nguồn'!F:F, $B$1, 'Data nguồn'!C:C, S$3)</f>
      </c>
      <c r="T67" s="8">
        <f>SUMIFS('Data nguồn'!H:H, 'Data nguồn'!D:D, $D67, 'Data nguồn'!F:F, $B$1, 'Data nguồn'!C:C, T$3)</f>
      </c>
      <c r="V67" s="8">
        <f>SUM(E67:P67)</f>
      </c>
      <c r="W67" s="8">
        <f>SUM(Q67:T67)</f>
      </c>
      <c r="X67" s="8">
        <f>AVERAGE(R67:T67)</f>
      </c>
      <c r="Y67" s="8">
        <f>AVERAGE(O67:T67)</f>
      </c>
      <c r="Z67" s="8">
        <f>AVERAGE(L67:T67)</f>
      </c>
      <c r="AA67" s="4">
        <f>IFERROR((X67*2)/(Y67+Z67), 0)</f>
      </c>
      <c r="AB67" s="4">
        <f>IFERROR(W67/SUM(E67:H67), 0)</f>
      </c>
      <c r="AC67" s="4">
        <f>IFERROR(W67/SUM(E67:H67), 0)</f>
      </c>
      <c r="AD67" s="4">
        <f>IFERROR(T67/H67, 0)</f>
      </c>
    </row>
    <row r="68" ht="20" customHeight="1" spans="1:30" x14ac:dyDescent="0.25">
      <c r="A68">
        <v>65</v>
      </c>
      <c r="B68" t="s">
        <v>227</v>
      </c>
      <c r="C68" t="s">
        <v>367</v>
      </c>
      <c r="D68" s="2" t="s">
        <v>227</v>
      </c>
      <c r="E68" s="8">
        <f>SUMIFS('Data nguồn'!H:H, 'Data nguồn'!D:D, $D68, 'Data nguồn'!F:F, $B$1, 'Data nguồn'!C:C, E$3)</f>
      </c>
      <c r="F68" s="8">
        <f>SUMIFS('Data nguồn'!H:H, 'Data nguồn'!D:D, $D68, 'Data nguồn'!F:F, $B$1, 'Data nguồn'!C:C, F$3)</f>
      </c>
      <c r="G68" s="8">
        <f>SUMIFS('Data nguồn'!H:H, 'Data nguồn'!D:D, $D68, 'Data nguồn'!F:F, $B$1, 'Data nguồn'!C:C, G$3)</f>
      </c>
      <c r="H68" s="8">
        <f>SUMIFS('Data nguồn'!H:H, 'Data nguồn'!D:D, $D68, 'Data nguồn'!F:F, $B$1, 'Data nguồn'!C:C, H$3)</f>
      </c>
      <c r="I68" s="8">
        <f>SUMIFS('Data nguồn'!H:H, 'Data nguồn'!D:D, $D68, 'Data nguồn'!F:F, $B$1, 'Data nguồn'!C:C, I$3)</f>
      </c>
      <c r="J68" s="8">
        <f>SUMIFS('Data nguồn'!H:H, 'Data nguồn'!D:D, $D68, 'Data nguồn'!F:F, $B$1, 'Data nguồn'!C:C, J$3)</f>
      </c>
      <c r="K68" s="8">
        <f>SUMIFS('Data nguồn'!H:H, 'Data nguồn'!D:D, $D68, 'Data nguồn'!F:F, $B$1, 'Data nguồn'!C:C, K$3)</f>
      </c>
      <c r="L68" s="8">
        <f>SUMIFS('Data nguồn'!H:H, 'Data nguồn'!D:D, $D68, 'Data nguồn'!F:F, $B$1, 'Data nguồn'!C:C, L$3)</f>
      </c>
      <c r="M68" s="8">
        <f>SUMIFS('Data nguồn'!H:H, 'Data nguồn'!D:D, $D68, 'Data nguồn'!F:F, $B$1, 'Data nguồn'!C:C, M$3)</f>
      </c>
      <c r="N68" s="8">
        <f>SUMIFS('Data nguồn'!H:H, 'Data nguồn'!D:D, $D68, 'Data nguồn'!F:F, $B$1, 'Data nguồn'!C:C, N$3)</f>
      </c>
      <c r="O68" s="8">
        <f>SUMIFS('Data nguồn'!H:H, 'Data nguồn'!D:D, $D68, 'Data nguồn'!F:F, $B$1, 'Data nguồn'!C:C, O$3)</f>
      </c>
      <c r="P68" s="8">
        <f>SUMIFS('Data nguồn'!H:H, 'Data nguồn'!D:D, $D68, 'Data nguồn'!F:F, $B$1, 'Data nguồn'!C:C, P$3)</f>
      </c>
      <c r="Q68" s="8">
        <f>SUMIFS('Data nguồn'!H:H, 'Data nguồn'!D:D, $D68, 'Data nguồn'!F:F, $B$1, 'Data nguồn'!C:C, Q$3)</f>
      </c>
      <c r="R68" s="8">
        <f>SUMIFS('Data nguồn'!H:H, 'Data nguồn'!D:D, $D68, 'Data nguồn'!F:F, $B$1, 'Data nguồn'!C:C, R$3)</f>
      </c>
      <c r="S68" s="8">
        <f>SUMIFS('Data nguồn'!H:H, 'Data nguồn'!D:D, $D68, 'Data nguồn'!F:F, $B$1, 'Data nguồn'!C:C, S$3)</f>
      </c>
      <c r="T68" s="8">
        <f>SUMIFS('Data nguồn'!H:H, 'Data nguồn'!D:D, $D68, 'Data nguồn'!F:F, $B$1, 'Data nguồn'!C:C, T$3)</f>
      </c>
      <c r="V68" s="8">
        <f>SUM(E68:P68)</f>
      </c>
      <c r="W68" s="8">
        <f>SUM(Q68:T68)</f>
      </c>
      <c r="X68" s="8">
        <f>AVERAGE(R68:T68)</f>
      </c>
      <c r="Y68" s="8">
        <f>AVERAGE(O68:T68)</f>
      </c>
      <c r="Z68" s="8">
        <f>AVERAGE(L68:T68)</f>
      </c>
      <c r="AA68" s="4">
        <f>IFERROR((X68*2)/(Y68+Z68), 0)</f>
      </c>
      <c r="AB68" s="4">
        <f>IFERROR(W68/SUM(E68:H68), 0)</f>
      </c>
      <c r="AC68" s="4">
        <f>IFERROR(W68/SUM(E68:H68), 0)</f>
      </c>
      <c r="AD68" s="4">
        <f>IFERROR(T68/H68, 0)</f>
      </c>
    </row>
    <row r="69" ht="20" customHeight="1" spans="1:30" x14ac:dyDescent="0.25">
      <c r="A69">
        <v>66</v>
      </c>
      <c r="B69" t="s">
        <v>228</v>
      </c>
      <c r="C69" t="s">
        <v>367</v>
      </c>
      <c r="D69" s="2" t="s">
        <v>228</v>
      </c>
      <c r="E69" s="8">
        <f>SUMIFS('Data nguồn'!H:H, 'Data nguồn'!D:D, $D69, 'Data nguồn'!F:F, $B$1, 'Data nguồn'!C:C, E$3)</f>
      </c>
      <c r="F69" s="8">
        <f>SUMIFS('Data nguồn'!H:H, 'Data nguồn'!D:D, $D69, 'Data nguồn'!F:F, $B$1, 'Data nguồn'!C:C, F$3)</f>
      </c>
      <c r="G69" s="8">
        <f>SUMIFS('Data nguồn'!H:H, 'Data nguồn'!D:D, $D69, 'Data nguồn'!F:F, $B$1, 'Data nguồn'!C:C, G$3)</f>
      </c>
      <c r="H69" s="8">
        <f>SUMIFS('Data nguồn'!H:H, 'Data nguồn'!D:D, $D69, 'Data nguồn'!F:F, $B$1, 'Data nguồn'!C:C, H$3)</f>
      </c>
      <c r="I69" s="8">
        <f>SUMIFS('Data nguồn'!H:H, 'Data nguồn'!D:D, $D69, 'Data nguồn'!F:F, $B$1, 'Data nguồn'!C:C, I$3)</f>
      </c>
      <c r="J69" s="8">
        <f>SUMIFS('Data nguồn'!H:H, 'Data nguồn'!D:D, $D69, 'Data nguồn'!F:F, $B$1, 'Data nguồn'!C:C, J$3)</f>
      </c>
      <c r="K69" s="8">
        <f>SUMIFS('Data nguồn'!H:H, 'Data nguồn'!D:D, $D69, 'Data nguồn'!F:F, $B$1, 'Data nguồn'!C:C, K$3)</f>
      </c>
      <c r="L69" s="8">
        <f>SUMIFS('Data nguồn'!H:H, 'Data nguồn'!D:D, $D69, 'Data nguồn'!F:F, $B$1, 'Data nguồn'!C:C, L$3)</f>
      </c>
      <c r="M69" s="8">
        <f>SUMIFS('Data nguồn'!H:H, 'Data nguồn'!D:D, $D69, 'Data nguồn'!F:F, $B$1, 'Data nguồn'!C:C, M$3)</f>
      </c>
      <c r="N69" s="8">
        <f>SUMIFS('Data nguồn'!H:H, 'Data nguồn'!D:D, $D69, 'Data nguồn'!F:F, $B$1, 'Data nguồn'!C:C, N$3)</f>
      </c>
      <c r="O69" s="8">
        <f>SUMIFS('Data nguồn'!H:H, 'Data nguồn'!D:D, $D69, 'Data nguồn'!F:F, $B$1, 'Data nguồn'!C:C, O$3)</f>
      </c>
      <c r="P69" s="8">
        <f>SUMIFS('Data nguồn'!H:H, 'Data nguồn'!D:D, $D69, 'Data nguồn'!F:F, $B$1, 'Data nguồn'!C:C, P$3)</f>
      </c>
      <c r="Q69" s="8">
        <f>SUMIFS('Data nguồn'!H:H, 'Data nguồn'!D:D, $D69, 'Data nguồn'!F:F, $B$1, 'Data nguồn'!C:C, Q$3)</f>
      </c>
      <c r="R69" s="8">
        <f>SUMIFS('Data nguồn'!H:H, 'Data nguồn'!D:D, $D69, 'Data nguồn'!F:F, $B$1, 'Data nguồn'!C:C, R$3)</f>
      </c>
      <c r="S69" s="8">
        <f>SUMIFS('Data nguồn'!H:H, 'Data nguồn'!D:D, $D69, 'Data nguồn'!F:F, $B$1, 'Data nguồn'!C:C, S$3)</f>
      </c>
      <c r="T69" s="8">
        <f>SUMIFS('Data nguồn'!H:H, 'Data nguồn'!D:D, $D69, 'Data nguồn'!F:F, $B$1, 'Data nguồn'!C:C, T$3)</f>
      </c>
      <c r="V69" s="8">
        <f>SUM(E69:P69)</f>
      </c>
      <c r="W69" s="8">
        <f>SUM(Q69:T69)</f>
      </c>
      <c r="X69" s="8">
        <f>AVERAGE(R69:T69)</f>
      </c>
      <c r="Y69" s="8">
        <f>AVERAGE(O69:T69)</f>
      </c>
      <c r="Z69" s="8">
        <f>AVERAGE(L69:T69)</f>
      </c>
      <c r="AA69" s="4">
        <f>IFERROR((X69*2)/(Y69+Z69), 0)</f>
      </c>
      <c r="AB69" s="4">
        <f>IFERROR(W69/SUM(E69:H69), 0)</f>
      </c>
      <c r="AC69" s="4">
        <f>IFERROR(W69/SUM(E69:H69), 0)</f>
      </c>
      <c r="AD69" s="4">
        <f>IFERROR(T69/H69, 0)</f>
      </c>
    </row>
    <row r="70" ht="20" customHeight="1" spans="1:30" x14ac:dyDescent="0.25">
      <c r="A70">
        <v>67</v>
      </c>
      <c r="B70" t="s">
        <v>229</v>
      </c>
      <c r="C70" t="s">
        <v>367</v>
      </c>
      <c r="D70" s="2" t="s">
        <v>229</v>
      </c>
      <c r="E70" s="8">
        <f>SUMIFS('Data nguồn'!H:H, 'Data nguồn'!D:D, $D70, 'Data nguồn'!F:F, $B$1, 'Data nguồn'!C:C, E$3)</f>
      </c>
      <c r="F70" s="8">
        <f>SUMIFS('Data nguồn'!H:H, 'Data nguồn'!D:D, $D70, 'Data nguồn'!F:F, $B$1, 'Data nguồn'!C:C, F$3)</f>
      </c>
      <c r="G70" s="8">
        <f>SUMIFS('Data nguồn'!H:H, 'Data nguồn'!D:D, $D70, 'Data nguồn'!F:F, $B$1, 'Data nguồn'!C:C, G$3)</f>
      </c>
      <c r="H70" s="8">
        <f>SUMIFS('Data nguồn'!H:H, 'Data nguồn'!D:D, $D70, 'Data nguồn'!F:F, $B$1, 'Data nguồn'!C:C, H$3)</f>
      </c>
      <c r="I70" s="8">
        <f>SUMIFS('Data nguồn'!H:H, 'Data nguồn'!D:D, $D70, 'Data nguồn'!F:F, $B$1, 'Data nguồn'!C:C, I$3)</f>
      </c>
      <c r="J70" s="8">
        <f>SUMIFS('Data nguồn'!H:H, 'Data nguồn'!D:D, $D70, 'Data nguồn'!F:F, $B$1, 'Data nguồn'!C:C, J$3)</f>
      </c>
      <c r="K70" s="8">
        <f>SUMIFS('Data nguồn'!H:H, 'Data nguồn'!D:D, $D70, 'Data nguồn'!F:F, $B$1, 'Data nguồn'!C:C, K$3)</f>
      </c>
      <c r="L70" s="8">
        <f>SUMIFS('Data nguồn'!H:H, 'Data nguồn'!D:D, $D70, 'Data nguồn'!F:F, $B$1, 'Data nguồn'!C:C, L$3)</f>
      </c>
      <c r="M70" s="8">
        <f>SUMIFS('Data nguồn'!H:H, 'Data nguồn'!D:D, $D70, 'Data nguồn'!F:F, $B$1, 'Data nguồn'!C:C, M$3)</f>
      </c>
      <c r="N70" s="8">
        <f>SUMIFS('Data nguồn'!H:H, 'Data nguồn'!D:D, $D70, 'Data nguồn'!F:F, $B$1, 'Data nguồn'!C:C, N$3)</f>
      </c>
      <c r="O70" s="8">
        <f>SUMIFS('Data nguồn'!H:H, 'Data nguồn'!D:D, $D70, 'Data nguồn'!F:F, $B$1, 'Data nguồn'!C:C, O$3)</f>
      </c>
      <c r="P70" s="8">
        <f>SUMIFS('Data nguồn'!H:H, 'Data nguồn'!D:D, $D70, 'Data nguồn'!F:F, $B$1, 'Data nguồn'!C:C, P$3)</f>
      </c>
      <c r="Q70" s="8">
        <f>SUMIFS('Data nguồn'!H:H, 'Data nguồn'!D:D, $D70, 'Data nguồn'!F:F, $B$1, 'Data nguồn'!C:C, Q$3)</f>
      </c>
      <c r="R70" s="8">
        <f>SUMIFS('Data nguồn'!H:H, 'Data nguồn'!D:D, $D70, 'Data nguồn'!F:F, $B$1, 'Data nguồn'!C:C, R$3)</f>
      </c>
      <c r="S70" s="8">
        <f>SUMIFS('Data nguồn'!H:H, 'Data nguồn'!D:D, $D70, 'Data nguồn'!F:F, $B$1, 'Data nguồn'!C:C, S$3)</f>
      </c>
      <c r="T70" s="8">
        <f>SUMIFS('Data nguồn'!H:H, 'Data nguồn'!D:D, $D70, 'Data nguồn'!F:F, $B$1, 'Data nguồn'!C:C, T$3)</f>
      </c>
      <c r="V70" s="8">
        <f>SUM(E70:P70)</f>
      </c>
      <c r="W70" s="8">
        <f>SUM(Q70:T70)</f>
      </c>
      <c r="X70" s="8">
        <f>AVERAGE(R70:T70)</f>
      </c>
      <c r="Y70" s="8">
        <f>AVERAGE(O70:T70)</f>
      </c>
      <c r="Z70" s="8">
        <f>AVERAGE(L70:T70)</f>
      </c>
      <c r="AA70" s="4">
        <f>IFERROR((X70*2)/(Y70+Z70), 0)</f>
      </c>
      <c r="AB70" s="4">
        <f>IFERROR(W70/SUM(E70:H70), 0)</f>
      </c>
      <c r="AC70" s="4">
        <f>IFERROR(W70/SUM(E70:H70), 0)</f>
      </c>
      <c r="AD70" s="4">
        <f>IFERROR(T70/H70, 0)</f>
      </c>
    </row>
    <row r="71" ht="20" customHeight="1" spans="1:30" x14ac:dyDescent="0.25">
      <c r="A71">
        <v>68</v>
      </c>
      <c r="B71" t="s">
        <v>230</v>
      </c>
      <c r="C71" t="s">
        <v>367</v>
      </c>
      <c r="D71" s="2" t="s">
        <v>230</v>
      </c>
      <c r="E71" s="8">
        <f>SUMIFS('Data nguồn'!H:H, 'Data nguồn'!D:D, $D71, 'Data nguồn'!F:F, $B$1, 'Data nguồn'!C:C, E$3)</f>
      </c>
      <c r="F71" s="8">
        <f>SUMIFS('Data nguồn'!H:H, 'Data nguồn'!D:D, $D71, 'Data nguồn'!F:F, $B$1, 'Data nguồn'!C:C, F$3)</f>
      </c>
      <c r="G71" s="8">
        <f>SUMIFS('Data nguồn'!H:H, 'Data nguồn'!D:D, $D71, 'Data nguồn'!F:F, $B$1, 'Data nguồn'!C:C, G$3)</f>
      </c>
      <c r="H71" s="8">
        <f>SUMIFS('Data nguồn'!H:H, 'Data nguồn'!D:D, $D71, 'Data nguồn'!F:F, $B$1, 'Data nguồn'!C:C, H$3)</f>
      </c>
      <c r="I71" s="8">
        <f>SUMIFS('Data nguồn'!H:H, 'Data nguồn'!D:D, $D71, 'Data nguồn'!F:F, $B$1, 'Data nguồn'!C:C, I$3)</f>
      </c>
      <c r="J71" s="8">
        <f>SUMIFS('Data nguồn'!H:H, 'Data nguồn'!D:D, $D71, 'Data nguồn'!F:F, $B$1, 'Data nguồn'!C:C, J$3)</f>
      </c>
      <c r="K71" s="8">
        <f>SUMIFS('Data nguồn'!H:H, 'Data nguồn'!D:D, $D71, 'Data nguồn'!F:F, $B$1, 'Data nguồn'!C:C, K$3)</f>
      </c>
      <c r="L71" s="8">
        <f>SUMIFS('Data nguồn'!H:H, 'Data nguồn'!D:D, $D71, 'Data nguồn'!F:F, $B$1, 'Data nguồn'!C:C, L$3)</f>
      </c>
      <c r="M71" s="8">
        <f>SUMIFS('Data nguồn'!H:H, 'Data nguồn'!D:D, $D71, 'Data nguồn'!F:F, $B$1, 'Data nguồn'!C:C, M$3)</f>
      </c>
      <c r="N71" s="8">
        <f>SUMIFS('Data nguồn'!H:H, 'Data nguồn'!D:D, $D71, 'Data nguồn'!F:F, $B$1, 'Data nguồn'!C:C, N$3)</f>
      </c>
      <c r="O71" s="8">
        <f>SUMIFS('Data nguồn'!H:H, 'Data nguồn'!D:D, $D71, 'Data nguồn'!F:F, $B$1, 'Data nguồn'!C:C, O$3)</f>
      </c>
      <c r="P71" s="8">
        <f>SUMIFS('Data nguồn'!H:H, 'Data nguồn'!D:D, $D71, 'Data nguồn'!F:F, $B$1, 'Data nguồn'!C:C, P$3)</f>
      </c>
      <c r="Q71" s="8">
        <f>SUMIFS('Data nguồn'!H:H, 'Data nguồn'!D:D, $D71, 'Data nguồn'!F:F, $B$1, 'Data nguồn'!C:C, Q$3)</f>
      </c>
      <c r="R71" s="8">
        <f>SUMIFS('Data nguồn'!H:H, 'Data nguồn'!D:D, $D71, 'Data nguồn'!F:F, $B$1, 'Data nguồn'!C:C, R$3)</f>
      </c>
      <c r="S71" s="8">
        <f>SUMIFS('Data nguồn'!H:H, 'Data nguồn'!D:D, $D71, 'Data nguồn'!F:F, $B$1, 'Data nguồn'!C:C, S$3)</f>
      </c>
      <c r="T71" s="8">
        <f>SUMIFS('Data nguồn'!H:H, 'Data nguồn'!D:D, $D71, 'Data nguồn'!F:F, $B$1, 'Data nguồn'!C:C, T$3)</f>
      </c>
      <c r="V71" s="8">
        <f>SUM(E71:P71)</f>
      </c>
      <c r="W71" s="8">
        <f>SUM(Q71:T71)</f>
      </c>
      <c r="X71" s="8">
        <f>AVERAGE(R71:T71)</f>
      </c>
      <c r="Y71" s="8">
        <f>AVERAGE(O71:T71)</f>
      </c>
      <c r="Z71" s="8">
        <f>AVERAGE(L71:T71)</f>
      </c>
      <c r="AA71" s="4">
        <f>IFERROR((X71*2)/(Y71+Z71), 0)</f>
      </c>
      <c r="AB71" s="4">
        <f>IFERROR(W71/SUM(E71:H71), 0)</f>
      </c>
      <c r="AC71" s="4">
        <f>IFERROR(W71/SUM(E71:H71), 0)</f>
      </c>
      <c r="AD71" s="4">
        <f>IFERROR(T71/H71, 0)</f>
      </c>
    </row>
    <row r="72" ht="20" customHeight="1" spans="1:30" x14ac:dyDescent="0.25">
      <c r="A72">
        <v>69</v>
      </c>
      <c r="B72" t="s">
        <v>231</v>
      </c>
      <c r="C72" t="s">
        <v>367</v>
      </c>
      <c r="D72" s="2" t="s">
        <v>231</v>
      </c>
      <c r="E72" s="8">
        <f>SUMIFS('Data nguồn'!H:H, 'Data nguồn'!D:D, $D72, 'Data nguồn'!F:F, $B$1, 'Data nguồn'!C:C, E$3)</f>
      </c>
      <c r="F72" s="8">
        <f>SUMIFS('Data nguồn'!H:H, 'Data nguồn'!D:D, $D72, 'Data nguồn'!F:F, $B$1, 'Data nguồn'!C:C, F$3)</f>
      </c>
      <c r="G72" s="8">
        <f>SUMIFS('Data nguồn'!H:H, 'Data nguồn'!D:D, $D72, 'Data nguồn'!F:F, $B$1, 'Data nguồn'!C:C, G$3)</f>
      </c>
      <c r="H72" s="8">
        <f>SUMIFS('Data nguồn'!H:H, 'Data nguồn'!D:D, $D72, 'Data nguồn'!F:F, $B$1, 'Data nguồn'!C:C, H$3)</f>
      </c>
      <c r="I72" s="8">
        <f>SUMIFS('Data nguồn'!H:H, 'Data nguồn'!D:D, $D72, 'Data nguồn'!F:F, $B$1, 'Data nguồn'!C:C, I$3)</f>
      </c>
      <c r="J72" s="8">
        <f>SUMIFS('Data nguồn'!H:H, 'Data nguồn'!D:D, $D72, 'Data nguồn'!F:F, $B$1, 'Data nguồn'!C:C, J$3)</f>
      </c>
      <c r="K72" s="8">
        <f>SUMIFS('Data nguồn'!H:H, 'Data nguồn'!D:D, $D72, 'Data nguồn'!F:F, $B$1, 'Data nguồn'!C:C, K$3)</f>
      </c>
      <c r="L72" s="8">
        <f>SUMIFS('Data nguồn'!H:H, 'Data nguồn'!D:D, $D72, 'Data nguồn'!F:F, $B$1, 'Data nguồn'!C:C, L$3)</f>
      </c>
      <c r="M72" s="8">
        <f>SUMIFS('Data nguồn'!H:H, 'Data nguồn'!D:D, $D72, 'Data nguồn'!F:F, $B$1, 'Data nguồn'!C:C, M$3)</f>
      </c>
      <c r="N72" s="8">
        <f>SUMIFS('Data nguồn'!H:H, 'Data nguồn'!D:D, $D72, 'Data nguồn'!F:F, $B$1, 'Data nguồn'!C:C, N$3)</f>
      </c>
      <c r="O72" s="8">
        <f>SUMIFS('Data nguồn'!H:H, 'Data nguồn'!D:D, $D72, 'Data nguồn'!F:F, $B$1, 'Data nguồn'!C:C, O$3)</f>
      </c>
      <c r="P72" s="8">
        <f>SUMIFS('Data nguồn'!H:H, 'Data nguồn'!D:D, $D72, 'Data nguồn'!F:F, $B$1, 'Data nguồn'!C:C, P$3)</f>
      </c>
      <c r="Q72" s="8">
        <f>SUMIFS('Data nguồn'!H:H, 'Data nguồn'!D:D, $D72, 'Data nguồn'!F:F, $B$1, 'Data nguồn'!C:C, Q$3)</f>
      </c>
      <c r="R72" s="8">
        <f>SUMIFS('Data nguồn'!H:H, 'Data nguồn'!D:D, $D72, 'Data nguồn'!F:F, $B$1, 'Data nguồn'!C:C, R$3)</f>
      </c>
      <c r="S72" s="8">
        <f>SUMIFS('Data nguồn'!H:H, 'Data nguồn'!D:D, $D72, 'Data nguồn'!F:F, $B$1, 'Data nguồn'!C:C, S$3)</f>
      </c>
      <c r="T72" s="8">
        <f>SUMIFS('Data nguồn'!H:H, 'Data nguồn'!D:D, $D72, 'Data nguồn'!F:F, $B$1, 'Data nguồn'!C:C, T$3)</f>
      </c>
      <c r="V72" s="8">
        <f>SUM(E72:P72)</f>
      </c>
      <c r="W72" s="8">
        <f>SUM(Q72:T72)</f>
      </c>
      <c r="X72" s="8">
        <f>AVERAGE(R72:T72)</f>
      </c>
      <c r="Y72" s="8">
        <f>AVERAGE(O72:T72)</f>
      </c>
      <c r="Z72" s="8">
        <f>AVERAGE(L72:T72)</f>
      </c>
      <c r="AA72" s="4">
        <f>IFERROR((X72*2)/(Y72+Z72), 0)</f>
      </c>
      <c r="AB72" s="4">
        <f>IFERROR(W72/SUM(E72:H72), 0)</f>
      </c>
      <c r="AC72" s="4">
        <f>IFERROR(W72/SUM(E72:H72), 0)</f>
      </c>
      <c r="AD72" s="4">
        <f>IFERROR(T72/H72, 0)</f>
      </c>
    </row>
    <row r="73" ht="20" customHeight="1" spans="1:30" x14ac:dyDescent="0.25">
      <c r="A73">
        <v>70</v>
      </c>
      <c r="B73" t="s">
        <v>232</v>
      </c>
      <c r="C73" t="s">
        <v>367</v>
      </c>
      <c r="D73" s="2" t="s">
        <v>232</v>
      </c>
      <c r="E73" s="8">
        <f>SUMIFS('Data nguồn'!H:H, 'Data nguồn'!D:D, $D73, 'Data nguồn'!F:F, $B$1, 'Data nguồn'!C:C, E$3)</f>
      </c>
      <c r="F73" s="8">
        <f>SUMIFS('Data nguồn'!H:H, 'Data nguồn'!D:D, $D73, 'Data nguồn'!F:F, $B$1, 'Data nguồn'!C:C, F$3)</f>
      </c>
      <c r="G73" s="8">
        <f>SUMIFS('Data nguồn'!H:H, 'Data nguồn'!D:D, $D73, 'Data nguồn'!F:F, $B$1, 'Data nguồn'!C:C, G$3)</f>
      </c>
      <c r="H73" s="8">
        <f>SUMIFS('Data nguồn'!H:H, 'Data nguồn'!D:D, $D73, 'Data nguồn'!F:F, $B$1, 'Data nguồn'!C:C, H$3)</f>
      </c>
      <c r="I73" s="8">
        <f>SUMIFS('Data nguồn'!H:H, 'Data nguồn'!D:D, $D73, 'Data nguồn'!F:F, $B$1, 'Data nguồn'!C:C, I$3)</f>
      </c>
      <c r="J73" s="8">
        <f>SUMIFS('Data nguồn'!H:H, 'Data nguồn'!D:D, $D73, 'Data nguồn'!F:F, $B$1, 'Data nguồn'!C:C, J$3)</f>
      </c>
      <c r="K73" s="8">
        <f>SUMIFS('Data nguồn'!H:H, 'Data nguồn'!D:D, $D73, 'Data nguồn'!F:F, $B$1, 'Data nguồn'!C:C, K$3)</f>
      </c>
      <c r="L73" s="8">
        <f>SUMIFS('Data nguồn'!H:H, 'Data nguồn'!D:D, $D73, 'Data nguồn'!F:F, $B$1, 'Data nguồn'!C:C, L$3)</f>
      </c>
      <c r="M73" s="8">
        <f>SUMIFS('Data nguồn'!H:H, 'Data nguồn'!D:D, $D73, 'Data nguồn'!F:F, $B$1, 'Data nguồn'!C:C, M$3)</f>
      </c>
      <c r="N73" s="8">
        <f>SUMIFS('Data nguồn'!H:H, 'Data nguồn'!D:D, $D73, 'Data nguồn'!F:F, $B$1, 'Data nguồn'!C:C, N$3)</f>
      </c>
      <c r="O73" s="8">
        <f>SUMIFS('Data nguồn'!H:H, 'Data nguồn'!D:D, $D73, 'Data nguồn'!F:F, $B$1, 'Data nguồn'!C:C, O$3)</f>
      </c>
      <c r="P73" s="8">
        <f>SUMIFS('Data nguồn'!H:H, 'Data nguồn'!D:D, $D73, 'Data nguồn'!F:F, $B$1, 'Data nguồn'!C:C, P$3)</f>
      </c>
      <c r="Q73" s="8">
        <f>SUMIFS('Data nguồn'!H:H, 'Data nguồn'!D:D, $D73, 'Data nguồn'!F:F, $B$1, 'Data nguồn'!C:C, Q$3)</f>
      </c>
      <c r="R73" s="8">
        <f>SUMIFS('Data nguồn'!H:H, 'Data nguồn'!D:D, $D73, 'Data nguồn'!F:F, $B$1, 'Data nguồn'!C:C, R$3)</f>
      </c>
      <c r="S73" s="8">
        <f>SUMIFS('Data nguồn'!H:H, 'Data nguồn'!D:D, $D73, 'Data nguồn'!F:F, $B$1, 'Data nguồn'!C:C, S$3)</f>
      </c>
      <c r="T73" s="8">
        <f>SUMIFS('Data nguồn'!H:H, 'Data nguồn'!D:D, $D73, 'Data nguồn'!F:F, $B$1, 'Data nguồn'!C:C, T$3)</f>
      </c>
      <c r="V73" s="8">
        <f>SUM(E73:P73)</f>
      </c>
      <c r="W73" s="8">
        <f>SUM(Q73:T73)</f>
      </c>
      <c r="X73" s="8">
        <f>AVERAGE(R73:T73)</f>
      </c>
      <c r="Y73" s="8">
        <f>AVERAGE(O73:T73)</f>
      </c>
      <c r="Z73" s="8">
        <f>AVERAGE(L73:T73)</f>
      </c>
      <c r="AA73" s="4">
        <f>IFERROR((X73*2)/(Y73+Z73), 0)</f>
      </c>
      <c r="AB73" s="4">
        <f>IFERROR(W73/SUM(E73:H73), 0)</f>
      </c>
      <c r="AC73" s="4">
        <f>IFERROR(W73/SUM(E73:H73), 0)</f>
      </c>
      <c r="AD73" s="4">
        <f>IFERROR(T73/H73, 0)</f>
      </c>
    </row>
    <row r="74" ht="20" customHeight="1" spans="1:30" x14ac:dyDescent="0.25">
      <c r="A74">
        <v>71</v>
      </c>
      <c r="B74" t="s">
        <v>233</v>
      </c>
      <c r="C74" t="s">
        <v>367</v>
      </c>
      <c r="D74" s="2" t="s">
        <v>233</v>
      </c>
      <c r="E74" s="8">
        <f>SUMIFS('Data nguồn'!H:H, 'Data nguồn'!D:D, $D74, 'Data nguồn'!F:F, $B$1, 'Data nguồn'!C:C, E$3)</f>
      </c>
      <c r="F74" s="8">
        <f>SUMIFS('Data nguồn'!H:H, 'Data nguồn'!D:D, $D74, 'Data nguồn'!F:F, $B$1, 'Data nguồn'!C:C, F$3)</f>
      </c>
      <c r="G74" s="8">
        <f>SUMIFS('Data nguồn'!H:H, 'Data nguồn'!D:D, $D74, 'Data nguồn'!F:F, $B$1, 'Data nguồn'!C:C, G$3)</f>
      </c>
      <c r="H74" s="8">
        <f>SUMIFS('Data nguồn'!H:H, 'Data nguồn'!D:D, $D74, 'Data nguồn'!F:F, $B$1, 'Data nguồn'!C:C, H$3)</f>
      </c>
      <c r="I74" s="8">
        <f>SUMIFS('Data nguồn'!H:H, 'Data nguồn'!D:D, $D74, 'Data nguồn'!F:F, $B$1, 'Data nguồn'!C:C, I$3)</f>
      </c>
      <c r="J74" s="8">
        <f>SUMIFS('Data nguồn'!H:H, 'Data nguồn'!D:D, $D74, 'Data nguồn'!F:F, $B$1, 'Data nguồn'!C:C, J$3)</f>
      </c>
      <c r="K74" s="8">
        <f>SUMIFS('Data nguồn'!H:H, 'Data nguồn'!D:D, $D74, 'Data nguồn'!F:F, $B$1, 'Data nguồn'!C:C, K$3)</f>
      </c>
      <c r="L74" s="8">
        <f>SUMIFS('Data nguồn'!H:H, 'Data nguồn'!D:D, $D74, 'Data nguồn'!F:F, $B$1, 'Data nguồn'!C:C, L$3)</f>
      </c>
      <c r="M74" s="8">
        <f>SUMIFS('Data nguồn'!H:H, 'Data nguồn'!D:D, $D74, 'Data nguồn'!F:F, $B$1, 'Data nguồn'!C:C, M$3)</f>
      </c>
      <c r="N74" s="8">
        <f>SUMIFS('Data nguồn'!H:H, 'Data nguồn'!D:D, $D74, 'Data nguồn'!F:F, $B$1, 'Data nguồn'!C:C, N$3)</f>
      </c>
      <c r="O74" s="8">
        <f>SUMIFS('Data nguồn'!H:H, 'Data nguồn'!D:D, $D74, 'Data nguồn'!F:F, $B$1, 'Data nguồn'!C:C, O$3)</f>
      </c>
      <c r="P74" s="8">
        <f>SUMIFS('Data nguồn'!H:H, 'Data nguồn'!D:D, $D74, 'Data nguồn'!F:F, $B$1, 'Data nguồn'!C:C, P$3)</f>
      </c>
      <c r="Q74" s="8">
        <f>SUMIFS('Data nguồn'!H:H, 'Data nguồn'!D:D, $D74, 'Data nguồn'!F:F, $B$1, 'Data nguồn'!C:C, Q$3)</f>
      </c>
      <c r="R74" s="8">
        <f>SUMIFS('Data nguồn'!H:H, 'Data nguồn'!D:D, $D74, 'Data nguồn'!F:F, $B$1, 'Data nguồn'!C:C, R$3)</f>
      </c>
      <c r="S74" s="8">
        <f>SUMIFS('Data nguồn'!H:H, 'Data nguồn'!D:D, $D74, 'Data nguồn'!F:F, $B$1, 'Data nguồn'!C:C, S$3)</f>
      </c>
      <c r="T74" s="8">
        <f>SUMIFS('Data nguồn'!H:H, 'Data nguồn'!D:D, $D74, 'Data nguồn'!F:F, $B$1, 'Data nguồn'!C:C, T$3)</f>
      </c>
      <c r="V74" s="8">
        <f>SUM(E74:P74)</f>
      </c>
      <c r="W74" s="8">
        <f>SUM(Q74:T74)</f>
      </c>
      <c r="X74" s="8">
        <f>AVERAGE(R74:T74)</f>
      </c>
      <c r="Y74" s="8">
        <f>AVERAGE(O74:T74)</f>
      </c>
      <c r="Z74" s="8">
        <f>AVERAGE(L74:T74)</f>
      </c>
      <c r="AA74" s="4">
        <f>IFERROR((X74*2)/(Y74+Z74), 0)</f>
      </c>
      <c r="AB74" s="4">
        <f>IFERROR(W74/SUM(E74:H74), 0)</f>
      </c>
      <c r="AC74" s="4">
        <f>IFERROR(W74/SUM(E74:H74), 0)</f>
      </c>
      <c r="AD74" s="4">
        <f>IFERROR(T74/H74, 0)</f>
      </c>
    </row>
    <row r="75" ht="20" customHeight="1" spans="1:30" x14ac:dyDescent="0.25">
      <c r="A75">
        <v>72</v>
      </c>
      <c r="B75" t="s">
        <v>234</v>
      </c>
      <c r="C75" t="s">
        <v>367</v>
      </c>
      <c r="D75" s="2" t="s">
        <v>234</v>
      </c>
      <c r="E75" s="8">
        <f>SUMIFS('Data nguồn'!H:H, 'Data nguồn'!D:D, $D75, 'Data nguồn'!F:F, $B$1, 'Data nguồn'!C:C, E$3)</f>
      </c>
      <c r="F75" s="8">
        <f>SUMIFS('Data nguồn'!H:H, 'Data nguồn'!D:D, $D75, 'Data nguồn'!F:F, $B$1, 'Data nguồn'!C:C, F$3)</f>
      </c>
      <c r="G75" s="8">
        <f>SUMIFS('Data nguồn'!H:H, 'Data nguồn'!D:D, $D75, 'Data nguồn'!F:F, $B$1, 'Data nguồn'!C:C, G$3)</f>
      </c>
      <c r="H75" s="8">
        <f>SUMIFS('Data nguồn'!H:H, 'Data nguồn'!D:D, $D75, 'Data nguồn'!F:F, $B$1, 'Data nguồn'!C:C, H$3)</f>
      </c>
      <c r="I75" s="8">
        <f>SUMIFS('Data nguồn'!H:H, 'Data nguồn'!D:D, $D75, 'Data nguồn'!F:F, $B$1, 'Data nguồn'!C:C, I$3)</f>
      </c>
      <c r="J75" s="8">
        <f>SUMIFS('Data nguồn'!H:H, 'Data nguồn'!D:D, $D75, 'Data nguồn'!F:F, $B$1, 'Data nguồn'!C:C, J$3)</f>
      </c>
      <c r="K75" s="8">
        <f>SUMIFS('Data nguồn'!H:H, 'Data nguồn'!D:D, $D75, 'Data nguồn'!F:F, $B$1, 'Data nguồn'!C:C, K$3)</f>
      </c>
      <c r="L75" s="8">
        <f>SUMIFS('Data nguồn'!H:H, 'Data nguồn'!D:D, $D75, 'Data nguồn'!F:F, $B$1, 'Data nguồn'!C:C, L$3)</f>
      </c>
      <c r="M75" s="8">
        <f>SUMIFS('Data nguồn'!H:H, 'Data nguồn'!D:D, $D75, 'Data nguồn'!F:F, $B$1, 'Data nguồn'!C:C, M$3)</f>
      </c>
      <c r="N75" s="8">
        <f>SUMIFS('Data nguồn'!H:H, 'Data nguồn'!D:D, $D75, 'Data nguồn'!F:F, $B$1, 'Data nguồn'!C:C, N$3)</f>
      </c>
      <c r="O75" s="8">
        <f>SUMIFS('Data nguồn'!H:H, 'Data nguồn'!D:D, $D75, 'Data nguồn'!F:F, $B$1, 'Data nguồn'!C:C, O$3)</f>
      </c>
      <c r="P75" s="8">
        <f>SUMIFS('Data nguồn'!H:H, 'Data nguồn'!D:D, $D75, 'Data nguồn'!F:F, $B$1, 'Data nguồn'!C:C, P$3)</f>
      </c>
      <c r="Q75" s="8">
        <f>SUMIFS('Data nguồn'!H:H, 'Data nguồn'!D:D, $D75, 'Data nguồn'!F:F, $B$1, 'Data nguồn'!C:C, Q$3)</f>
      </c>
      <c r="R75" s="8">
        <f>SUMIFS('Data nguồn'!H:H, 'Data nguồn'!D:D, $D75, 'Data nguồn'!F:F, $B$1, 'Data nguồn'!C:C, R$3)</f>
      </c>
      <c r="S75" s="8">
        <f>SUMIFS('Data nguồn'!H:H, 'Data nguồn'!D:D, $D75, 'Data nguồn'!F:F, $B$1, 'Data nguồn'!C:C, S$3)</f>
      </c>
      <c r="T75" s="8">
        <f>SUMIFS('Data nguồn'!H:H, 'Data nguồn'!D:D, $D75, 'Data nguồn'!F:F, $B$1, 'Data nguồn'!C:C, T$3)</f>
      </c>
      <c r="V75" s="8">
        <f>SUM(E75:P75)</f>
      </c>
      <c r="W75" s="8">
        <f>SUM(Q75:T75)</f>
      </c>
      <c r="X75" s="8">
        <f>AVERAGE(R75:T75)</f>
      </c>
      <c r="Y75" s="8">
        <f>AVERAGE(O75:T75)</f>
      </c>
      <c r="Z75" s="8">
        <f>AVERAGE(L75:T75)</f>
      </c>
      <c r="AA75" s="4">
        <f>IFERROR((X75*2)/(Y75+Z75), 0)</f>
      </c>
      <c r="AB75" s="4">
        <f>IFERROR(W75/SUM(E75:H75), 0)</f>
      </c>
      <c r="AC75" s="4">
        <f>IFERROR(W75/SUM(E75:H75), 0)</f>
      </c>
      <c r="AD75" s="4">
        <f>IFERROR(T75/H75, 0)</f>
      </c>
    </row>
    <row r="76" ht="20" customHeight="1" spans="1:30" x14ac:dyDescent="0.25">
      <c r="A76">
        <v>73</v>
      </c>
      <c r="B76" t="s">
        <v>235</v>
      </c>
      <c r="C76" t="s">
        <v>367</v>
      </c>
      <c r="D76" s="2" t="s">
        <v>235</v>
      </c>
      <c r="E76" s="8">
        <f>SUMIFS('Data nguồn'!H:H, 'Data nguồn'!D:D, $D76, 'Data nguồn'!F:F, $B$1, 'Data nguồn'!C:C, E$3)</f>
      </c>
      <c r="F76" s="8">
        <f>SUMIFS('Data nguồn'!H:H, 'Data nguồn'!D:D, $D76, 'Data nguồn'!F:F, $B$1, 'Data nguồn'!C:C, F$3)</f>
      </c>
      <c r="G76" s="8">
        <f>SUMIFS('Data nguồn'!H:H, 'Data nguồn'!D:D, $D76, 'Data nguồn'!F:F, $B$1, 'Data nguồn'!C:C, G$3)</f>
      </c>
      <c r="H76" s="8">
        <f>SUMIFS('Data nguồn'!H:H, 'Data nguồn'!D:D, $D76, 'Data nguồn'!F:F, $B$1, 'Data nguồn'!C:C, H$3)</f>
      </c>
      <c r="I76" s="8">
        <f>SUMIFS('Data nguồn'!H:H, 'Data nguồn'!D:D, $D76, 'Data nguồn'!F:F, $B$1, 'Data nguồn'!C:C, I$3)</f>
      </c>
      <c r="J76" s="8">
        <f>SUMIFS('Data nguồn'!H:H, 'Data nguồn'!D:D, $D76, 'Data nguồn'!F:F, $B$1, 'Data nguồn'!C:C, J$3)</f>
      </c>
      <c r="K76" s="8">
        <f>SUMIFS('Data nguồn'!H:H, 'Data nguồn'!D:D, $D76, 'Data nguồn'!F:F, $B$1, 'Data nguồn'!C:C, K$3)</f>
      </c>
      <c r="L76" s="8">
        <f>SUMIFS('Data nguồn'!H:H, 'Data nguồn'!D:D, $D76, 'Data nguồn'!F:F, $B$1, 'Data nguồn'!C:C, L$3)</f>
      </c>
      <c r="M76" s="8">
        <f>SUMIFS('Data nguồn'!H:H, 'Data nguồn'!D:D, $D76, 'Data nguồn'!F:F, $B$1, 'Data nguồn'!C:C, M$3)</f>
      </c>
      <c r="N76" s="8">
        <f>SUMIFS('Data nguồn'!H:H, 'Data nguồn'!D:D, $D76, 'Data nguồn'!F:F, $B$1, 'Data nguồn'!C:C, N$3)</f>
      </c>
      <c r="O76" s="8">
        <f>SUMIFS('Data nguồn'!H:H, 'Data nguồn'!D:D, $D76, 'Data nguồn'!F:F, $B$1, 'Data nguồn'!C:C, O$3)</f>
      </c>
      <c r="P76" s="8">
        <f>SUMIFS('Data nguồn'!H:H, 'Data nguồn'!D:D, $D76, 'Data nguồn'!F:F, $B$1, 'Data nguồn'!C:C, P$3)</f>
      </c>
      <c r="Q76" s="8">
        <f>SUMIFS('Data nguồn'!H:H, 'Data nguồn'!D:D, $D76, 'Data nguồn'!F:F, $B$1, 'Data nguồn'!C:C, Q$3)</f>
      </c>
      <c r="R76" s="8">
        <f>SUMIFS('Data nguồn'!H:H, 'Data nguồn'!D:D, $D76, 'Data nguồn'!F:F, $B$1, 'Data nguồn'!C:C, R$3)</f>
      </c>
      <c r="S76" s="8">
        <f>SUMIFS('Data nguồn'!H:H, 'Data nguồn'!D:D, $D76, 'Data nguồn'!F:F, $B$1, 'Data nguồn'!C:C, S$3)</f>
      </c>
      <c r="T76" s="8">
        <f>SUMIFS('Data nguồn'!H:H, 'Data nguồn'!D:D, $D76, 'Data nguồn'!F:F, $B$1, 'Data nguồn'!C:C, T$3)</f>
      </c>
      <c r="V76" s="8">
        <f>SUM(E76:P76)</f>
      </c>
      <c r="W76" s="8">
        <f>SUM(Q76:T76)</f>
      </c>
      <c r="X76" s="8">
        <f>AVERAGE(R76:T76)</f>
      </c>
      <c r="Y76" s="8">
        <f>AVERAGE(O76:T76)</f>
      </c>
      <c r="Z76" s="8">
        <f>AVERAGE(L76:T76)</f>
      </c>
      <c r="AA76" s="4">
        <f>IFERROR((X76*2)/(Y76+Z76), 0)</f>
      </c>
      <c r="AB76" s="4">
        <f>IFERROR(W76/SUM(E76:H76), 0)</f>
      </c>
      <c r="AC76" s="4">
        <f>IFERROR(W76/SUM(E76:H76), 0)</f>
      </c>
      <c r="AD76" s="4">
        <f>IFERROR(T76/H76, 0)</f>
      </c>
    </row>
    <row r="77" ht="20" customHeight="1" spans="1:30" x14ac:dyDescent="0.25">
      <c r="A77">
        <v>74</v>
      </c>
      <c r="B77" t="s">
        <v>236</v>
      </c>
      <c r="C77" t="s">
        <v>367</v>
      </c>
      <c r="D77" s="2" t="s">
        <v>236</v>
      </c>
      <c r="E77" s="8">
        <f>SUMIFS('Data nguồn'!H:H, 'Data nguồn'!D:D, $D77, 'Data nguồn'!F:F, $B$1, 'Data nguồn'!C:C, E$3)</f>
      </c>
      <c r="F77" s="8">
        <f>SUMIFS('Data nguồn'!H:H, 'Data nguồn'!D:D, $D77, 'Data nguồn'!F:F, $B$1, 'Data nguồn'!C:C, F$3)</f>
      </c>
      <c r="G77" s="8">
        <f>SUMIFS('Data nguồn'!H:H, 'Data nguồn'!D:D, $D77, 'Data nguồn'!F:F, $B$1, 'Data nguồn'!C:C, G$3)</f>
      </c>
      <c r="H77" s="8">
        <f>SUMIFS('Data nguồn'!H:H, 'Data nguồn'!D:D, $D77, 'Data nguồn'!F:F, $B$1, 'Data nguồn'!C:C, H$3)</f>
      </c>
      <c r="I77" s="8">
        <f>SUMIFS('Data nguồn'!H:H, 'Data nguồn'!D:D, $D77, 'Data nguồn'!F:F, $B$1, 'Data nguồn'!C:C, I$3)</f>
      </c>
      <c r="J77" s="8">
        <f>SUMIFS('Data nguồn'!H:H, 'Data nguồn'!D:D, $D77, 'Data nguồn'!F:F, $B$1, 'Data nguồn'!C:C, J$3)</f>
      </c>
      <c r="K77" s="8">
        <f>SUMIFS('Data nguồn'!H:H, 'Data nguồn'!D:D, $D77, 'Data nguồn'!F:F, $B$1, 'Data nguồn'!C:C, K$3)</f>
      </c>
      <c r="L77" s="8">
        <f>SUMIFS('Data nguồn'!H:H, 'Data nguồn'!D:D, $D77, 'Data nguồn'!F:F, $B$1, 'Data nguồn'!C:C, L$3)</f>
      </c>
      <c r="M77" s="8">
        <f>SUMIFS('Data nguồn'!H:H, 'Data nguồn'!D:D, $D77, 'Data nguồn'!F:F, $B$1, 'Data nguồn'!C:C, M$3)</f>
      </c>
      <c r="N77" s="8">
        <f>SUMIFS('Data nguồn'!H:H, 'Data nguồn'!D:D, $D77, 'Data nguồn'!F:F, $B$1, 'Data nguồn'!C:C, N$3)</f>
      </c>
      <c r="O77" s="8">
        <f>SUMIFS('Data nguồn'!H:H, 'Data nguồn'!D:D, $D77, 'Data nguồn'!F:F, $B$1, 'Data nguồn'!C:C, O$3)</f>
      </c>
      <c r="P77" s="8">
        <f>SUMIFS('Data nguồn'!H:H, 'Data nguồn'!D:D, $D77, 'Data nguồn'!F:F, $B$1, 'Data nguồn'!C:C, P$3)</f>
      </c>
      <c r="Q77" s="8">
        <f>SUMIFS('Data nguồn'!H:H, 'Data nguồn'!D:D, $D77, 'Data nguồn'!F:F, $B$1, 'Data nguồn'!C:C, Q$3)</f>
      </c>
      <c r="R77" s="8">
        <f>SUMIFS('Data nguồn'!H:H, 'Data nguồn'!D:D, $D77, 'Data nguồn'!F:F, $B$1, 'Data nguồn'!C:C, R$3)</f>
      </c>
      <c r="S77" s="8">
        <f>SUMIFS('Data nguồn'!H:H, 'Data nguồn'!D:D, $D77, 'Data nguồn'!F:F, $B$1, 'Data nguồn'!C:C, S$3)</f>
      </c>
      <c r="T77" s="8">
        <f>SUMIFS('Data nguồn'!H:H, 'Data nguồn'!D:D, $D77, 'Data nguồn'!F:F, $B$1, 'Data nguồn'!C:C, T$3)</f>
      </c>
      <c r="V77" s="8">
        <f>SUM(E77:P77)</f>
      </c>
      <c r="W77" s="8">
        <f>SUM(Q77:T77)</f>
      </c>
      <c r="X77" s="8">
        <f>AVERAGE(R77:T77)</f>
      </c>
      <c r="Y77" s="8">
        <f>AVERAGE(O77:T77)</f>
      </c>
      <c r="Z77" s="8">
        <f>AVERAGE(L77:T77)</f>
      </c>
      <c r="AA77" s="4">
        <f>IFERROR((X77*2)/(Y77+Z77), 0)</f>
      </c>
      <c r="AB77" s="4">
        <f>IFERROR(W77/SUM(E77:H77), 0)</f>
      </c>
      <c r="AC77" s="4">
        <f>IFERROR(W77/SUM(E77:H77), 0)</f>
      </c>
      <c r="AD77" s="4">
        <f>IFERROR(T77/H77, 0)</f>
      </c>
    </row>
    <row r="78" ht="20" customHeight="1" spans="1:30" x14ac:dyDescent="0.25">
      <c r="A78">
        <v>75</v>
      </c>
      <c r="B78" t="s">
        <v>237</v>
      </c>
      <c r="C78" t="s">
        <v>363</v>
      </c>
      <c r="D78" s="2" t="s">
        <v>237</v>
      </c>
      <c r="E78" s="8">
        <f>SUMIFS('Data nguồn'!H:H, 'Data nguồn'!D:D, $D78, 'Data nguồn'!F:F, $B$1, 'Data nguồn'!C:C, E$3)</f>
      </c>
      <c r="F78" s="8">
        <f>SUMIFS('Data nguồn'!H:H, 'Data nguồn'!D:D, $D78, 'Data nguồn'!F:F, $B$1, 'Data nguồn'!C:C, F$3)</f>
      </c>
      <c r="G78" s="8">
        <f>SUMIFS('Data nguồn'!H:H, 'Data nguồn'!D:D, $D78, 'Data nguồn'!F:F, $B$1, 'Data nguồn'!C:C, G$3)</f>
      </c>
      <c r="H78" s="8">
        <f>SUMIFS('Data nguồn'!H:H, 'Data nguồn'!D:D, $D78, 'Data nguồn'!F:F, $B$1, 'Data nguồn'!C:C, H$3)</f>
      </c>
      <c r="I78" s="8">
        <f>SUMIFS('Data nguồn'!H:H, 'Data nguồn'!D:D, $D78, 'Data nguồn'!F:F, $B$1, 'Data nguồn'!C:C, I$3)</f>
      </c>
      <c r="J78" s="8">
        <f>SUMIFS('Data nguồn'!H:H, 'Data nguồn'!D:D, $D78, 'Data nguồn'!F:F, $B$1, 'Data nguồn'!C:C, J$3)</f>
      </c>
      <c r="K78" s="8">
        <f>SUMIFS('Data nguồn'!H:H, 'Data nguồn'!D:D, $D78, 'Data nguồn'!F:F, $B$1, 'Data nguồn'!C:C, K$3)</f>
      </c>
      <c r="L78" s="8">
        <f>SUMIFS('Data nguồn'!H:H, 'Data nguồn'!D:D, $D78, 'Data nguồn'!F:F, $B$1, 'Data nguồn'!C:C, L$3)</f>
      </c>
      <c r="M78" s="8">
        <f>SUMIFS('Data nguồn'!H:H, 'Data nguồn'!D:D, $D78, 'Data nguồn'!F:F, $B$1, 'Data nguồn'!C:C, M$3)</f>
      </c>
      <c r="N78" s="8">
        <f>SUMIFS('Data nguồn'!H:H, 'Data nguồn'!D:D, $D78, 'Data nguồn'!F:F, $B$1, 'Data nguồn'!C:C, N$3)</f>
      </c>
      <c r="O78" s="8">
        <f>SUMIFS('Data nguồn'!H:H, 'Data nguồn'!D:D, $D78, 'Data nguồn'!F:F, $B$1, 'Data nguồn'!C:C, O$3)</f>
      </c>
      <c r="P78" s="8">
        <f>SUMIFS('Data nguồn'!H:H, 'Data nguồn'!D:D, $D78, 'Data nguồn'!F:F, $B$1, 'Data nguồn'!C:C, P$3)</f>
      </c>
      <c r="Q78" s="8">
        <f>SUMIFS('Data nguồn'!H:H, 'Data nguồn'!D:D, $D78, 'Data nguồn'!F:F, $B$1, 'Data nguồn'!C:C, Q$3)</f>
      </c>
      <c r="R78" s="8">
        <f>SUMIFS('Data nguồn'!H:H, 'Data nguồn'!D:D, $D78, 'Data nguồn'!F:F, $B$1, 'Data nguồn'!C:C, R$3)</f>
      </c>
      <c r="S78" s="8">
        <f>SUMIFS('Data nguồn'!H:H, 'Data nguồn'!D:D, $D78, 'Data nguồn'!F:F, $B$1, 'Data nguồn'!C:C, S$3)</f>
      </c>
      <c r="T78" s="8">
        <f>SUMIFS('Data nguồn'!H:H, 'Data nguồn'!D:D, $D78, 'Data nguồn'!F:F, $B$1, 'Data nguồn'!C:C, T$3)</f>
      </c>
      <c r="V78" s="8">
        <f>SUM(E78:P78)</f>
      </c>
      <c r="W78" s="8">
        <f>SUM(Q78:T78)</f>
      </c>
      <c r="X78" s="8">
        <f>AVERAGE(R78:T78)</f>
      </c>
      <c r="Y78" s="8">
        <f>AVERAGE(O78:T78)</f>
      </c>
      <c r="Z78" s="8">
        <f>AVERAGE(L78:T78)</f>
      </c>
      <c r="AA78" s="4">
        <f>IFERROR((X78*2)/(Y78+Z78), 0)</f>
      </c>
      <c r="AB78" s="4">
        <f>IFERROR(W78/SUM(E78:H78), 0)</f>
      </c>
      <c r="AC78" s="4">
        <f>IFERROR(W78/SUM(E78:H78), 0)</f>
      </c>
      <c r="AD78" s="4">
        <f>IFERROR(T78/H78, 0)</f>
      </c>
    </row>
    <row r="79" ht="20" customHeight="1" spans="1:30" x14ac:dyDescent="0.25">
      <c r="A79">
        <v>76</v>
      </c>
      <c r="B79" t="s">
        <v>238</v>
      </c>
      <c r="C79" t="s">
        <v>367</v>
      </c>
      <c r="D79" s="2" t="s">
        <v>238</v>
      </c>
      <c r="E79" s="8">
        <f>SUMIFS('Data nguồn'!H:H, 'Data nguồn'!D:D, $D79, 'Data nguồn'!F:F, $B$1, 'Data nguồn'!C:C, E$3)</f>
      </c>
      <c r="F79" s="8">
        <f>SUMIFS('Data nguồn'!H:H, 'Data nguồn'!D:D, $D79, 'Data nguồn'!F:F, $B$1, 'Data nguồn'!C:C, F$3)</f>
      </c>
      <c r="G79" s="8">
        <f>SUMIFS('Data nguồn'!H:H, 'Data nguồn'!D:D, $D79, 'Data nguồn'!F:F, $B$1, 'Data nguồn'!C:C, G$3)</f>
      </c>
      <c r="H79" s="8">
        <f>SUMIFS('Data nguồn'!H:H, 'Data nguồn'!D:D, $D79, 'Data nguồn'!F:F, $B$1, 'Data nguồn'!C:C, H$3)</f>
      </c>
      <c r="I79" s="8">
        <f>SUMIFS('Data nguồn'!H:H, 'Data nguồn'!D:D, $D79, 'Data nguồn'!F:F, $B$1, 'Data nguồn'!C:C, I$3)</f>
      </c>
      <c r="J79" s="8">
        <f>SUMIFS('Data nguồn'!H:H, 'Data nguồn'!D:D, $D79, 'Data nguồn'!F:F, $B$1, 'Data nguồn'!C:C, J$3)</f>
      </c>
      <c r="K79" s="8">
        <f>SUMIFS('Data nguồn'!H:H, 'Data nguồn'!D:D, $D79, 'Data nguồn'!F:F, $B$1, 'Data nguồn'!C:C, K$3)</f>
      </c>
      <c r="L79" s="8">
        <f>SUMIFS('Data nguồn'!H:H, 'Data nguồn'!D:D, $D79, 'Data nguồn'!F:F, $B$1, 'Data nguồn'!C:C, L$3)</f>
      </c>
      <c r="M79" s="8">
        <f>SUMIFS('Data nguồn'!H:H, 'Data nguồn'!D:D, $D79, 'Data nguồn'!F:F, $B$1, 'Data nguồn'!C:C, M$3)</f>
      </c>
      <c r="N79" s="8">
        <f>SUMIFS('Data nguồn'!H:H, 'Data nguồn'!D:D, $D79, 'Data nguồn'!F:F, $B$1, 'Data nguồn'!C:C, N$3)</f>
      </c>
      <c r="O79" s="8">
        <f>SUMIFS('Data nguồn'!H:H, 'Data nguồn'!D:D, $D79, 'Data nguồn'!F:F, $B$1, 'Data nguồn'!C:C, O$3)</f>
      </c>
      <c r="P79" s="8">
        <f>SUMIFS('Data nguồn'!H:H, 'Data nguồn'!D:D, $D79, 'Data nguồn'!F:F, $B$1, 'Data nguồn'!C:C, P$3)</f>
      </c>
      <c r="Q79" s="8">
        <f>SUMIFS('Data nguồn'!H:H, 'Data nguồn'!D:D, $D79, 'Data nguồn'!F:F, $B$1, 'Data nguồn'!C:C, Q$3)</f>
      </c>
      <c r="R79" s="8">
        <f>SUMIFS('Data nguồn'!H:H, 'Data nguồn'!D:D, $D79, 'Data nguồn'!F:F, $B$1, 'Data nguồn'!C:C, R$3)</f>
      </c>
      <c r="S79" s="8">
        <f>SUMIFS('Data nguồn'!H:H, 'Data nguồn'!D:D, $D79, 'Data nguồn'!F:F, $B$1, 'Data nguồn'!C:C, S$3)</f>
      </c>
      <c r="T79" s="8">
        <f>SUMIFS('Data nguồn'!H:H, 'Data nguồn'!D:D, $D79, 'Data nguồn'!F:F, $B$1, 'Data nguồn'!C:C, T$3)</f>
      </c>
      <c r="V79" s="8">
        <f>SUM(E79:P79)</f>
      </c>
      <c r="W79" s="8">
        <f>SUM(Q79:T79)</f>
      </c>
      <c r="X79" s="8">
        <f>AVERAGE(R79:T79)</f>
      </c>
      <c r="Y79" s="8">
        <f>AVERAGE(O79:T79)</f>
      </c>
      <c r="Z79" s="8">
        <f>AVERAGE(L79:T79)</f>
      </c>
      <c r="AA79" s="4">
        <f>IFERROR((X79*2)/(Y79+Z79), 0)</f>
      </c>
      <c r="AB79" s="4">
        <f>IFERROR(W79/SUM(E79:H79), 0)</f>
      </c>
      <c r="AC79" s="4">
        <f>IFERROR(W79/SUM(E79:H79), 0)</f>
      </c>
      <c r="AD79" s="4">
        <f>IFERROR(T79/H79, 0)</f>
      </c>
    </row>
    <row r="80" ht="20" customHeight="1" spans="1:30" x14ac:dyDescent="0.25">
      <c r="A80">
        <v>77</v>
      </c>
      <c r="B80" t="s">
        <v>239</v>
      </c>
      <c r="C80" t="s">
        <v>367</v>
      </c>
      <c r="D80" s="2" t="s">
        <v>239</v>
      </c>
      <c r="E80" s="8">
        <f>SUMIFS('Data nguồn'!H:H, 'Data nguồn'!D:D, $D80, 'Data nguồn'!F:F, $B$1, 'Data nguồn'!C:C, E$3)</f>
      </c>
      <c r="F80" s="8">
        <f>SUMIFS('Data nguồn'!H:H, 'Data nguồn'!D:D, $D80, 'Data nguồn'!F:F, $B$1, 'Data nguồn'!C:C, F$3)</f>
      </c>
      <c r="G80" s="8">
        <f>SUMIFS('Data nguồn'!H:H, 'Data nguồn'!D:D, $D80, 'Data nguồn'!F:F, $B$1, 'Data nguồn'!C:C, G$3)</f>
      </c>
      <c r="H80" s="8">
        <f>SUMIFS('Data nguồn'!H:H, 'Data nguồn'!D:D, $D80, 'Data nguồn'!F:F, $B$1, 'Data nguồn'!C:C, H$3)</f>
      </c>
      <c r="I80" s="8">
        <f>SUMIFS('Data nguồn'!H:H, 'Data nguồn'!D:D, $D80, 'Data nguồn'!F:F, $B$1, 'Data nguồn'!C:C, I$3)</f>
      </c>
      <c r="J80" s="8">
        <f>SUMIFS('Data nguồn'!H:H, 'Data nguồn'!D:D, $D80, 'Data nguồn'!F:F, $B$1, 'Data nguồn'!C:C, J$3)</f>
      </c>
      <c r="K80" s="8">
        <f>SUMIFS('Data nguồn'!H:H, 'Data nguồn'!D:D, $D80, 'Data nguồn'!F:F, $B$1, 'Data nguồn'!C:C, K$3)</f>
      </c>
      <c r="L80" s="8">
        <f>SUMIFS('Data nguồn'!H:H, 'Data nguồn'!D:D, $D80, 'Data nguồn'!F:F, $B$1, 'Data nguồn'!C:C, L$3)</f>
      </c>
      <c r="M80" s="8">
        <f>SUMIFS('Data nguồn'!H:H, 'Data nguồn'!D:D, $D80, 'Data nguồn'!F:F, $B$1, 'Data nguồn'!C:C, M$3)</f>
      </c>
      <c r="N80" s="8">
        <f>SUMIFS('Data nguồn'!H:H, 'Data nguồn'!D:D, $D80, 'Data nguồn'!F:F, $B$1, 'Data nguồn'!C:C, N$3)</f>
      </c>
      <c r="O80" s="8">
        <f>SUMIFS('Data nguồn'!H:H, 'Data nguồn'!D:D, $D80, 'Data nguồn'!F:F, $B$1, 'Data nguồn'!C:C, O$3)</f>
      </c>
      <c r="P80" s="8">
        <f>SUMIFS('Data nguồn'!H:H, 'Data nguồn'!D:D, $D80, 'Data nguồn'!F:F, $B$1, 'Data nguồn'!C:C, P$3)</f>
      </c>
      <c r="Q80" s="8">
        <f>SUMIFS('Data nguồn'!H:H, 'Data nguồn'!D:D, $D80, 'Data nguồn'!F:F, $B$1, 'Data nguồn'!C:C, Q$3)</f>
      </c>
      <c r="R80" s="8">
        <f>SUMIFS('Data nguồn'!H:H, 'Data nguồn'!D:D, $D80, 'Data nguồn'!F:F, $B$1, 'Data nguồn'!C:C, R$3)</f>
      </c>
      <c r="S80" s="8">
        <f>SUMIFS('Data nguồn'!H:H, 'Data nguồn'!D:D, $D80, 'Data nguồn'!F:F, $B$1, 'Data nguồn'!C:C, S$3)</f>
      </c>
      <c r="T80" s="8">
        <f>SUMIFS('Data nguồn'!H:H, 'Data nguồn'!D:D, $D80, 'Data nguồn'!F:F, $B$1, 'Data nguồn'!C:C, T$3)</f>
      </c>
      <c r="V80" s="8">
        <f>SUM(E80:P80)</f>
      </c>
      <c r="W80" s="8">
        <f>SUM(Q80:T80)</f>
      </c>
      <c r="X80" s="8">
        <f>AVERAGE(R80:T80)</f>
      </c>
      <c r="Y80" s="8">
        <f>AVERAGE(O80:T80)</f>
      </c>
      <c r="Z80" s="8">
        <f>AVERAGE(L80:T80)</f>
      </c>
      <c r="AA80" s="4">
        <f>IFERROR((X80*2)/(Y80+Z80), 0)</f>
      </c>
      <c r="AB80" s="4">
        <f>IFERROR(W80/SUM(E80:H80), 0)</f>
      </c>
      <c r="AC80" s="4">
        <f>IFERROR(W80/SUM(E80:H80), 0)</f>
      </c>
      <c r="AD80" s="4">
        <f>IFERROR(T80/H80, 0)</f>
      </c>
    </row>
    <row r="81" ht="20" customHeight="1" spans="1:30" x14ac:dyDescent="0.25">
      <c r="A81">
        <v>78</v>
      </c>
      <c r="B81" t="s">
        <v>240</v>
      </c>
      <c r="C81" t="s">
        <v>367</v>
      </c>
      <c r="D81" s="2" t="s">
        <v>240</v>
      </c>
      <c r="E81" s="8">
        <f>SUMIFS('Data nguồn'!H:H, 'Data nguồn'!D:D, $D81, 'Data nguồn'!F:F, $B$1, 'Data nguồn'!C:C, E$3)</f>
      </c>
      <c r="F81" s="8">
        <f>SUMIFS('Data nguồn'!H:H, 'Data nguồn'!D:D, $D81, 'Data nguồn'!F:F, $B$1, 'Data nguồn'!C:C, F$3)</f>
      </c>
      <c r="G81" s="8">
        <f>SUMIFS('Data nguồn'!H:H, 'Data nguồn'!D:D, $D81, 'Data nguồn'!F:F, $B$1, 'Data nguồn'!C:C, G$3)</f>
      </c>
      <c r="H81" s="8">
        <f>SUMIFS('Data nguồn'!H:H, 'Data nguồn'!D:D, $D81, 'Data nguồn'!F:F, $B$1, 'Data nguồn'!C:C, H$3)</f>
      </c>
      <c r="I81" s="8">
        <f>SUMIFS('Data nguồn'!H:H, 'Data nguồn'!D:D, $D81, 'Data nguồn'!F:F, $B$1, 'Data nguồn'!C:C, I$3)</f>
      </c>
      <c r="J81" s="8">
        <f>SUMIFS('Data nguồn'!H:H, 'Data nguồn'!D:D, $D81, 'Data nguồn'!F:F, $B$1, 'Data nguồn'!C:C, J$3)</f>
      </c>
      <c r="K81" s="8">
        <f>SUMIFS('Data nguồn'!H:H, 'Data nguồn'!D:D, $D81, 'Data nguồn'!F:F, $B$1, 'Data nguồn'!C:C, K$3)</f>
      </c>
      <c r="L81" s="8">
        <f>SUMIFS('Data nguồn'!H:H, 'Data nguồn'!D:D, $D81, 'Data nguồn'!F:F, $B$1, 'Data nguồn'!C:C, L$3)</f>
      </c>
      <c r="M81" s="8">
        <f>SUMIFS('Data nguồn'!H:H, 'Data nguồn'!D:D, $D81, 'Data nguồn'!F:F, $B$1, 'Data nguồn'!C:C, M$3)</f>
      </c>
      <c r="N81" s="8">
        <f>SUMIFS('Data nguồn'!H:H, 'Data nguồn'!D:D, $D81, 'Data nguồn'!F:F, $B$1, 'Data nguồn'!C:C, N$3)</f>
      </c>
      <c r="O81" s="8">
        <f>SUMIFS('Data nguồn'!H:H, 'Data nguồn'!D:D, $D81, 'Data nguồn'!F:F, $B$1, 'Data nguồn'!C:C, O$3)</f>
      </c>
      <c r="P81" s="8">
        <f>SUMIFS('Data nguồn'!H:H, 'Data nguồn'!D:D, $D81, 'Data nguồn'!F:F, $B$1, 'Data nguồn'!C:C, P$3)</f>
      </c>
      <c r="Q81" s="8">
        <f>SUMIFS('Data nguồn'!H:H, 'Data nguồn'!D:D, $D81, 'Data nguồn'!F:F, $B$1, 'Data nguồn'!C:C, Q$3)</f>
      </c>
      <c r="R81" s="8">
        <f>SUMIFS('Data nguồn'!H:H, 'Data nguồn'!D:D, $D81, 'Data nguồn'!F:F, $B$1, 'Data nguồn'!C:C, R$3)</f>
      </c>
      <c r="S81" s="8">
        <f>SUMIFS('Data nguồn'!H:H, 'Data nguồn'!D:D, $D81, 'Data nguồn'!F:F, $B$1, 'Data nguồn'!C:C, S$3)</f>
      </c>
      <c r="T81" s="8">
        <f>SUMIFS('Data nguồn'!H:H, 'Data nguồn'!D:D, $D81, 'Data nguồn'!F:F, $B$1, 'Data nguồn'!C:C, T$3)</f>
      </c>
      <c r="V81" s="8">
        <f>SUM(E81:P81)</f>
      </c>
      <c r="W81" s="8">
        <f>SUM(Q81:T81)</f>
      </c>
      <c r="X81" s="8">
        <f>AVERAGE(R81:T81)</f>
      </c>
      <c r="Y81" s="8">
        <f>AVERAGE(O81:T81)</f>
      </c>
      <c r="Z81" s="8">
        <f>AVERAGE(L81:T81)</f>
      </c>
      <c r="AA81" s="4">
        <f>IFERROR((X81*2)/(Y81+Z81), 0)</f>
      </c>
      <c r="AB81" s="4">
        <f>IFERROR(W81/SUM(E81:H81), 0)</f>
      </c>
      <c r="AC81" s="4">
        <f>IFERROR(W81/SUM(E81:H81), 0)</f>
      </c>
      <c r="AD81" s="4">
        <f>IFERROR(T81/H81, 0)</f>
      </c>
    </row>
    <row r="82" ht="20" customHeight="1" spans="1:30" x14ac:dyDescent="0.25">
      <c r="A82">
        <v>79</v>
      </c>
      <c r="B82" t="s">
        <v>241</v>
      </c>
      <c r="C82" t="s">
        <v>367</v>
      </c>
      <c r="D82" s="2" t="s">
        <v>241</v>
      </c>
      <c r="E82" s="8">
        <f>SUMIFS('Data nguồn'!H:H, 'Data nguồn'!D:D, $D82, 'Data nguồn'!F:F, $B$1, 'Data nguồn'!C:C, E$3)</f>
      </c>
      <c r="F82" s="8">
        <f>SUMIFS('Data nguồn'!H:H, 'Data nguồn'!D:D, $D82, 'Data nguồn'!F:F, $B$1, 'Data nguồn'!C:C, F$3)</f>
      </c>
      <c r="G82" s="8">
        <f>SUMIFS('Data nguồn'!H:H, 'Data nguồn'!D:D, $D82, 'Data nguồn'!F:F, $B$1, 'Data nguồn'!C:C, G$3)</f>
      </c>
      <c r="H82" s="8">
        <f>SUMIFS('Data nguồn'!H:H, 'Data nguồn'!D:D, $D82, 'Data nguồn'!F:F, $B$1, 'Data nguồn'!C:C, H$3)</f>
      </c>
      <c r="I82" s="8">
        <f>SUMIFS('Data nguồn'!H:H, 'Data nguồn'!D:D, $D82, 'Data nguồn'!F:F, $B$1, 'Data nguồn'!C:C, I$3)</f>
      </c>
      <c r="J82" s="8">
        <f>SUMIFS('Data nguồn'!H:H, 'Data nguồn'!D:D, $D82, 'Data nguồn'!F:F, $B$1, 'Data nguồn'!C:C, J$3)</f>
      </c>
      <c r="K82" s="8">
        <f>SUMIFS('Data nguồn'!H:H, 'Data nguồn'!D:D, $D82, 'Data nguồn'!F:F, $B$1, 'Data nguồn'!C:C, K$3)</f>
      </c>
      <c r="L82" s="8">
        <f>SUMIFS('Data nguồn'!H:H, 'Data nguồn'!D:D, $D82, 'Data nguồn'!F:F, $B$1, 'Data nguồn'!C:C, L$3)</f>
      </c>
      <c r="M82" s="8">
        <f>SUMIFS('Data nguồn'!H:H, 'Data nguồn'!D:D, $D82, 'Data nguồn'!F:F, $B$1, 'Data nguồn'!C:C, M$3)</f>
      </c>
      <c r="N82" s="8">
        <f>SUMIFS('Data nguồn'!H:H, 'Data nguồn'!D:D, $D82, 'Data nguồn'!F:F, $B$1, 'Data nguồn'!C:C, N$3)</f>
      </c>
      <c r="O82" s="8">
        <f>SUMIFS('Data nguồn'!H:H, 'Data nguồn'!D:D, $D82, 'Data nguồn'!F:F, $B$1, 'Data nguồn'!C:C, O$3)</f>
      </c>
      <c r="P82" s="8">
        <f>SUMIFS('Data nguồn'!H:H, 'Data nguồn'!D:D, $D82, 'Data nguồn'!F:F, $B$1, 'Data nguồn'!C:C, P$3)</f>
      </c>
      <c r="Q82" s="8">
        <f>SUMIFS('Data nguồn'!H:H, 'Data nguồn'!D:D, $D82, 'Data nguồn'!F:F, $B$1, 'Data nguồn'!C:C, Q$3)</f>
      </c>
      <c r="R82" s="8">
        <f>SUMIFS('Data nguồn'!H:H, 'Data nguồn'!D:D, $D82, 'Data nguồn'!F:F, $B$1, 'Data nguồn'!C:C, R$3)</f>
      </c>
      <c r="S82" s="8">
        <f>SUMIFS('Data nguồn'!H:H, 'Data nguồn'!D:D, $D82, 'Data nguồn'!F:F, $B$1, 'Data nguồn'!C:C, S$3)</f>
      </c>
      <c r="T82" s="8">
        <f>SUMIFS('Data nguồn'!H:H, 'Data nguồn'!D:D, $D82, 'Data nguồn'!F:F, $B$1, 'Data nguồn'!C:C, T$3)</f>
      </c>
      <c r="V82" s="8">
        <f>SUM(E82:P82)</f>
      </c>
      <c r="W82" s="8">
        <f>SUM(Q82:T82)</f>
      </c>
      <c r="X82" s="8">
        <f>AVERAGE(R82:T82)</f>
      </c>
      <c r="Y82" s="8">
        <f>AVERAGE(O82:T82)</f>
      </c>
      <c r="Z82" s="8">
        <f>AVERAGE(L82:T82)</f>
      </c>
      <c r="AA82" s="4">
        <f>IFERROR((X82*2)/(Y82+Z82), 0)</f>
      </c>
      <c r="AB82" s="4">
        <f>IFERROR(W82/SUM(E82:H82), 0)</f>
      </c>
      <c r="AC82" s="4">
        <f>IFERROR(W82/SUM(E82:H82), 0)</f>
      </c>
      <c r="AD82" s="4">
        <f>IFERROR(T82/H82, 0)</f>
      </c>
    </row>
    <row r="83" ht="20" customHeight="1" spans="1:30" x14ac:dyDescent="0.25">
      <c r="A83">
        <v>80</v>
      </c>
      <c r="B83" t="s">
        <v>242</v>
      </c>
      <c r="C83" t="s">
        <v>367</v>
      </c>
      <c r="D83" s="2" t="s">
        <v>242</v>
      </c>
      <c r="E83" s="8">
        <f>SUMIFS('Data nguồn'!H:H, 'Data nguồn'!D:D, $D83, 'Data nguồn'!F:F, $B$1, 'Data nguồn'!C:C, E$3)</f>
      </c>
      <c r="F83" s="8">
        <f>SUMIFS('Data nguồn'!H:H, 'Data nguồn'!D:D, $D83, 'Data nguồn'!F:F, $B$1, 'Data nguồn'!C:C, F$3)</f>
      </c>
      <c r="G83" s="8">
        <f>SUMIFS('Data nguồn'!H:H, 'Data nguồn'!D:D, $D83, 'Data nguồn'!F:F, $B$1, 'Data nguồn'!C:C, G$3)</f>
      </c>
      <c r="H83" s="8">
        <f>SUMIFS('Data nguồn'!H:H, 'Data nguồn'!D:D, $D83, 'Data nguồn'!F:F, $B$1, 'Data nguồn'!C:C, H$3)</f>
      </c>
      <c r="I83" s="8">
        <f>SUMIFS('Data nguồn'!H:H, 'Data nguồn'!D:D, $D83, 'Data nguồn'!F:F, $B$1, 'Data nguồn'!C:C, I$3)</f>
      </c>
      <c r="J83" s="8">
        <f>SUMIFS('Data nguồn'!H:H, 'Data nguồn'!D:D, $D83, 'Data nguồn'!F:F, $B$1, 'Data nguồn'!C:C, J$3)</f>
      </c>
      <c r="K83" s="8">
        <f>SUMIFS('Data nguồn'!H:H, 'Data nguồn'!D:D, $D83, 'Data nguồn'!F:F, $B$1, 'Data nguồn'!C:C, K$3)</f>
      </c>
      <c r="L83" s="8">
        <f>SUMIFS('Data nguồn'!H:H, 'Data nguồn'!D:D, $D83, 'Data nguồn'!F:F, $B$1, 'Data nguồn'!C:C, L$3)</f>
      </c>
      <c r="M83" s="8">
        <f>SUMIFS('Data nguồn'!H:H, 'Data nguồn'!D:D, $D83, 'Data nguồn'!F:F, $B$1, 'Data nguồn'!C:C, M$3)</f>
      </c>
      <c r="N83" s="8">
        <f>SUMIFS('Data nguồn'!H:H, 'Data nguồn'!D:D, $D83, 'Data nguồn'!F:F, $B$1, 'Data nguồn'!C:C, N$3)</f>
      </c>
      <c r="O83" s="8">
        <f>SUMIFS('Data nguồn'!H:H, 'Data nguồn'!D:D, $D83, 'Data nguồn'!F:F, $B$1, 'Data nguồn'!C:C, O$3)</f>
      </c>
      <c r="P83" s="8">
        <f>SUMIFS('Data nguồn'!H:H, 'Data nguồn'!D:D, $D83, 'Data nguồn'!F:F, $B$1, 'Data nguồn'!C:C, P$3)</f>
      </c>
      <c r="Q83" s="8">
        <f>SUMIFS('Data nguồn'!H:H, 'Data nguồn'!D:D, $D83, 'Data nguồn'!F:F, $B$1, 'Data nguồn'!C:C, Q$3)</f>
      </c>
      <c r="R83" s="8">
        <f>SUMIFS('Data nguồn'!H:H, 'Data nguồn'!D:D, $D83, 'Data nguồn'!F:F, $B$1, 'Data nguồn'!C:C, R$3)</f>
      </c>
      <c r="S83" s="8">
        <f>SUMIFS('Data nguồn'!H:H, 'Data nguồn'!D:D, $D83, 'Data nguồn'!F:F, $B$1, 'Data nguồn'!C:C, S$3)</f>
      </c>
      <c r="T83" s="8">
        <f>SUMIFS('Data nguồn'!H:H, 'Data nguồn'!D:D, $D83, 'Data nguồn'!F:F, $B$1, 'Data nguồn'!C:C, T$3)</f>
      </c>
      <c r="V83" s="8">
        <f>SUM(E83:P83)</f>
      </c>
      <c r="W83" s="8">
        <f>SUM(Q83:T83)</f>
      </c>
      <c r="X83" s="8">
        <f>AVERAGE(R83:T83)</f>
      </c>
      <c r="Y83" s="8">
        <f>AVERAGE(O83:T83)</f>
      </c>
      <c r="Z83" s="8">
        <f>AVERAGE(L83:T83)</f>
      </c>
      <c r="AA83" s="4">
        <f>IFERROR((X83*2)/(Y83+Z83), 0)</f>
      </c>
      <c r="AB83" s="4">
        <f>IFERROR(W83/SUM(E83:H83), 0)</f>
      </c>
      <c r="AC83" s="4">
        <f>IFERROR(W83/SUM(E83:H83), 0)</f>
      </c>
      <c r="AD83" s="4">
        <f>IFERROR(T83/H83, 0)</f>
      </c>
    </row>
    <row r="84" ht="20" customHeight="1" spans="1:30" x14ac:dyDescent="0.25">
      <c r="A84">
        <v>81</v>
      </c>
      <c r="B84" t="s">
        <v>243</v>
      </c>
      <c r="C84" t="s">
        <v>367</v>
      </c>
      <c r="D84" s="2" t="s">
        <v>243</v>
      </c>
      <c r="E84" s="8">
        <f>SUMIFS('Data nguồn'!H:H, 'Data nguồn'!D:D, $D84, 'Data nguồn'!F:F, $B$1, 'Data nguồn'!C:C, E$3)</f>
      </c>
      <c r="F84" s="8">
        <f>SUMIFS('Data nguồn'!H:H, 'Data nguồn'!D:D, $D84, 'Data nguồn'!F:F, $B$1, 'Data nguồn'!C:C, F$3)</f>
      </c>
      <c r="G84" s="8">
        <f>SUMIFS('Data nguồn'!H:H, 'Data nguồn'!D:D, $D84, 'Data nguồn'!F:F, $B$1, 'Data nguồn'!C:C, G$3)</f>
      </c>
      <c r="H84" s="8">
        <f>SUMIFS('Data nguồn'!H:H, 'Data nguồn'!D:D, $D84, 'Data nguồn'!F:F, $B$1, 'Data nguồn'!C:C, H$3)</f>
      </c>
      <c r="I84" s="8">
        <f>SUMIFS('Data nguồn'!H:H, 'Data nguồn'!D:D, $D84, 'Data nguồn'!F:F, $B$1, 'Data nguồn'!C:C, I$3)</f>
      </c>
      <c r="J84" s="8">
        <f>SUMIFS('Data nguồn'!H:H, 'Data nguồn'!D:D, $D84, 'Data nguồn'!F:F, $B$1, 'Data nguồn'!C:C, J$3)</f>
      </c>
      <c r="K84" s="8">
        <f>SUMIFS('Data nguồn'!H:H, 'Data nguồn'!D:D, $D84, 'Data nguồn'!F:F, $B$1, 'Data nguồn'!C:C, K$3)</f>
      </c>
      <c r="L84" s="8">
        <f>SUMIFS('Data nguồn'!H:H, 'Data nguồn'!D:D, $D84, 'Data nguồn'!F:F, $B$1, 'Data nguồn'!C:C, L$3)</f>
      </c>
      <c r="M84" s="8">
        <f>SUMIFS('Data nguồn'!H:H, 'Data nguồn'!D:D, $D84, 'Data nguồn'!F:F, $B$1, 'Data nguồn'!C:C, M$3)</f>
      </c>
      <c r="N84" s="8">
        <f>SUMIFS('Data nguồn'!H:H, 'Data nguồn'!D:D, $D84, 'Data nguồn'!F:F, $B$1, 'Data nguồn'!C:C, N$3)</f>
      </c>
      <c r="O84" s="8">
        <f>SUMIFS('Data nguồn'!H:H, 'Data nguồn'!D:D, $D84, 'Data nguồn'!F:F, $B$1, 'Data nguồn'!C:C, O$3)</f>
      </c>
      <c r="P84" s="8">
        <f>SUMIFS('Data nguồn'!H:H, 'Data nguồn'!D:D, $D84, 'Data nguồn'!F:F, $B$1, 'Data nguồn'!C:C, P$3)</f>
      </c>
      <c r="Q84" s="8">
        <f>SUMIFS('Data nguồn'!H:H, 'Data nguồn'!D:D, $D84, 'Data nguồn'!F:F, $B$1, 'Data nguồn'!C:C, Q$3)</f>
      </c>
      <c r="R84" s="8">
        <f>SUMIFS('Data nguồn'!H:H, 'Data nguồn'!D:D, $D84, 'Data nguồn'!F:F, $B$1, 'Data nguồn'!C:C, R$3)</f>
      </c>
      <c r="S84" s="8">
        <f>SUMIFS('Data nguồn'!H:H, 'Data nguồn'!D:D, $D84, 'Data nguồn'!F:F, $B$1, 'Data nguồn'!C:C, S$3)</f>
      </c>
      <c r="T84" s="8">
        <f>SUMIFS('Data nguồn'!H:H, 'Data nguồn'!D:D, $D84, 'Data nguồn'!F:F, $B$1, 'Data nguồn'!C:C, T$3)</f>
      </c>
      <c r="V84" s="8">
        <f>SUM(E84:P84)</f>
      </c>
      <c r="W84" s="8">
        <f>SUM(Q84:T84)</f>
      </c>
      <c r="X84" s="8">
        <f>AVERAGE(R84:T84)</f>
      </c>
      <c r="Y84" s="8">
        <f>AVERAGE(O84:T84)</f>
      </c>
      <c r="Z84" s="8">
        <f>AVERAGE(L84:T84)</f>
      </c>
      <c r="AA84" s="4">
        <f>IFERROR((X84*2)/(Y84+Z84), 0)</f>
      </c>
      <c r="AB84" s="4">
        <f>IFERROR(W84/SUM(E84:H84), 0)</f>
      </c>
      <c r="AC84" s="4">
        <f>IFERROR(W84/SUM(E84:H84), 0)</f>
      </c>
      <c r="AD84" s="4">
        <f>IFERROR(T84/H84, 0)</f>
      </c>
    </row>
    <row r="85" ht="20" customHeight="1" spans="1:30" x14ac:dyDescent="0.25">
      <c r="A85">
        <v>82</v>
      </c>
      <c r="B85" t="s">
        <v>244</v>
      </c>
      <c r="C85" t="s">
        <v>367</v>
      </c>
      <c r="D85" s="2" t="s">
        <v>244</v>
      </c>
      <c r="E85" s="8">
        <f>SUMIFS('Data nguồn'!H:H, 'Data nguồn'!D:D, $D85, 'Data nguồn'!F:F, $B$1, 'Data nguồn'!C:C, E$3)</f>
      </c>
      <c r="F85" s="8">
        <f>SUMIFS('Data nguồn'!H:H, 'Data nguồn'!D:D, $D85, 'Data nguồn'!F:F, $B$1, 'Data nguồn'!C:C, F$3)</f>
      </c>
      <c r="G85" s="8">
        <f>SUMIFS('Data nguồn'!H:H, 'Data nguồn'!D:D, $D85, 'Data nguồn'!F:F, $B$1, 'Data nguồn'!C:C, G$3)</f>
      </c>
      <c r="H85" s="8">
        <f>SUMIFS('Data nguồn'!H:H, 'Data nguồn'!D:D, $D85, 'Data nguồn'!F:F, $B$1, 'Data nguồn'!C:C, H$3)</f>
      </c>
      <c r="I85" s="8">
        <f>SUMIFS('Data nguồn'!H:H, 'Data nguồn'!D:D, $D85, 'Data nguồn'!F:F, $B$1, 'Data nguồn'!C:C, I$3)</f>
      </c>
      <c r="J85" s="8">
        <f>SUMIFS('Data nguồn'!H:H, 'Data nguồn'!D:D, $D85, 'Data nguồn'!F:F, $B$1, 'Data nguồn'!C:C, J$3)</f>
      </c>
      <c r="K85" s="8">
        <f>SUMIFS('Data nguồn'!H:H, 'Data nguồn'!D:D, $D85, 'Data nguồn'!F:F, $B$1, 'Data nguồn'!C:C, K$3)</f>
      </c>
      <c r="L85" s="8">
        <f>SUMIFS('Data nguồn'!H:H, 'Data nguồn'!D:D, $D85, 'Data nguồn'!F:F, $B$1, 'Data nguồn'!C:C, L$3)</f>
      </c>
      <c r="M85" s="8">
        <f>SUMIFS('Data nguồn'!H:H, 'Data nguồn'!D:D, $D85, 'Data nguồn'!F:F, $B$1, 'Data nguồn'!C:C, M$3)</f>
      </c>
      <c r="N85" s="8">
        <f>SUMIFS('Data nguồn'!H:H, 'Data nguồn'!D:D, $D85, 'Data nguồn'!F:F, $B$1, 'Data nguồn'!C:C, N$3)</f>
      </c>
      <c r="O85" s="8">
        <f>SUMIFS('Data nguồn'!H:H, 'Data nguồn'!D:D, $D85, 'Data nguồn'!F:F, $B$1, 'Data nguồn'!C:C, O$3)</f>
      </c>
      <c r="P85" s="8">
        <f>SUMIFS('Data nguồn'!H:H, 'Data nguồn'!D:D, $D85, 'Data nguồn'!F:F, $B$1, 'Data nguồn'!C:C, P$3)</f>
      </c>
      <c r="Q85" s="8">
        <f>SUMIFS('Data nguồn'!H:H, 'Data nguồn'!D:D, $D85, 'Data nguồn'!F:F, $B$1, 'Data nguồn'!C:C, Q$3)</f>
      </c>
      <c r="R85" s="8">
        <f>SUMIFS('Data nguồn'!H:H, 'Data nguồn'!D:D, $D85, 'Data nguồn'!F:F, $B$1, 'Data nguồn'!C:C, R$3)</f>
      </c>
      <c r="S85" s="8">
        <f>SUMIFS('Data nguồn'!H:H, 'Data nguồn'!D:D, $D85, 'Data nguồn'!F:F, $B$1, 'Data nguồn'!C:C, S$3)</f>
      </c>
      <c r="T85" s="8">
        <f>SUMIFS('Data nguồn'!H:H, 'Data nguồn'!D:D, $D85, 'Data nguồn'!F:F, $B$1, 'Data nguồn'!C:C, T$3)</f>
      </c>
      <c r="V85" s="8">
        <f>SUM(E85:P85)</f>
      </c>
      <c r="W85" s="8">
        <f>SUM(Q85:T85)</f>
      </c>
      <c r="X85" s="8">
        <f>AVERAGE(R85:T85)</f>
      </c>
      <c r="Y85" s="8">
        <f>AVERAGE(O85:T85)</f>
      </c>
      <c r="Z85" s="8">
        <f>AVERAGE(L85:T85)</f>
      </c>
      <c r="AA85" s="4">
        <f>IFERROR((X85*2)/(Y85+Z85), 0)</f>
      </c>
      <c r="AB85" s="4">
        <f>IFERROR(W85/SUM(E85:H85), 0)</f>
      </c>
      <c r="AC85" s="4">
        <f>IFERROR(W85/SUM(E85:H85), 0)</f>
      </c>
      <c r="AD85" s="4">
        <f>IFERROR(T85/H85, 0)</f>
      </c>
    </row>
    <row r="86" ht="20" customHeight="1" spans="1:30" x14ac:dyDescent="0.25">
      <c r="A86">
        <v>83</v>
      </c>
      <c r="B86" t="s">
        <v>245</v>
      </c>
      <c r="C86" t="s">
        <v>367</v>
      </c>
      <c r="D86" s="2" t="s">
        <v>245</v>
      </c>
      <c r="E86" s="8">
        <f>SUMIFS('Data nguồn'!H:H, 'Data nguồn'!D:D, $D86, 'Data nguồn'!F:F, $B$1, 'Data nguồn'!C:C, E$3)</f>
      </c>
      <c r="F86" s="8">
        <f>SUMIFS('Data nguồn'!H:H, 'Data nguồn'!D:D, $D86, 'Data nguồn'!F:F, $B$1, 'Data nguồn'!C:C, F$3)</f>
      </c>
      <c r="G86" s="8">
        <f>SUMIFS('Data nguồn'!H:H, 'Data nguồn'!D:D, $D86, 'Data nguồn'!F:F, $B$1, 'Data nguồn'!C:C, G$3)</f>
      </c>
      <c r="H86" s="8">
        <f>SUMIFS('Data nguồn'!H:H, 'Data nguồn'!D:D, $D86, 'Data nguồn'!F:F, $B$1, 'Data nguồn'!C:C, H$3)</f>
      </c>
      <c r="I86" s="8">
        <f>SUMIFS('Data nguồn'!H:H, 'Data nguồn'!D:D, $D86, 'Data nguồn'!F:F, $B$1, 'Data nguồn'!C:C, I$3)</f>
      </c>
      <c r="J86" s="8">
        <f>SUMIFS('Data nguồn'!H:H, 'Data nguồn'!D:D, $D86, 'Data nguồn'!F:F, $B$1, 'Data nguồn'!C:C, J$3)</f>
      </c>
      <c r="K86" s="8">
        <f>SUMIFS('Data nguồn'!H:H, 'Data nguồn'!D:D, $D86, 'Data nguồn'!F:F, $B$1, 'Data nguồn'!C:C, K$3)</f>
      </c>
      <c r="L86" s="8">
        <f>SUMIFS('Data nguồn'!H:H, 'Data nguồn'!D:D, $D86, 'Data nguồn'!F:F, $B$1, 'Data nguồn'!C:C, L$3)</f>
      </c>
      <c r="M86" s="8">
        <f>SUMIFS('Data nguồn'!H:H, 'Data nguồn'!D:D, $D86, 'Data nguồn'!F:F, $B$1, 'Data nguồn'!C:C, M$3)</f>
      </c>
      <c r="N86" s="8">
        <f>SUMIFS('Data nguồn'!H:H, 'Data nguồn'!D:D, $D86, 'Data nguồn'!F:F, $B$1, 'Data nguồn'!C:C, N$3)</f>
      </c>
      <c r="O86" s="8">
        <f>SUMIFS('Data nguồn'!H:H, 'Data nguồn'!D:D, $D86, 'Data nguồn'!F:F, $B$1, 'Data nguồn'!C:C, O$3)</f>
      </c>
      <c r="P86" s="8">
        <f>SUMIFS('Data nguồn'!H:H, 'Data nguồn'!D:D, $D86, 'Data nguồn'!F:F, $B$1, 'Data nguồn'!C:C, P$3)</f>
      </c>
      <c r="Q86" s="8">
        <f>SUMIFS('Data nguồn'!H:H, 'Data nguồn'!D:D, $D86, 'Data nguồn'!F:F, $B$1, 'Data nguồn'!C:C, Q$3)</f>
      </c>
      <c r="R86" s="8">
        <f>SUMIFS('Data nguồn'!H:H, 'Data nguồn'!D:D, $D86, 'Data nguồn'!F:F, $B$1, 'Data nguồn'!C:C, R$3)</f>
      </c>
      <c r="S86" s="8">
        <f>SUMIFS('Data nguồn'!H:H, 'Data nguồn'!D:D, $D86, 'Data nguồn'!F:F, $B$1, 'Data nguồn'!C:C, S$3)</f>
      </c>
      <c r="T86" s="8">
        <f>SUMIFS('Data nguồn'!H:H, 'Data nguồn'!D:D, $D86, 'Data nguồn'!F:F, $B$1, 'Data nguồn'!C:C, T$3)</f>
      </c>
      <c r="V86" s="8">
        <f>SUM(E86:P86)</f>
      </c>
      <c r="W86" s="8">
        <f>SUM(Q86:T86)</f>
      </c>
      <c r="X86" s="8">
        <f>AVERAGE(R86:T86)</f>
      </c>
      <c r="Y86" s="8">
        <f>AVERAGE(O86:T86)</f>
      </c>
      <c r="Z86" s="8">
        <f>AVERAGE(L86:T86)</f>
      </c>
      <c r="AA86" s="4">
        <f>IFERROR((X86*2)/(Y86+Z86), 0)</f>
      </c>
      <c r="AB86" s="4">
        <f>IFERROR(W86/SUM(E86:H86), 0)</f>
      </c>
      <c r="AC86" s="4">
        <f>IFERROR(W86/SUM(E86:H86), 0)</f>
      </c>
      <c r="AD86" s="4">
        <f>IFERROR(T86/H86, 0)</f>
      </c>
    </row>
    <row r="87" ht="20" customHeight="1" spans="1:30" x14ac:dyDescent="0.25">
      <c r="A87">
        <v>84</v>
      </c>
      <c r="B87" t="s">
        <v>246</v>
      </c>
      <c r="C87" t="s">
        <v>367</v>
      </c>
      <c r="D87" s="2" t="s">
        <v>246</v>
      </c>
      <c r="E87" s="8">
        <f>SUMIFS('Data nguồn'!H:H, 'Data nguồn'!D:D, $D87, 'Data nguồn'!F:F, $B$1, 'Data nguồn'!C:C, E$3)</f>
      </c>
      <c r="F87" s="8">
        <f>SUMIFS('Data nguồn'!H:H, 'Data nguồn'!D:D, $D87, 'Data nguồn'!F:F, $B$1, 'Data nguồn'!C:C, F$3)</f>
      </c>
      <c r="G87" s="8">
        <f>SUMIFS('Data nguồn'!H:H, 'Data nguồn'!D:D, $D87, 'Data nguồn'!F:F, $B$1, 'Data nguồn'!C:C, G$3)</f>
      </c>
      <c r="H87" s="8">
        <f>SUMIFS('Data nguồn'!H:H, 'Data nguồn'!D:D, $D87, 'Data nguồn'!F:F, $B$1, 'Data nguồn'!C:C, H$3)</f>
      </c>
      <c r="I87" s="8">
        <f>SUMIFS('Data nguồn'!H:H, 'Data nguồn'!D:D, $D87, 'Data nguồn'!F:F, $B$1, 'Data nguồn'!C:C, I$3)</f>
      </c>
      <c r="J87" s="8">
        <f>SUMIFS('Data nguồn'!H:H, 'Data nguồn'!D:D, $D87, 'Data nguồn'!F:F, $B$1, 'Data nguồn'!C:C, J$3)</f>
      </c>
      <c r="K87" s="8">
        <f>SUMIFS('Data nguồn'!H:H, 'Data nguồn'!D:D, $D87, 'Data nguồn'!F:F, $B$1, 'Data nguồn'!C:C, K$3)</f>
      </c>
      <c r="L87" s="8">
        <f>SUMIFS('Data nguồn'!H:H, 'Data nguồn'!D:D, $D87, 'Data nguồn'!F:F, $B$1, 'Data nguồn'!C:C, L$3)</f>
      </c>
      <c r="M87" s="8">
        <f>SUMIFS('Data nguồn'!H:H, 'Data nguồn'!D:D, $D87, 'Data nguồn'!F:F, $B$1, 'Data nguồn'!C:C, M$3)</f>
      </c>
      <c r="N87" s="8">
        <f>SUMIFS('Data nguồn'!H:H, 'Data nguồn'!D:D, $D87, 'Data nguồn'!F:F, $B$1, 'Data nguồn'!C:C, N$3)</f>
      </c>
      <c r="O87" s="8">
        <f>SUMIFS('Data nguồn'!H:H, 'Data nguồn'!D:D, $D87, 'Data nguồn'!F:F, $B$1, 'Data nguồn'!C:C, O$3)</f>
      </c>
      <c r="P87" s="8">
        <f>SUMIFS('Data nguồn'!H:H, 'Data nguồn'!D:D, $D87, 'Data nguồn'!F:F, $B$1, 'Data nguồn'!C:C, P$3)</f>
      </c>
      <c r="Q87" s="8">
        <f>SUMIFS('Data nguồn'!H:H, 'Data nguồn'!D:D, $D87, 'Data nguồn'!F:F, $B$1, 'Data nguồn'!C:C, Q$3)</f>
      </c>
      <c r="R87" s="8">
        <f>SUMIFS('Data nguồn'!H:H, 'Data nguồn'!D:D, $D87, 'Data nguồn'!F:F, $B$1, 'Data nguồn'!C:C, R$3)</f>
      </c>
      <c r="S87" s="8">
        <f>SUMIFS('Data nguồn'!H:H, 'Data nguồn'!D:D, $D87, 'Data nguồn'!F:F, $B$1, 'Data nguồn'!C:C, S$3)</f>
      </c>
      <c r="T87" s="8">
        <f>SUMIFS('Data nguồn'!H:H, 'Data nguồn'!D:D, $D87, 'Data nguồn'!F:F, $B$1, 'Data nguồn'!C:C, T$3)</f>
      </c>
      <c r="V87" s="8">
        <f>SUM(E87:P87)</f>
      </c>
      <c r="W87" s="8">
        <f>SUM(Q87:T87)</f>
      </c>
      <c r="X87" s="8">
        <f>AVERAGE(R87:T87)</f>
      </c>
      <c r="Y87" s="8">
        <f>AVERAGE(O87:T87)</f>
      </c>
      <c r="Z87" s="8">
        <f>AVERAGE(L87:T87)</f>
      </c>
      <c r="AA87" s="4">
        <f>IFERROR((X87*2)/(Y87+Z87), 0)</f>
      </c>
      <c r="AB87" s="4">
        <f>IFERROR(W87/SUM(E87:H87), 0)</f>
      </c>
      <c r="AC87" s="4">
        <f>IFERROR(W87/SUM(E87:H87), 0)</f>
      </c>
      <c r="AD87" s="4">
        <f>IFERROR(T87/H87, 0)</f>
      </c>
    </row>
    <row r="88" ht="20" customHeight="1" spans="1:30" x14ac:dyDescent="0.25">
      <c r="A88">
        <v>85</v>
      </c>
      <c r="B88" t="s">
        <v>247</v>
      </c>
      <c r="C88" t="s">
        <v>367</v>
      </c>
      <c r="D88" s="2" t="s">
        <v>247</v>
      </c>
      <c r="E88" s="8">
        <f>SUMIFS('Data nguồn'!H:H, 'Data nguồn'!D:D, $D88, 'Data nguồn'!F:F, $B$1, 'Data nguồn'!C:C, E$3)</f>
      </c>
      <c r="F88" s="8">
        <f>SUMIFS('Data nguồn'!H:H, 'Data nguồn'!D:D, $D88, 'Data nguồn'!F:F, $B$1, 'Data nguồn'!C:C, F$3)</f>
      </c>
      <c r="G88" s="8">
        <f>SUMIFS('Data nguồn'!H:H, 'Data nguồn'!D:D, $D88, 'Data nguồn'!F:F, $B$1, 'Data nguồn'!C:C, G$3)</f>
      </c>
      <c r="H88" s="8">
        <f>SUMIFS('Data nguồn'!H:H, 'Data nguồn'!D:D, $D88, 'Data nguồn'!F:F, $B$1, 'Data nguồn'!C:C, H$3)</f>
      </c>
      <c r="I88" s="8">
        <f>SUMIFS('Data nguồn'!H:H, 'Data nguồn'!D:D, $D88, 'Data nguồn'!F:F, $B$1, 'Data nguồn'!C:C, I$3)</f>
      </c>
      <c r="J88" s="8">
        <f>SUMIFS('Data nguồn'!H:H, 'Data nguồn'!D:D, $D88, 'Data nguồn'!F:F, $B$1, 'Data nguồn'!C:C, J$3)</f>
      </c>
      <c r="K88" s="8">
        <f>SUMIFS('Data nguồn'!H:H, 'Data nguồn'!D:D, $D88, 'Data nguồn'!F:F, $B$1, 'Data nguồn'!C:C, K$3)</f>
      </c>
      <c r="L88" s="8">
        <f>SUMIFS('Data nguồn'!H:H, 'Data nguồn'!D:D, $D88, 'Data nguồn'!F:F, $B$1, 'Data nguồn'!C:C, L$3)</f>
      </c>
      <c r="M88" s="8">
        <f>SUMIFS('Data nguồn'!H:H, 'Data nguồn'!D:D, $D88, 'Data nguồn'!F:F, $B$1, 'Data nguồn'!C:C, M$3)</f>
      </c>
      <c r="N88" s="8">
        <f>SUMIFS('Data nguồn'!H:H, 'Data nguồn'!D:D, $D88, 'Data nguồn'!F:F, $B$1, 'Data nguồn'!C:C, N$3)</f>
      </c>
      <c r="O88" s="8">
        <f>SUMIFS('Data nguồn'!H:H, 'Data nguồn'!D:D, $D88, 'Data nguồn'!F:F, $B$1, 'Data nguồn'!C:C, O$3)</f>
      </c>
      <c r="P88" s="8">
        <f>SUMIFS('Data nguồn'!H:H, 'Data nguồn'!D:D, $D88, 'Data nguồn'!F:F, $B$1, 'Data nguồn'!C:C, P$3)</f>
      </c>
      <c r="Q88" s="8">
        <f>SUMIFS('Data nguồn'!H:H, 'Data nguồn'!D:D, $D88, 'Data nguồn'!F:F, $B$1, 'Data nguồn'!C:C, Q$3)</f>
      </c>
      <c r="R88" s="8">
        <f>SUMIFS('Data nguồn'!H:H, 'Data nguồn'!D:D, $D88, 'Data nguồn'!F:F, $B$1, 'Data nguồn'!C:C, R$3)</f>
      </c>
      <c r="S88" s="8">
        <f>SUMIFS('Data nguồn'!H:H, 'Data nguồn'!D:D, $D88, 'Data nguồn'!F:F, $B$1, 'Data nguồn'!C:C, S$3)</f>
      </c>
      <c r="T88" s="8">
        <f>SUMIFS('Data nguồn'!H:H, 'Data nguồn'!D:D, $D88, 'Data nguồn'!F:F, $B$1, 'Data nguồn'!C:C, T$3)</f>
      </c>
      <c r="V88" s="8">
        <f>SUM(E88:P88)</f>
      </c>
      <c r="W88" s="8">
        <f>SUM(Q88:T88)</f>
      </c>
      <c r="X88" s="8">
        <f>AVERAGE(R88:T88)</f>
      </c>
      <c r="Y88" s="8">
        <f>AVERAGE(O88:T88)</f>
      </c>
      <c r="Z88" s="8">
        <f>AVERAGE(L88:T88)</f>
      </c>
      <c r="AA88" s="4">
        <f>IFERROR((X88*2)/(Y88+Z88), 0)</f>
      </c>
      <c r="AB88" s="4">
        <f>IFERROR(W88/SUM(E88:H88), 0)</f>
      </c>
      <c r="AC88" s="4">
        <f>IFERROR(W88/SUM(E88:H88), 0)</f>
      </c>
      <c r="AD88" s="4">
        <f>IFERROR(T88/H88, 0)</f>
      </c>
    </row>
    <row r="89" ht="20" customHeight="1" spans="1:30" x14ac:dyDescent="0.25">
      <c r="A89">
        <v>86</v>
      </c>
      <c r="B89" t="s">
        <v>249</v>
      </c>
      <c r="C89" t="s">
        <v>363</v>
      </c>
      <c r="D89" s="2" t="s">
        <v>249</v>
      </c>
      <c r="E89" s="8">
        <f>SUMIFS('Data nguồn'!H:H, 'Data nguồn'!D:D, $D89, 'Data nguồn'!F:F, $B$1, 'Data nguồn'!C:C, E$3)</f>
      </c>
      <c r="F89" s="8">
        <f>SUMIFS('Data nguồn'!H:H, 'Data nguồn'!D:D, $D89, 'Data nguồn'!F:F, $B$1, 'Data nguồn'!C:C, F$3)</f>
      </c>
      <c r="G89" s="8">
        <f>SUMIFS('Data nguồn'!H:H, 'Data nguồn'!D:D, $D89, 'Data nguồn'!F:F, $B$1, 'Data nguồn'!C:C, G$3)</f>
      </c>
      <c r="H89" s="8">
        <f>SUMIFS('Data nguồn'!H:H, 'Data nguồn'!D:D, $D89, 'Data nguồn'!F:F, $B$1, 'Data nguồn'!C:C, H$3)</f>
      </c>
      <c r="I89" s="8">
        <f>SUMIFS('Data nguồn'!H:H, 'Data nguồn'!D:D, $D89, 'Data nguồn'!F:F, $B$1, 'Data nguồn'!C:C, I$3)</f>
      </c>
      <c r="J89" s="8">
        <f>SUMIFS('Data nguồn'!H:H, 'Data nguồn'!D:D, $D89, 'Data nguồn'!F:F, $B$1, 'Data nguồn'!C:C, J$3)</f>
      </c>
      <c r="K89" s="8">
        <f>SUMIFS('Data nguồn'!H:H, 'Data nguồn'!D:D, $D89, 'Data nguồn'!F:F, $B$1, 'Data nguồn'!C:C, K$3)</f>
      </c>
      <c r="L89" s="8">
        <f>SUMIFS('Data nguồn'!H:H, 'Data nguồn'!D:D, $D89, 'Data nguồn'!F:F, $B$1, 'Data nguồn'!C:C, L$3)</f>
      </c>
      <c r="M89" s="8">
        <f>SUMIFS('Data nguồn'!H:H, 'Data nguồn'!D:D, $D89, 'Data nguồn'!F:F, $B$1, 'Data nguồn'!C:C, M$3)</f>
      </c>
      <c r="N89" s="8">
        <f>SUMIFS('Data nguồn'!H:H, 'Data nguồn'!D:D, $D89, 'Data nguồn'!F:F, $B$1, 'Data nguồn'!C:C, N$3)</f>
      </c>
      <c r="O89" s="8">
        <f>SUMIFS('Data nguồn'!H:H, 'Data nguồn'!D:D, $D89, 'Data nguồn'!F:F, $B$1, 'Data nguồn'!C:C, O$3)</f>
      </c>
      <c r="P89" s="8">
        <f>SUMIFS('Data nguồn'!H:H, 'Data nguồn'!D:D, $D89, 'Data nguồn'!F:F, $B$1, 'Data nguồn'!C:C, P$3)</f>
      </c>
      <c r="Q89" s="8">
        <f>SUMIFS('Data nguồn'!H:H, 'Data nguồn'!D:D, $D89, 'Data nguồn'!F:F, $B$1, 'Data nguồn'!C:C, Q$3)</f>
      </c>
      <c r="R89" s="8">
        <f>SUMIFS('Data nguồn'!H:H, 'Data nguồn'!D:D, $D89, 'Data nguồn'!F:F, $B$1, 'Data nguồn'!C:C, R$3)</f>
      </c>
      <c r="S89" s="8">
        <f>SUMIFS('Data nguồn'!H:H, 'Data nguồn'!D:D, $D89, 'Data nguồn'!F:F, $B$1, 'Data nguồn'!C:C, S$3)</f>
      </c>
      <c r="T89" s="8">
        <f>SUMIFS('Data nguồn'!H:H, 'Data nguồn'!D:D, $D89, 'Data nguồn'!F:F, $B$1, 'Data nguồn'!C:C, T$3)</f>
      </c>
      <c r="V89" s="8">
        <f>SUM(E89:P89)</f>
      </c>
      <c r="W89" s="8">
        <f>SUM(Q89:T89)</f>
      </c>
      <c r="X89" s="8">
        <f>AVERAGE(R89:T89)</f>
      </c>
      <c r="Y89" s="8">
        <f>AVERAGE(O89:T89)</f>
      </c>
      <c r="Z89" s="8">
        <f>AVERAGE(L89:T89)</f>
      </c>
      <c r="AA89" s="4">
        <f>IFERROR((X89*2)/(Y89+Z89), 0)</f>
      </c>
      <c r="AB89" s="4">
        <f>IFERROR(W89/SUM(E89:H89), 0)</f>
      </c>
      <c r="AC89" s="4">
        <f>IFERROR(W89/SUM(E89:H89), 0)</f>
      </c>
      <c r="AD89" s="4">
        <f>IFERROR(T89/H89, 0)</f>
      </c>
    </row>
    <row r="90" ht="20" customHeight="1" spans="1:30" x14ac:dyDescent="0.25">
      <c r="A90">
        <v>87</v>
      </c>
      <c r="B90" t="s">
        <v>250</v>
      </c>
      <c r="C90" t="s">
        <v>368</v>
      </c>
      <c r="D90" s="2" t="s">
        <v>250</v>
      </c>
      <c r="E90" s="8">
        <f>SUMIFS('Data nguồn'!H:H, 'Data nguồn'!D:D, $D90, 'Data nguồn'!F:F, $B$1, 'Data nguồn'!C:C, E$3)</f>
      </c>
      <c r="F90" s="8">
        <f>SUMIFS('Data nguồn'!H:H, 'Data nguồn'!D:D, $D90, 'Data nguồn'!F:F, $B$1, 'Data nguồn'!C:C, F$3)</f>
      </c>
      <c r="G90" s="8">
        <f>SUMIFS('Data nguồn'!H:H, 'Data nguồn'!D:D, $D90, 'Data nguồn'!F:F, $B$1, 'Data nguồn'!C:C, G$3)</f>
      </c>
      <c r="H90" s="8">
        <f>SUMIFS('Data nguồn'!H:H, 'Data nguồn'!D:D, $D90, 'Data nguồn'!F:F, $B$1, 'Data nguồn'!C:C, H$3)</f>
      </c>
      <c r="I90" s="8">
        <f>SUMIFS('Data nguồn'!H:H, 'Data nguồn'!D:D, $D90, 'Data nguồn'!F:F, $B$1, 'Data nguồn'!C:C, I$3)</f>
      </c>
      <c r="J90" s="8">
        <f>SUMIFS('Data nguồn'!H:H, 'Data nguồn'!D:D, $D90, 'Data nguồn'!F:F, $B$1, 'Data nguồn'!C:C, J$3)</f>
      </c>
      <c r="K90" s="8">
        <f>SUMIFS('Data nguồn'!H:H, 'Data nguồn'!D:D, $D90, 'Data nguồn'!F:F, $B$1, 'Data nguồn'!C:C, K$3)</f>
      </c>
      <c r="L90" s="8">
        <f>SUMIFS('Data nguồn'!H:H, 'Data nguồn'!D:D, $D90, 'Data nguồn'!F:F, $B$1, 'Data nguồn'!C:C, L$3)</f>
      </c>
      <c r="M90" s="8">
        <f>SUMIFS('Data nguồn'!H:H, 'Data nguồn'!D:D, $D90, 'Data nguồn'!F:F, $B$1, 'Data nguồn'!C:C, M$3)</f>
      </c>
      <c r="N90" s="8">
        <f>SUMIFS('Data nguồn'!H:H, 'Data nguồn'!D:D, $D90, 'Data nguồn'!F:F, $B$1, 'Data nguồn'!C:C, N$3)</f>
      </c>
      <c r="O90" s="8">
        <f>SUMIFS('Data nguồn'!H:H, 'Data nguồn'!D:D, $D90, 'Data nguồn'!F:F, $B$1, 'Data nguồn'!C:C, O$3)</f>
      </c>
      <c r="P90" s="8">
        <f>SUMIFS('Data nguồn'!H:H, 'Data nguồn'!D:D, $D90, 'Data nguồn'!F:F, $B$1, 'Data nguồn'!C:C, P$3)</f>
      </c>
      <c r="Q90" s="8">
        <f>SUMIFS('Data nguồn'!H:H, 'Data nguồn'!D:D, $D90, 'Data nguồn'!F:F, $B$1, 'Data nguồn'!C:C, Q$3)</f>
      </c>
      <c r="R90" s="8">
        <f>SUMIFS('Data nguồn'!H:H, 'Data nguồn'!D:D, $D90, 'Data nguồn'!F:F, $B$1, 'Data nguồn'!C:C, R$3)</f>
      </c>
      <c r="S90" s="8">
        <f>SUMIFS('Data nguồn'!H:H, 'Data nguồn'!D:D, $D90, 'Data nguồn'!F:F, $B$1, 'Data nguồn'!C:C, S$3)</f>
      </c>
      <c r="T90" s="8">
        <f>SUMIFS('Data nguồn'!H:H, 'Data nguồn'!D:D, $D90, 'Data nguồn'!F:F, $B$1, 'Data nguồn'!C:C, T$3)</f>
      </c>
      <c r="V90" s="8">
        <f>SUM(E90:P90)</f>
      </c>
      <c r="W90" s="8">
        <f>SUM(Q90:T90)</f>
      </c>
      <c r="X90" s="8">
        <f>AVERAGE(R90:T90)</f>
      </c>
      <c r="Y90" s="8">
        <f>AVERAGE(O90:T90)</f>
      </c>
      <c r="Z90" s="8">
        <f>AVERAGE(L90:T90)</f>
      </c>
      <c r="AA90" s="4">
        <f>IFERROR((X90*2)/(Y90+Z90), 0)</f>
      </c>
      <c r="AB90" s="4">
        <f>IFERROR(W90/SUM(E90:H90), 0)</f>
      </c>
      <c r="AC90" s="4">
        <f>IFERROR(W90/SUM(E90:H90), 0)</f>
      </c>
      <c r="AD90" s="4">
        <f>IFERROR(T90/H90, 0)</f>
      </c>
    </row>
    <row r="91" ht="20" customHeight="1" spans="1:30" x14ac:dyDescent="0.25">
      <c r="A91">
        <v>88</v>
      </c>
      <c r="B91" t="s">
        <v>251</v>
      </c>
      <c r="C91" t="s">
        <v>365</v>
      </c>
      <c r="D91" s="2" t="s">
        <v>251</v>
      </c>
      <c r="E91" s="8">
        <f>SUMIFS('Data nguồn'!H:H, 'Data nguồn'!D:D, $D91, 'Data nguồn'!F:F, $B$1, 'Data nguồn'!C:C, E$3)</f>
      </c>
      <c r="F91" s="8">
        <f>SUMIFS('Data nguồn'!H:H, 'Data nguồn'!D:D, $D91, 'Data nguồn'!F:F, $B$1, 'Data nguồn'!C:C, F$3)</f>
      </c>
      <c r="G91" s="8">
        <f>SUMIFS('Data nguồn'!H:H, 'Data nguồn'!D:D, $D91, 'Data nguồn'!F:F, $B$1, 'Data nguồn'!C:C, G$3)</f>
      </c>
      <c r="H91" s="8">
        <f>SUMIFS('Data nguồn'!H:H, 'Data nguồn'!D:D, $D91, 'Data nguồn'!F:F, $B$1, 'Data nguồn'!C:C, H$3)</f>
      </c>
      <c r="I91" s="8">
        <f>SUMIFS('Data nguồn'!H:H, 'Data nguồn'!D:D, $D91, 'Data nguồn'!F:F, $B$1, 'Data nguồn'!C:C, I$3)</f>
      </c>
      <c r="J91" s="8">
        <f>SUMIFS('Data nguồn'!H:H, 'Data nguồn'!D:D, $D91, 'Data nguồn'!F:F, $B$1, 'Data nguồn'!C:C, J$3)</f>
      </c>
      <c r="K91" s="8">
        <f>SUMIFS('Data nguồn'!H:H, 'Data nguồn'!D:D, $D91, 'Data nguồn'!F:F, $B$1, 'Data nguồn'!C:C, K$3)</f>
      </c>
      <c r="L91" s="8">
        <f>SUMIFS('Data nguồn'!H:H, 'Data nguồn'!D:D, $D91, 'Data nguồn'!F:F, $B$1, 'Data nguồn'!C:C, L$3)</f>
      </c>
      <c r="M91" s="8">
        <f>SUMIFS('Data nguồn'!H:H, 'Data nguồn'!D:D, $D91, 'Data nguồn'!F:F, $B$1, 'Data nguồn'!C:C, M$3)</f>
      </c>
      <c r="N91" s="8">
        <f>SUMIFS('Data nguồn'!H:H, 'Data nguồn'!D:D, $D91, 'Data nguồn'!F:F, $B$1, 'Data nguồn'!C:C, N$3)</f>
      </c>
      <c r="O91" s="8">
        <f>SUMIFS('Data nguồn'!H:H, 'Data nguồn'!D:D, $D91, 'Data nguồn'!F:F, $B$1, 'Data nguồn'!C:C, O$3)</f>
      </c>
      <c r="P91" s="8">
        <f>SUMIFS('Data nguồn'!H:H, 'Data nguồn'!D:D, $D91, 'Data nguồn'!F:F, $B$1, 'Data nguồn'!C:C, P$3)</f>
      </c>
      <c r="Q91" s="8">
        <f>SUMIFS('Data nguồn'!H:H, 'Data nguồn'!D:D, $D91, 'Data nguồn'!F:F, $B$1, 'Data nguồn'!C:C, Q$3)</f>
      </c>
      <c r="R91" s="8">
        <f>SUMIFS('Data nguồn'!H:H, 'Data nguồn'!D:D, $D91, 'Data nguồn'!F:F, $B$1, 'Data nguồn'!C:C, R$3)</f>
      </c>
      <c r="S91" s="8">
        <f>SUMIFS('Data nguồn'!H:H, 'Data nguồn'!D:D, $D91, 'Data nguồn'!F:F, $B$1, 'Data nguồn'!C:C, S$3)</f>
      </c>
      <c r="T91" s="8">
        <f>SUMIFS('Data nguồn'!H:H, 'Data nguồn'!D:D, $D91, 'Data nguồn'!F:F, $B$1, 'Data nguồn'!C:C, T$3)</f>
      </c>
      <c r="V91" s="8">
        <f>SUM(E91:P91)</f>
      </c>
      <c r="W91" s="8">
        <f>SUM(Q91:T91)</f>
      </c>
      <c r="X91" s="8">
        <f>AVERAGE(R91:T91)</f>
      </c>
      <c r="Y91" s="8">
        <f>AVERAGE(O91:T91)</f>
      </c>
      <c r="Z91" s="8">
        <f>AVERAGE(L91:T91)</f>
      </c>
      <c r="AA91" s="4">
        <f>IFERROR((X91*2)/(Y91+Z91), 0)</f>
      </c>
      <c r="AB91" s="4">
        <f>IFERROR(W91/SUM(E91:H91), 0)</f>
      </c>
      <c r="AC91" s="4">
        <f>IFERROR(W91/SUM(E91:H91), 0)</f>
      </c>
      <c r="AD91" s="4">
        <f>IFERROR(T91/H91, 0)</f>
      </c>
    </row>
    <row r="92" ht="20" customHeight="1" spans="1:30" x14ac:dyDescent="0.25">
      <c r="A92">
        <v>89</v>
      </c>
      <c r="B92" t="s">
        <v>252</v>
      </c>
      <c r="C92" t="s">
        <v>366</v>
      </c>
      <c r="D92" s="2" t="s">
        <v>252</v>
      </c>
      <c r="E92" s="8">
        <f>SUMIFS('Data nguồn'!H:H, 'Data nguồn'!D:D, $D92, 'Data nguồn'!F:F, $B$1, 'Data nguồn'!C:C, E$3)</f>
      </c>
      <c r="F92" s="8">
        <f>SUMIFS('Data nguồn'!H:H, 'Data nguồn'!D:D, $D92, 'Data nguồn'!F:F, $B$1, 'Data nguồn'!C:C, F$3)</f>
      </c>
      <c r="G92" s="8">
        <f>SUMIFS('Data nguồn'!H:H, 'Data nguồn'!D:D, $D92, 'Data nguồn'!F:F, $B$1, 'Data nguồn'!C:C, G$3)</f>
      </c>
      <c r="H92" s="8">
        <f>SUMIFS('Data nguồn'!H:H, 'Data nguồn'!D:D, $D92, 'Data nguồn'!F:F, $B$1, 'Data nguồn'!C:C, H$3)</f>
      </c>
      <c r="I92" s="8">
        <f>SUMIFS('Data nguồn'!H:H, 'Data nguồn'!D:D, $D92, 'Data nguồn'!F:F, $B$1, 'Data nguồn'!C:C, I$3)</f>
      </c>
      <c r="J92" s="8">
        <f>SUMIFS('Data nguồn'!H:H, 'Data nguồn'!D:D, $D92, 'Data nguồn'!F:F, $B$1, 'Data nguồn'!C:C, J$3)</f>
      </c>
      <c r="K92" s="8">
        <f>SUMIFS('Data nguồn'!H:H, 'Data nguồn'!D:D, $D92, 'Data nguồn'!F:F, $B$1, 'Data nguồn'!C:C, K$3)</f>
      </c>
      <c r="L92" s="8">
        <f>SUMIFS('Data nguồn'!H:H, 'Data nguồn'!D:D, $D92, 'Data nguồn'!F:F, $B$1, 'Data nguồn'!C:C, L$3)</f>
      </c>
      <c r="M92" s="8">
        <f>SUMIFS('Data nguồn'!H:H, 'Data nguồn'!D:D, $D92, 'Data nguồn'!F:F, $B$1, 'Data nguồn'!C:C, M$3)</f>
      </c>
      <c r="N92" s="8">
        <f>SUMIFS('Data nguồn'!H:H, 'Data nguồn'!D:D, $D92, 'Data nguồn'!F:F, $B$1, 'Data nguồn'!C:C, N$3)</f>
      </c>
      <c r="O92" s="8">
        <f>SUMIFS('Data nguồn'!H:H, 'Data nguồn'!D:D, $D92, 'Data nguồn'!F:F, $B$1, 'Data nguồn'!C:C, O$3)</f>
      </c>
      <c r="P92" s="8">
        <f>SUMIFS('Data nguồn'!H:H, 'Data nguồn'!D:D, $D92, 'Data nguồn'!F:F, $B$1, 'Data nguồn'!C:C, P$3)</f>
      </c>
      <c r="Q92" s="8">
        <f>SUMIFS('Data nguồn'!H:H, 'Data nguồn'!D:D, $D92, 'Data nguồn'!F:F, $B$1, 'Data nguồn'!C:C, Q$3)</f>
      </c>
      <c r="R92" s="8">
        <f>SUMIFS('Data nguồn'!H:H, 'Data nguồn'!D:D, $D92, 'Data nguồn'!F:F, $B$1, 'Data nguồn'!C:C, R$3)</f>
      </c>
      <c r="S92" s="8">
        <f>SUMIFS('Data nguồn'!H:H, 'Data nguồn'!D:D, $D92, 'Data nguồn'!F:F, $B$1, 'Data nguồn'!C:C, S$3)</f>
      </c>
      <c r="T92" s="8">
        <f>SUMIFS('Data nguồn'!H:H, 'Data nguồn'!D:D, $D92, 'Data nguồn'!F:F, $B$1, 'Data nguồn'!C:C, T$3)</f>
      </c>
      <c r="V92" s="8">
        <f>SUM(E92:P92)</f>
      </c>
      <c r="W92" s="8">
        <f>SUM(Q92:T92)</f>
      </c>
      <c r="X92" s="8">
        <f>AVERAGE(R92:T92)</f>
      </c>
      <c r="Y92" s="8">
        <f>AVERAGE(O92:T92)</f>
      </c>
      <c r="Z92" s="8">
        <f>AVERAGE(L92:T92)</f>
      </c>
      <c r="AA92" s="4">
        <f>IFERROR((X92*2)/(Y92+Z92), 0)</f>
      </c>
      <c r="AB92" s="4">
        <f>IFERROR(W92/SUM(E92:H92), 0)</f>
      </c>
      <c r="AC92" s="4">
        <f>IFERROR(W92/SUM(E92:H92), 0)</f>
      </c>
      <c r="AD92" s="4">
        <f>IFERROR(T92/H92, 0)</f>
      </c>
    </row>
    <row r="93" ht="20" customHeight="1" spans="1:30" x14ac:dyDescent="0.25">
      <c r="A93">
        <v>90</v>
      </c>
      <c r="B93" t="s">
        <v>253</v>
      </c>
      <c r="C93" t="s">
        <v>370</v>
      </c>
      <c r="D93" s="2" t="s">
        <v>253</v>
      </c>
      <c r="E93" s="8">
        <f>SUMIFS('Data nguồn'!H:H, 'Data nguồn'!D:D, $D93, 'Data nguồn'!F:F, $B$1, 'Data nguồn'!C:C, E$3)</f>
      </c>
      <c r="F93" s="8">
        <f>SUMIFS('Data nguồn'!H:H, 'Data nguồn'!D:D, $D93, 'Data nguồn'!F:F, $B$1, 'Data nguồn'!C:C, F$3)</f>
      </c>
      <c r="G93" s="8">
        <f>SUMIFS('Data nguồn'!H:H, 'Data nguồn'!D:D, $D93, 'Data nguồn'!F:F, $B$1, 'Data nguồn'!C:C, G$3)</f>
      </c>
      <c r="H93" s="8">
        <f>SUMIFS('Data nguồn'!H:H, 'Data nguồn'!D:D, $D93, 'Data nguồn'!F:F, $B$1, 'Data nguồn'!C:C, H$3)</f>
      </c>
      <c r="I93" s="8">
        <f>SUMIFS('Data nguồn'!H:H, 'Data nguồn'!D:D, $D93, 'Data nguồn'!F:F, $B$1, 'Data nguồn'!C:C, I$3)</f>
      </c>
      <c r="J93" s="8">
        <f>SUMIFS('Data nguồn'!H:H, 'Data nguồn'!D:D, $D93, 'Data nguồn'!F:F, $B$1, 'Data nguồn'!C:C, J$3)</f>
      </c>
      <c r="K93" s="8">
        <f>SUMIFS('Data nguồn'!H:H, 'Data nguồn'!D:D, $D93, 'Data nguồn'!F:F, $B$1, 'Data nguồn'!C:C, K$3)</f>
      </c>
      <c r="L93" s="8">
        <f>SUMIFS('Data nguồn'!H:H, 'Data nguồn'!D:D, $D93, 'Data nguồn'!F:F, $B$1, 'Data nguồn'!C:C, L$3)</f>
      </c>
      <c r="M93" s="8">
        <f>SUMIFS('Data nguồn'!H:H, 'Data nguồn'!D:D, $D93, 'Data nguồn'!F:F, $B$1, 'Data nguồn'!C:C, M$3)</f>
      </c>
      <c r="N93" s="8">
        <f>SUMIFS('Data nguồn'!H:H, 'Data nguồn'!D:D, $D93, 'Data nguồn'!F:F, $B$1, 'Data nguồn'!C:C, N$3)</f>
      </c>
      <c r="O93" s="8">
        <f>SUMIFS('Data nguồn'!H:H, 'Data nguồn'!D:D, $D93, 'Data nguồn'!F:F, $B$1, 'Data nguồn'!C:C, O$3)</f>
      </c>
      <c r="P93" s="8">
        <f>SUMIFS('Data nguồn'!H:H, 'Data nguồn'!D:D, $D93, 'Data nguồn'!F:F, $B$1, 'Data nguồn'!C:C, P$3)</f>
      </c>
      <c r="Q93" s="8">
        <f>SUMIFS('Data nguồn'!H:H, 'Data nguồn'!D:D, $D93, 'Data nguồn'!F:F, $B$1, 'Data nguồn'!C:C, Q$3)</f>
      </c>
      <c r="R93" s="8">
        <f>SUMIFS('Data nguồn'!H:H, 'Data nguồn'!D:D, $D93, 'Data nguồn'!F:F, $B$1, 'Data nguồn'!C:C, R$3)</f>
      </c>
      <c r="S93" s="8">
        <f>SUMIFS('Data nguồn'!H:H, 'Data nguồn'!D:D, $D93, 'Data nguồn'!F:F, $B$1, 'Data nguồn'!C:C, S$3)</f>
      </c>
      <c r="T93" s="8">
        <f>SUMIFS('Data nguồn'!H:H, 'Data nguồn'!D:D, $D93, 'Data nguồn'!F:F, $B$1, 'Data nguồn'!C:C, T$3)</f>
      </c>
      <c r="V93" s="8">
        <f>SUM(E93:P93)</f>
      </c>
      <c r="W93" s="8">
        <f>SUM(Q93:T93)</f>
      </c>
      <c r="X93" s="8">
        <f>AVERAGE(R93:T93)</f>
      </c>
      <c r="Y93" s="8">
        <f>AVERAGE(O93:T93)</f>
      </c>
      <c r="Z93" s="8">
        <f>AVERAGE(L93:T93)</f>
      </c>
      <c r="AA93" s="4">
        <f>IFERROR((X93*2)/(Y93+Z93), 0)</f>
      </c>
      <c r="AB93" s="4">
        <f>IFERROR(W93/SUM(E93:H93), 0)</f>
      </c>
      <c r="AC93" s="4">
        <f>IFERROR(W93/SUM(E93:H93), 0)</f>
      </c>
      <c r="AD93" s="4">
        <f>IFERROR(T93/H93, 0)</f>
      </c>
    </row>
    <row r="94" ht="20" customHeight="1" spans="1:30" x14ac:dyDescent="0.25">
      <c r="A94">
        <v>91</v>
      </c>
      <c r="B94" t="s">
        <v>254</v>
      </c>
      <c r="C94" t="s">
        <v>367</v>
      </c>
      <c r="D94" s="2" t="s">
        <v>254</v>
      </c>
      <c r="E94" s="8">
        <f>SUMIFS('Data nguồn'!H:H, 'Data nguồn'!D:D, $D94, 'Data nguồn'!F:F, $B$1, 'Data nguồn'!C:C, E$3)</f>
      </c>
      <c r="F94" s="8">
        <f>SUMIFS('Data nguồn'!H:H, 'Data nguồn'!D:D, $D94, 'Data nguồn'!F:F, $B$1, 'Data nguồn'!C:C, F$3)</f>
      </c>
      <c r="G94" s="8">
        <f>SUMIFS('Data nguồn'!H:H, 'Data nguồn'!D:D, $D94, 'Data nguồn'!F:F, $B$1, 'Data nguồn'!C:C, G$3)</f>
      </c>
      <c r="H94" s="8">
        <f>SUMIFS('Data nguồn'!H:H, 'Data nguồn'!D:D, $D94, 'Data nguồn'!F:F, $B$1, 'Data nguồn'!C:C, H$3)</f>
      </c>
      <c r="I94" s="8">
        <f>SUMIFS('Data nguồn'!H:H, 'Data nguồn'!D:D, $D94, 'Data nguồn'!F:F, $B$1, 'Data nguồn'!C:C, I$3)</f>
      </c>
      <c r="J94" s="8">
        <f>SUMIFS('Data nguồn'!H:H, 'Data nguồn'!D:D, $D94, 'Data nguồn'!F:F, $B$1, 'Data nguồn'!C:C, J$3)</f>
      </c>
      <c r="K94" s="8">
        <f>SUMIFS('Data nguồn'!H:H, 'Data nguồn'!D:D, $D94, 'Data nguồn'!F:F, $B$1, 'Data nguồn'!C:C, K$3)</f>
      </c>
      <c r="L94" s="8">
        <f>SUMIFS('Data nguồn'!H:H, 'Data nguồn'!D:D, $D94, 'Data nguồn'!F:F, $B$1, 'Data nguồn'!C:C, L$3)</f>
      </c>
      <c r="M94" s="8">
        <f>SUMIFS('Data nguồn'!H:H, 'Data nguồn'!D:D, $D94, 'Data nguồn'!F:F, $B$1, 'Data nguồn'!C:C, M$3)</f>
      </c>
      <c r="N94" s="8">
        <f>SUMIFS('Data nguồn'!H:H, 'Data nguồn'!D:D, $D94, 'Data nguồn'!F:F, $B$1, 'Data nguồn'!C:C, N$3)</f>
      </c>
      <c r="O94" s="8">
        <f>SUMIFS('Data nguồn'!H:H, 'Data nguồn'!D:D, $D94, 'Data nguồn'!F:F, $B$1, 'Data nguồn'!C:C, O$3)</f>
      </c>
      <c r="P94" s="8">
        <f>SUMIFS('Data nguồn'!H:H, 'Data nguồn'!D:D, $D94, 'Data nguồn'!F:F, $B$1, 'Data nguồn'!C:C, P$3)</f>
      </c>
      <c r="Q94" s="8">
        <f>SUMIFS('Data nguồn'!H:H, 'Data nguồn'!D:D, $D94, 'Data nguồn'!F:F, $B$1, 'Data nguồn'!C:C, Q$3)</f>
      </c>
      <c r="R94" s="8">
        <f>SUMIFS('Data nguồn'!H:H, 'Data nguồn'!D:D, $D94, 'Data nguồn'!F:F, $B$1, 'Data nguồn'!C:C, R$3)</f>
      </c>
      <c r="S94" s="8">
        <f>SUMIFS('Data nguồn'!H:H, 'Data nguồn'!D:D, $D94, 'Data nguồn'!F:F, $B$1, 'Data nguồn'!C:C, S$3)</f>
      </c>
      <c r="T94" s="8">
        <f>SUMIFS('Data nguồn'!H:H, 'Data nguồn'!D:D, $D94, 'Data nguồn'!F:F, $B$1, 'Data nguồn'!C:C, T$3)</f>
      </c>
      <c r="V94" s="8">
        <f>SUM(E94:P94)</f>
      </c>
      <c r="W94" s="8">
        <f>SUM(Q94:T94)</f>
      </c>
      <c r="X94" s="8">
        <f>AVERAGE(R94:T94)</f>
      </c>
      <c r="Y94" s="8">
        <f>AVERAGE(O94:T94)</f>
      </c>
      <c r="Z94" s="8">
        <f>AVERAGE(L94:T94)</f>
      </c>
      <c r="AA94" s="4">
        <f>IFERROR((X94*2)/(Y94+Z94), 0)</f>
      </c>
      <c r="AB94" s="4">
        <f>IFERROR(W94/SUM(E94:H94), 0)</f>
      </c>
      <c r="AC94" s="4">
        <f>IFERROR(W94/SUM(E94:H94), 0)</f>
      </c>
      <c r="AD94" s="4">
        <f>IFERROR(T94/H94, 0)</f>
      </c>
    </row>
    <row r="95" ht="20" customHeight="1" spans="1:30" x14ac:dyDescent="0.25">
      <c r="A95">
        <v>92</v>
      </c>
      <c r="B95" t="s">
        <v>257</v>
      </c>
      <c r="C95" t="s">
        <v>367</v>
      </c>
      <c r="D95" s="2" t="s">
        <v>257</v>
      </c>
      <c r="E95" s="8">
        <f>SUMIFS('Data nguồn'!H:H, 'Data nguồn'!D:D, $D95, 'Data nguồn'!F:F, $B$1, 'Data nguồn'!C:C, E$3)</f>
      </c>
      <c r="F95" s="8">
        <f>SUMIFS('Data nguồn'!H:H, 'Data nguồn'!D:D, $D95, 'Data nguồn'!F:F, $B$1, 'Data nguồn'!C:C, F$3)</f>
      </c>
      <c r="G95" s="8">
        <f>SUMIFS('Data nguồn'!H:H, 'Data nguồn'!D:D, $D95, 'Data nguồn'!F:F, $B$1, 'Data nguồn'!C:C, G$3)</f>
      </c>
      <c r="H95" s="8">
        <f>SUMIFS('Data nguồn'!H:H, 'Data nguồn'!D:D, $D95, 'Data nguồn'!F:F, $B$1, 'Data nguồn'!C:C, H$3)</f>
      </c>
      <c r="I95" s="8">
        <f>SUMIFS('Data nguồn'!H:H, 'Data nguồn'!D:D, $D95, 'Data nguồn'!F:F, $B$1, 'Data nguồn'!C:C, I$3)</f>
      </c>
      <c r="J95" s="8">
        <f>SUMIFS('Data nguồn'!H:H, 'Data nguồn'!D:D, $D95, 'Data nguồn'!F:F, $B$1, 'Data nguồn'!C:C, J$3)</f>
      </c>
      <c r="K95" s="8">
        <f>SUMIFS('Data nguồn'!H:H, 'Data nguồn'!D:D, $D95, 'Data nguồn'!F:F, $B$1, 'Data nguồn'!C:C, K$3)</f>
      </c>
      <c r="L95" s="8">
        <f>SUMIFS('Data nguồn'!H:H, 'Data nguồn'!D:D, $D95, 'Data nguồn'!F:F, $B$1, 'Data nguồn'!C:C, L$3)</f>
      </c>
      <c r="M95" s="8">
        <f>SUMIFS('Data nguồn'!H:H, 'Data nguồn'!D:D, $D95, 'Data nguồn'!F:F, $B$1, 'Data nguồn'!C:C, M$3)</f>
      </c>
      <c r="N95" s="8">
        <f>SUMIFS('Data nguồn'!H:H, 'Data nguồn'!D:D, $D95, 'Data nguồn'!F:F, $B$1, 'Data nguồn'!C:C, N$3)</f>
      </c>
      <c r="O95" s="8">
        <f>SUMIFS('Data nguồn'!H:H, 'Data nguồn'!D:D, $D95, 'Data nguồn'!F:F, $B$1, 'Data nguồn'!C:C, O$3)</f>
      </c>
      <c r="P95" s="8">
        <f>SUMIFS('Data nguồn'!H:H, 'Data nguồn'!D:D, $D95, 'Data nguồn'!F:F, $B$1, 'Data nguồn'!C:C, P$3)</f>
      </c>
      <c r="Q95" s="8">
        <f>SUMIFS('Data nguồn'!H:H, 'Data nguồn'!D:D, $D95, 'Data nguồn'!F:F, $B$1, 'Data nguồn'!C:C, Q$3)</f>
      </c>
      <c r="R95" s="8">
        <f>SUMIFS('Data nguồn'!H:H, 'Data nguồn'!D:D, $D95, 'Data nguồn'!F:F, $B$1, 'Data nguồn'!C:C, R$3)</f>
      </c>
      <c r="S95" s="8">
        <f>SUMIFS('Data nguồn'!H:H, 'Data nguồn'!D:D, $D95, 'Data nguồn'!F:F, $B$1, 'Data nguồn'!C:C, S$3)</f>
      </c>
      <c r="T95" s="8">
        <f>SUMIFS('Data nguồn'!H:H, 'Data nguồn'!D:D, $D95, 'Data nguồn'!F:F, $B$1, 'Data nguồn'!C:C, T$3)</f>
      </c>
      <c r="V95" s="8">
        <f>SUM(E95:P95)</f>
      </c>
      <c r="W95" s="8">
        <f>SUM(Q95:T95)</f>
      </c>
      <c r="X95" s="8">
        <f>AVERAGE(R95:T95)</f>
      </c>
      <c r="Y95" s="8">
        <f>AVERAGE(O95:T95)</f>
      </c>
      <c r="Z95" s="8">
        <f>AVERAGE(L95:T95)</f>
      </c>
      <c r="AA95" s="4">
        <f>IFERROR((X95*2)/(Y95+Z95), 0)</f>
      </c>
      <c r="AB95" s="4">
        <f>IFERROR(W95/SUM(E95:H95), 0)</f>
      </c>
      <c r="AC95" s="4">
        <f>IFERROR(W95/SUM(E95:H95), 0)</f>
      </c>
      <c r="AD95" s="4">
        <f>IFERROR(T95/H95, 0)</f>
      </c>
    </row>
    <row r="96" ht="20" customHeight="1" spans="1:30" x14ac:dyDescent="0.25">
      <c r="A96">
        <v>93</v>
      </c>
      <c r="B96" t="s">
        <v>258</v>
      </c>
      <c r="C96" t="s">
        <v>364</v>
      </c>
      <c r="D96" s="2" t="s">
        <v>258</v>
      </c>
      <c r="E96" s="8">
        <f>SUMIFS('Data nguồn'!H:H, 'Data nguồn'!D:D, $D96, 'Data nguồn'!F:F, $B$1, 'Data nguồn'!C:C, E$3)</f>
      </c>
      <c r="F96" s="8">
        <f>SUMIFS('Data nguồn'!H:H, 'Data nguồn'!D:D, $D96, 'Data nguồn'!F:F, $B$1, 'Data nguồn'!C:C, F$3)</f>
      </c>
      <c r="G96" s="8">
        <f>SUMIFS('Data nguồn'!H:H, 'Data nguồn'!D:D, $D96, 'Data nguồn'!F:F, $B$1, 'Data nguồn'!C:C, G$3)</f>
      </c>
      <c r="H96" s="8">
        <f>SUMIFS('Data nguồn'!H:H, 'Data nguồn'!D:D, $D96, 'Data nguồn'!F:F, $B$1, 'Data nguồn'!C:C, H$3)</f>
      </c>
      <c r="I96" s="8">
        <f>SUMIFS('Data nguồn'!H:H, 'Data nguồn'!D:D, $D96, 'Data nguồn'!F:F, $B$1, 'Data nguồn'!C:C, I$3)</f>
      </c>
      <c r="J96" s="8">
        <f>SUMIFS('Data nguồn'!H:H, 'Data nguồn'!D:D, $D96, 'Data nguồn'!F:F, $B$1, 'Data nguồn'!C:C, J$3)</f>
      </c>
      <c r="K96" s="8">
        <f>SUMIFS('Data nguồn'!H:H, 'Data nguồn'!D:D, $D96, 'Data nguồn'!F:F, $B$1, 'Data nguồn'!C:C, K$3)</f>
      </c>
      <c r="L96" s="8">
        <f>SUMIFS('Data nguồn'!H:H, 'Data nguồn'!D:D, $D96, 'Data nguồn'!F:F, $B$1, 'Data nguồn'!C:C, L$3)</f>
      </c>
      <c r="M96" s="8">
        <f>SUMIFS('Data nguồn'!H:H, 'Data nguồn'!D:D, $D96, 'Data nguồn'!F:F, $B$1, 'Data nguồn'!C:C, M$3)</f>
      </c>
      <c r="N96" s="8">
        <f>SUMIFS('Data nguồn'!H:H, 'Data nguồn'!D:D, $D96, 'Data nguồn'!F:F, $B$1, 'Data nguồn'!C:C, N$3)</f>
      </c>
      <c r="O96" s="8">
        <f>SUMIFS('Data nguồn'!H:H, 'Data nguồn'!D:D, $D96, 'Data nguồn'!F:F, $B$1, 'Data nguồn'!C:C, O$3)</f>
      </c>
      <c r="P96" s="8">
        <f>SUMIFS('Data nguồn'!H:H, 'Data nguồn'!D:D, $D96, 'Data nguồn'!F:F, $B$1, 'Data nguồn'!C:C, P$3)</f>
      </c>
      <c r="Q96" s="8">
        <f>SUMIFS('Data nguồn'!H:H, 'Data nguồn'!D:D, $D96, 'Data nguồn'!F:F, $B$1, 'Data nguồn'!C:C, Q$3)</f>
      </c>
      <c r="R96" s="8">
        <f>SUMIFS('Data nguồn'!H:H, 'Data nguồn'!D:D, $D96, 'Data nguồn'!F:F, $B$1, 'Data nguồn'!C:C, R$3)</f>
      </c>
      <c r="S96" s="8">
        <f>SUMIFS('Data nguồn'!H:H, 'Data nguồn'!D:D, $D96, 'Data nguồn'!F:F, $B$1, 'Data nguồn'!C:C, S$3)</f>
      </c>
      <c r="T96" s="8">
        <f>SUMIFS('Data nguồn'!H:H, 'Data nguồn'!D:D, $D96, 'Data nguồn'!F:F, $B$1, 'Data nguồn'!C:C, T$3)</f>
      </c>
      <c r="V96" s="8">
        <f>SUM(E96:P96)</f>
      </c>
      <c r="W96" s="8">
        <f>SUM(Q96:T96)</f>
      </c>
      <c r="X96" s="8">
        <f>AVERAGE(R96:T96)</f>
      </c>
      <c r="Y96" s="8">
        <f>AVERAGE(O96:T96)</f>
      </c>
      <c r="Z96" s="8">
        <f>AVERAGE(L96:T96)</f>
      </c>
      <c r="AA96" s="4">
        <f>IFERROR((X96*2)/(Y96+Z96), 0)</f>
      </c>
      <c r="AB96" s="4">
        <f>IFERROR(W96/SUM(E96:H96), 0)</f>
      </c>
      <c r="AC96" s="4">
        <f>IFERROR(W96/SUM(E96:H96), 0)</f>
      </c>
      <c r="AD96" s="4">
        <f>IFERROR(T96/H96, 0)</f>
      </c>
    </row>
    <row r="97" ht="20" customHeight="1" spans="1:30" x14ac:dyDescent="0.25">
      <c r="A97">
        <v>94</v>
      </c>
      <c r="B97" t="s">
        <v>260</v>
      </c>
      <c r="C97" t="s">
        <v>364</v>
      </c>
      <c r="D97" s="2" t="s">
        <v>260</v>
      </c>
      <c r="E97" s="8">
        <f>SUMIFS('Data nguồn'!H:H, 'Data nguồn'!D:D, $D97, 'Data nguồn'!F:F, $B$1, 'Data nguồn'!C:C, E$3)</f>
      </c>
      <c r="F97" s="8">
        <f>SUMIFS('Data nguồn'!H:H, 'Data nguồn'!D:D, $D97, 'Data nguồn'!F:F, $B$1, 'Data nguồn'!C:C, F$3)</f>
      </c>
      <c r="G97" s="8">
        <f>SUMIFS('Data nguồn'!H:H, 'Data nguồn'!D:D, $D97, 'Data nguồn'!F:F, $B$1, 'Data nguồn'!C:C, G$3)</f>
      </c>
      <c r="H97" s="8">
        <f>SUMIFS('Data nguồn'!H:H, 'Data nguồn'!D:D, $D97, 'Data nguồn'!F:F, $B$1, 'Data nguồn'!C:C, H$3)</f>
      </c>
      <c r="I97" s="8">
        <f>SUMIFS('Data nguồn'!H:H, 'Data nguồn'!D:D, $D97, 'Data nguồn'!F:F, $B$1, 'Data nguồn'!C:C, I$3)</f>
      </c>
      <c r="J97" s="8">
        <f>SUMIFS('Data nguồn'!H:H, 'Data nguồn'!D:D, $D97, 'Data nguồn'!F:F, $B$1, 'Data nguồn'!C:C, J$3)</f>
      </c>
      <c r="K97" s="8">
        <f>SUMIFS('Data nguồn'!H:H, 'Data nguồn'!D:D, $D97, 'Data nguồn'!F:F, $B$1, 'Data nguồn'!C:C, K$3)</f>
      </c>
      <c r="L97" s="8">
        <f>SUMIFS('Data nguồn'!H:H, 'Data nguồn'!D:D, $D97, 'Data nguồn'!F:F, $B$1, 'Data nguồn'!C:C, L$3)</f>
      </c>
      <c r="M97" s="8">
        <f>SUMIFS('Data nguồn'!H:H, 'Data nguồn'!D:D, $D97, 'Data nguồn'!F:F, $B$1, 'Data nguồn'!C:C, M$3)</f>
      </c>
      <c r="N97" s="8">
        <f>SUMIFS('Data nguồn'!H:H, 'Data nguồn'!D:D, $D97, 'Data nguồn'!F:F, $B$1, 'Data nguồn'!C:C, N$3)</f>
      </c>
      <c r="O97" s="8">
        <f>SUMIFS('Data nguồn'!H:H, 'Data nguồn'!D:D, $D97, 'Data nguồn'!F:F, $B$1, 'Data nguồn'!C:C, O$3)</f>
      </c>
      <c r="P97" s="8">
        <f>SUMIFS('Data nguồn'!H:H, 'Data nguồn'!D:D, $D97, 'Data nguồn'!F:F, $B$1, 'Data nguồn'!C:C, P$3)</f>
      </c>
      <c r="Q97" s="8">
        <f>SUMIFS('Data nguồn'!H:H, 'Data nguồn'!D:D, $D97, 'Data nguồn'!F:F, $B$1, 'Data nguồn'!C:C, Q$3)</f>
      </c>
      <c r="R97" s="8">
        <f>SUMIFS('Data nguồn'!H:H, 'Data nguồn'!D:D, $D97, 'Data nguồn'!F:F, $B$1, 'Data nguồn'!C:C, R$3)</f>
      </c>
      <c r="S97" s="8">
        <f>SUMIFS('Data nguồn'!H:H, 'Data nguồn'!D:D, $D97, 'Data nguồn'!F:F, $B$1, 'Data nguồn'!C:C, S$3)</f>
      </c>
      <c r="T97" s="8">
        <f>SUMIFS('Data nguồn'!H:H, 'Data nguồn'!D:D, $D97, 'Data nguồn'!F:F, $B$1, 'Data nguồn'!C:C, T$3)</f>
      </c>
      <c r="V97" s="8">
        <f>SUM(E97:P97)</f>
      </c>
      <c r="W97" s="8">
        <f>SUM(Q97:T97)</f>
      </c>
      <c r="X97" s="8">
        <f>AVERAGE(R97:T97)</f>
      </c>
      <c r="Y97" s="8">
        <f>AVERAGE(O97:T97)</f>
      </c>
      <c r="Z97" s="8">
        <f>AVERAGE(L97:T97)</f>
      </c>
      <c r="AA97" s="4">
        <f>IFERROR((X97*2)/(Y97+Z97), 0)</f>
      </c>
      <c r="AB97" s="4">
        <f>IFERROR(W97/SUM(E97:H97), 0)</f>
      </c>
      <c r="AC97" s="4">
        <f>IFERROR(W97/SUM(E97:H97), 0)</f>
      </c>
      <c r="AD97" s="4">
        <f>IFERROR(T97/H97, 0)</f>
      </c>
    </row>
    <row r="98" ht="20" customHeight="1" spans="1:30" x14ac:dyDescent="0.25">
      <c r="A98">
        <v>95</v>
      </c>
      <c r="B98" t="s">
        <v>261</v>
      </c>
      <c r="C98" t="s">
        <v>364</v>
      </c>
      <c r="D98" s="2" t="s">
        <v>261</v>
      </c>
      <c r="E98" s="8">
        <f>SUMIFS('Data nguồn'!H:H, 'Data nguồn'!D:D, $D98, 'Data nguồn'!F:F, $B$1, 'Data nguồn'!C:C, E$3)</f>
      </c>
      <c r="F98" s="8">
        <f>SUMIFS('Data nguồn'!H:H, 'Data nguồn'!D:D, $D98, 'Data nguồn'!F:F, $B$1, 'Data nguồn'!C:C, F$3)</f>
      </c>
      <c r="G98" s="8">
        <f>SUMIFS('Data nguồn'!H:H, 'Data nguồn'!D:D, $D98, 'Data nguồn'!F:F, $B$1, 'Data nguồn'!C:C, G$3)</f>
      </c>
      <c r="H98" s="8">
        <f>SUMIFS('Data nguồn'!H:H, 'Data nguồn'!D:D, $D98, 'Data nguồn'!F:F, $B$1, 'Data nguồn'!C:C, H$3)</f>
      </c>
      <c r="I98" s="8">
        <f>SUMIFS('Data nguồn'!H:H, 'Data nguồn'!D:D, $D98, 'Data nguồn'!F:F, $B$1, 'Data nguồn'!C:C, I$3)</f>
      </c>
      <c r="J98" s="8">
        <f>SUMIFS('Data nguồn'!H:H, 'Data nguồn'!D:D, $D98, 'Data nguồn'!F:F, $B$1, 'Data nguồn'!C:C, J$3)</f>
      </c>
      <c r="K98" s="8">
        <f>SUMIFS('Data nguồn'!H:H, 'Data nguồn'!D:D, $D98, 'Data nguồn'!F:F, $B$1, 'Data nguồn'!C:C, K$3)</f>
      </c>
      <c r="L98" s="8">
        <f>SUMIFS('Data nguồn'!H:H, 'Data nguồn'!D:D, $D98, 'Data nguồn'!F:F, $B$1, 'Data nguồn'!C:C, L$3)</f>
      </c>
      <c r="M98" s="8">
        <f>SUMIFS('Data nguồn'!H:H, 'Data nguồn'!D:D, $D98, 'Data nguồn'!F:F, $B$1, 'Data nguồn'!C:C, M$3)</f>
      </c>
      <c r="N98" s="8">
        <f>SUMIFS('Data nguồn'!H:H, 'Data nguồn'!D:D, $D98, 'Data nguồn'!F:F, $B$1, 'Data nguồn'!C:C, N$3)</f>
      </c>
      <c r="O98" s="8">
        <f>SUMIFS('Data nguồn'!H:H, 'Data nguồn'!D:D, $D98, 'Data nguồn'!F:F, $B$1, 'Data nguồn'!C:C, O$3)</f>
      </c>
      <c r="P98" s="8">
        <f>SUMIFS('Data nguồn'!H:H, 'Data nguồn'!D:D, $D98, 'Data nguồn'!F:F, $B$1, 'Data nguồn'!C:C, P$3)</f>
      </c>
      <c r="Q98" s="8">
        <f>SUMIFS('Data nguồn'!H:H, 'Data nguồn'!D:D, $D98, 'Data nguồn'!F:F, $B$1, 'Data nguồn'!C:C, Q$3)</f>
      </c>
      <c r="R98" s="8">
        <f>SUMIFS('Data nguồn'!H:H, 'Data nguồn'!D:D, $D98, 'Data nguồn'!F:F, $B$1, 'Data nguồn'!C:C, R$3)</f>
      </c>
      <c r="S98" s="8">
        <f>SUMIFS('Data nguồn'!H:H, 'Data nguồn'!D:D, $D98, 'Data nguồn'!F:F, $B$1, 'Data nguồn'!C:C, S$3)</f>
      </c>
      <c r="T98" s="8">
        <f>SUMIFS('Data nguồn'!H:H, 'Data nguồn'!D:D, $D98, 'Data nguồn'!F:F, $B$1, 'Data nguồn'!C:C, T$3)</f>
      </c>
      <c r="V98" s="8">
        <f>SUM(E98:P98)</f>
      </c>
      <c r="W98" s="8">
        <f>SUM(Q98:T98)</f>
      </c>
      <c r="X98" s="8">
        <f>AVERAGE(R98:T98)</f>
      </c>
      <c r="Y98" s="8">
        <f>AVERAGE(O98:T98)</f>
      </c>
      <c r="Z98" s="8">
        <f>AVERAGE(L98:T98)</f>
      </c>
      <c r="AA98" s="4">
        <f>IFERROR((X98*2)/(Y98+Z98), 0)</f>
      </c>
      <c r="AB98" s="4">
        <f>IFERROR(W98/SUM(E98:H98), 0)</f>
      </c>
      <c r="AC98" s="4">
        <f>IFERROR(W98/SUM(E98:H98), 0)</f>
      </c>
      <c r="AD98" s="4">
        <f>IFERROR(T98/H98, 0)</f>
      </c>
    </row>
    <row r="99" ht="20" customHeight="1" spans="1:30" x14ac:dyDescent="0.25">
      <c r="A99">
        <v>96</v>
      </c>
      <c r="B99" t="s">
        <v>262</v>
      </c>
      <c r="C99" t="s">
        <v>364</v>
      </c>
      <c r="D99" s="2" t="s">
        <v>262</v>
      </c>
      <c r="E99" s="8">
        <f>SUMIFS('Data nguồn'!H:H, 'Data nguồn'!D:D, $D99, 'Data nguồn'!F:F, $B$1, 'Data nguồn'!C:C, E$3)</f>
      </c>
      <c r="F99" s="8">
        <f>SUMIFS('Data nguồn'!H:H, 'Data nguồn'!D:D, $D99, 'Data nguồn'!F:F, $B$1, 'Data nguồn'!C:C, F$3)</f>
      </c>
      <c r="G99" s="8">
        <f>SUMIFS('Data nguồn'!H:H, 'Data nguồn'!D:D, $D99, 'Data nguồn'!F:F, $B$1, 'Data nguồn'!C:C, G$3)</f>
      </c>
      <c r="H99" s="8">
        <f>SUMIFS('Data nguồn'!H:H, 'Data nguồn'!D:D, $D99, 'Data nguồn'!F:F, $B$1, 'Data nguồn'!C:C, H$3)</f>
      </c>
      <c r="I99" s="8">
        <f>SUMIFS('Data nguồn'!H:H, 'Data nguồn'!D:D, $D99, 'Data nguồn'!F:F, $B$1, 'Data nguồn'!C:C, I$3)</f>
      </c>
      <c r="J99" s="8">
        <f>SUMIFS('Data nguồn'!H:H, 'Data nguồn'!D:D, $D99, 'Data nguồn'!F:F, $B$1, 'Data nguồn'!C:C, J$3)</f>
      </c>
      <c r="K99" s="8">
        <f>SUMIFS('Data nguồn'!H:H, 'Data nguồn'!D:D, $D99, 'Data nguồn'!F:F, $B$1, 'Data nguồn'!C:C, K$3)</f>
      </c>
      <c r="L99" s="8">
        <f>SUMIFS('Data nguồn'!H:H, 'Data nguồn'!D:D, $D99, 'Data nguồn'!F:F, $B$1, 'Data nguồn'!C:C, L$3)</f>
      </c>
      <c r="M99" s="8">
        <f>SUMIFS('Data nguồn'!H:H, 'Data nguồn'!D:D, $D99, 'Data nguồn'!F:F, $B$1, 'Data nguồn'!C:C, M$3)</f>
      </c>
      <c r="N99" s="8">
        <f>SUMIFS('Data nguồn'!H:H, 'Data nguồn'!D:D, $D99, 'Data nguồn'!F:F, $B$1, 'Data nguồn'!C:C, N$3)</f>
      </c>
      <c r="O99" s="8">
        <f>SUMIFS('Data nguồn'!H:H, 'Data nguồn'!D:D, $D99, 'Data nguồn'!F:F, $B$1, 'Data nguồn'!C:C, O$3)</f>
      </c>
      <c r="P99" s="8">
        <f>SUMIFS('Data nguồn'!H:H, 'Data nguồn'!D:D, $D99, 'Data nguồn'!F:F, $B$1, 'Data nguồn'!C:C, P$3)</f>
      </c>
      <c r="Q99" s="8">
        <f>SUMIFS('Data nguồn'!H:H, 'Data nguồn'!D:D, $D99, 'Data nguồn'!F:F, $B$1, 'Data nguồn'!C:C, Q$3)</f>
      </c>
      <c r="R99" s="8">
        <f>SUMIFS('Data nguồn'!H:H, 'Data nguồn'!D:D, $D99, 'Data nguồn'!F:F, $B$1, 'Data nguồn'!C:C, R$3)</f>
      </c>
      <c r="S99" s="8">
        <f>SUMIFS('Data nguồn'!H:H, 'Data nguồn'!D:D, $D99, 'Data nguồn'!F:F, $B$1, 'Data nguồn'!C:C, S$3)</f>
      </c>
      <c r="T99" s="8">
        <f>SUMIFS('Data nguồn'!H:H, 'Data nguồn'!D:D, $D99, 'Data nguồn'!F:F, $B$1, 'Data nguồn'!C:C, T$3)</f>
      </c>
      <c r="V99" s="8">
        <f>SUM(E99:P99)</f>
      </c>
      <c r="W99" s="8">
        <f>SUM(Q99:T99)</f>
      </c>
      <c r="X99" s="8">
        <f>AVERAGE(R99:T99)</f>
      </c>
      <c r="Y99" s="8">
        <f>AVERAGE(O99:T99)</f>
      </c>
      <c r="Z99" s="8">
        <f>AVERAGE(L99:T99)</f>
      </c>
      <c r="AA99" s="4">
        <f>IFERROR((X99*2)/(Y99+Z99), 0)</f>
      </c>
      <c r="AB99" s="4">
        <f>IFERROR(W99/SUM(E99:H99), 0)</f>
      </c>
      <c r="AC99" s="4">
        <f>IFERROR(W99/SUM(E99:H99), 0)</f>
      </c>
      <c r="AD99" s="4">
        <f>IFERROR(T99/H99, 0)</f>
      </c>
    </row>
    <row r="100" ht="20" customHeight="1" spans="1:30" x14ac:dyDescent="0.25">
      <c r="A100">
        <v>97</v>
      </c>
      <c r="B100" t="s">
        <v>263</v>
      </c>
      <c r="C100" t="s">
        <v>369</v>
      </c>
      <c r="D100" s="2" t="s">
        <v>263</v>
      </c>
      <c r="E100" s="8">
        <f>SUMIFS('Data nguồn'!H:H, 'Data nguồn'!D:D, $D100, 'Data nguồn'!F:F, $B$1, 'Data nguồn'!C:C, E$3)</f>
      </c>
      <c r="F100" s="8">
        <f>SUMIFS('Data nguồn'!H:H, 'Data nguồn'!D:D, $D100, 'Data nguồn'!F:F, $B$1, 'Data nguồn'!C:C, F$3)</f>
      </c>
      <c r="G100" s="8">
        <f>SUMIFS('Data nguồn'!H:H, 'Data nguồn'!D:D, $D100, 'Data nguồn'!F:F, $B$1, 'Data nguồn'!C:C, G$3)</f>
      </c>
      <c r="H100" s="8">
        <f>SUMIFS('Data nguồn'!H:H, 'Data nguồn'!D:D, $D100, 'Data nguồn'!F:F, $B$1, 'Data nguồn'!C:C, H$3)</f>
      </c>
      <c r="I100" s="8">
        <f>SUMIFS('Data nguồn'!H:H, 'Data nguồn'!D:D, $D100, 'Data nguồn'!F:F, $B$1, 'Data nguồn'!C:C, I$3)</f>
      </c>
      <c r="J100" s="8">
        <f>SUMIFS('Data nguồn'!H:H, 'Data nguồn'!D:D, $D100, 'Data nguồn'!F:F, $B$1, 'Data nguồn'!C:C, J$3)</f>
      </c>
      <c r="K100" s="8">
        <f>SUMIFS('Data nguồn'!H:H, 'Data nguồn'!D:D, $D100, 'Data nguồn'!F:F, $B$1, 'Data nguồn'!C:C, K$3)</f>
      </c>
      <c r="L100" s="8">
        <f>SUMIFS('Data nguồn'!H:H, 'Data nguồn'!D:D, $D100, 'Data nguồn'!F:F, $B$1, 'Data nguồn'!C:C, L$3)</f>
      </c>
      <c r="M100" s="8">
        <f>SUMIFS('Data nguồn'!H:H, 'Data nguồn'!D:D, $D100, 'Data nguồn'!F:F, $B$1, 'Data nguồn'!C:C, M$3)</f>
      </c>
      <c r="N100" s="8">
        <f>SUMIFS('Data nguồn'!H:H, 'Data nguồn'!D:D, $D100, 'Data nguồn'!F:F, $B$1, 'Data nguồn'!C:C, N$3)</f>
      </c>
      <c r="O100" s="8">
        <f>SUMIFS('Data nguồn'!H:H, 'Data nguồn'!D:D, $D100, 'Data nguồn'!F:F, $B$1, 'Data nguồn'!C:C, O$3)</f>
      </c>
      <c r="P100" s="8">
        <f>SUMIFS('Data nguồn'!H:H, 'Data nguồn'!D:D, $D100, 'Data nguồn'!F:F, $B$1, 'Data nguồn'!C:C, P$3)</f>
      </c>
      <c r="Q100" s="8">
        <f>SUMIFS('Data nguồn'!H:H, 'Data nguồn'!D:D, $D100, 'Data nguồn'!F:F, $B$1, 'Data nguồn'!C:C, Q$3)</f>
      </c>
      <c r="R100" s="8">
        <f>SUMIFS('Data nguồn'!H:H, 'Data nguồn'!D:D, $D100, 'Data nguồn'!F:F, $B$1, 'Data nguồn'!C:C, R$3)</f>
      </c>
      <c r="S100" s="8">
        <f>SUMIFS('Data nguồn'!H:H, 'Data nguồn'!D:D, $D100, 'Data nguồn'!F:F, $B$1, 'Data nguồn'!C:C, S$3)</f>
      </c>
      <c r="T100" s="8">
        <f>SUMIFS('Data nguồn'!H:H, 'Data nguồn'!D:D, $D100, 'Data nguồn'!F:F, $B$1, 'Data nguồn'!C:C, T$3)</f>
      </c>
      <c r="V100" s="8">
        <f>SUM(E100:P100)</f>
      </c>
      <c r="W100" s="8">
        <f>SUM(Q100:T100)</f>
      </c>
      <c r="X100" s="8">
        <f>AVERAGE(R100:T100)</f>
      </c>
      <c r="Y100" s="8">
        <f>AVERAGE(O100:T100)</f>
      </c>
      <c r="Z100" s="8">
        <f>AVERAGE(L100:T100)</f>
      </c>
      <c r="AA100" s="4">
        <f>IFERROR((X100*2)/(Y100+Z100), 0)</f>
      </c>
      <c r="AB100" s="4">
        <f>IFERROR(W100/SUM(E100:H100), 0)</f>
      </c>
      <c r="AC100" s="4">
        <f>IFERROR(W100/SUM(E100:H100), 0)</f>
      </c>
      <c r="AD100" s="4">
        <f>IFERROR(T100/H100, 0)</f>
      </c>
    </row>
    <row r="101" ht="20" customHeight="1" spans="1:30" x14ac:dyDescent="0.25">
      <c r="A101">
        <v>98</v>
      </c>
      <c r="B101" t="s">
        <v>264</v>
      </c>
      <c r="C101" t="s">
        <v>371</v>
      </c>
      <c r="D101" s="2" t="s">
        <v>264</v>
      </c>
      <c r="E101" s="8">
        <f>SUMIFS('Data nguồn'!H:H, 'Data nguồn'!D:D, $D101, 'Data nguồn'!F:F, $B$1, 'Data nguồn'!C:C, E$3)</f>
      </c>
      <c r="F101" s="8">
        <f>SUMIFS('Data nguồn'!H:H, 'Data nguồn'!D:D, $D101, 'Data nguồn'!F:F, $B$1, 'Data nguồn'!C:C, F$3)</f>
      </c>
      <c r="G101" s="8">
        <f>SUMIFS('Data nguồn'!H:H, 'Data nguồn'!D:D, $D101, 'Data nguồn'!F:F, $B$1, 'Data nguồn'!C:C, G$3)</f>
      </c>
      <c r="H101" s="8">
        <f>SUMIFS('Data nguồn'!H:H, 'Data nguồn'!D:D, $D101, 'Data nguồn'!F:F, $B$1, 'Data nguồn'!C:C, H$3)</f>
      </c>
      <c r="I101" s="8">
        <f>SUMIFS('Data nguồn'!H:H, 'Data nguồn'!D:D, $D101, 'Data nguồn'!F:F, $B$1, 'Data nguồn'!C:C, I$3)</f>
      </c>
      <c r="J101" s="8">
        <f>SUMIFS('Data nguồn'!H:H, 'Data nguồn'!D:D, $D101, 'Data nguồn'!F:F, $B$1, 'Data nguồn'!C:C, J$3)</f>
      </c>
      <c r="K101" s="8">
        <f>SUMIFS('Data nguồn'!H:H, 'Data nguồn'!D:D, $D101, 'Data nguồn'!F:F, $B$1, 'Data nguồn'!C:C, K$3)</f>
      </c>
      <c r="L101" s="8">
        <f>SUMIFS('Data nguồn'!H:H, 'Data nguồn'!D:D, $D101, 'Data nguồn'!F:F, $B$1, 'Data nguồn'!C:C, L$3)</f>
      </c>
      <c r="M101" s="8">
        <f>SUMIFS('Data nguồn'!H:H, 'Data nguồn'!D:D, $D101, 'Data nguồn'!F:F, $B$1, 'Data nguồn'!C:C, M$3)</f>
      </c>
      <c r="N101" s="8">
        <f>SUMIFS('Data nguồn'!H:H, 'Data nguồn'!D:D, $D101, 'Data nguồn'!F:F, $B$1, 'Data nguồn'!C:C, N$3)</f>
      </c>
      <c r="O101" s="8">
        <f>SUMIFS('Data nguồn'!H:H, 'Data nguồn'!D:D, $D101, 'Data nguồn'!F:F, $B$1, 'Data nguồn'!C:C, O$3)</f>
      </c>
      <c r="P101" s="8">
        <f>SUMIFS('Data nguồn'!H:H, 'Data nguồn'!D:D, $D101, 'Data nguồn'!F:F, $B$1, 'Data nguồn'!C:C, P$3)</f>
      </c>
      <c r="Q101" s="8">
        <f>SUMIFS('Data nguồn'!H:H, 'Data nguồn'!D:D, $D101, 'Data nguồn'!F:F, $B$1, 'Data nguồn'!C:C, Q$3)</f>
      </c>
      <c r="R101" s="8">
        <f>SUMIFS('Data nguồn'!H:H, 'Data nguồn'!D:D, $D101, 'Data nguồn'!F:F, $B$1, 'Data nguồn'!C:C, R$3)</f>
      </c>
      <c r="S101" s="8">
        <f>SUMIFS('Data nguồn'!H:H, 'Data nguồn'!D:D, $D101, 'Data nguồn'!F:F, $B$1, 'Data nguồn'!C:C, S$3)</f>
      </c>
      <c r="T101" s="8">
        <f>SUMIFS('Data nguồn'!H:H, 'Data nguồn'!D:D, $D101, 'Data nguồn'!F:F, $B$1, 'Data nguồn'!C:C, T$3)</f>
      </c>
      <c r="V101" s="8">
        <f>SUM(E101:P101)</f>
      </c>
      <c r="W101" s="8">
        <f>SUM(Q101:T101)</f>
      </c>
      <c r="X101" s="8">
        <f>AVERAGE(R101:T101)</f>
      </c>
      <c r="Y101" s="8">
        <f>AVERAGE(O101:T101)</f>
      </c>
      <c r="Z101" s="8">
        <f>AVERAGE(L101:T101)</f>
      </c>
      <c r="AA101" s="4">
        <f>IFERROR((X101*2)/(Y101+Z101), 0)</f>
      </c>
      <c r="AB101" s="4">
        <f>IFERROR(W101/SUM(E101:H101), 0)</f>
      </c>
      <c r="AC101" s="4">
        <f>IFERROR(W101/SUM(E101:H101), 0)</f>
      </c>
      <c r="AD101" s="4">
        <f>IFERROR(T101/H101, 0)</f>
      </c>
    </row>
    <row r="102" ht="20" customHeight="1" spans="1:30" x14ac:dyDescent="0.25">
      <c r="A102">
        <v>99</v>
      </c>
      <c r="B102" t="s">
        <v>265</v>
      </c>
      <c r="C102" t="s">
        <v>371</v>
      </c>
      <c r="D102" s="2" t="s">
        <v>265</v>
      </c>
      <c r="E102" s="8">
        <f>SUMIFS('Data nguồn'!H:H, 'Data nguồn'!D:D, $D102, 'Data nguồn'!F:F, $B$1, 'Data nguồn'!C:C, E$3)</f>
      </c>
      <c r="F102" s="8">
        <f>SUMIFS('Data nguồn'!H:H, 'Data nguồn'!D:D, $D102, 'Data nguồn'!F:F, $B$1, 'Data nguồn'!C:C, F$3)</f>
      </c>
      <c r="G102" s="8">
        <f>SUMIFS('Data nguồn'!H:H, 'Data nguồn'!D:D, $D102, 'Data nguồn'!F:F, $B$1, 'Data nguồn'!C:C, G$3)</f>
      </c>
      <c r="H102" s="8">
        <f>SUMIFS('Data nguồn'!H:H, 'Data nguồn'!D:D, $D102, 'Data nguồn'!F:F, $B$1, 'Data nguồn'!C:C, H$3)</f>
      </c>
      <c r="I102" s="8">
        <f>SUMIFS('Data nguồn'!H:H, 'Data nguồn'!D:D, $D102, 'Data nguồn'!F:F, $B$1, 'Data nguồn'!C:C, I$3)</f>
      </c>
      <c r="J102" s="8">
        <f>SUMIFS('Data nguồn'!H:H, 'Data nguồn'!D:D, $D102, 'Data nguồn'!F:F, $B$1, 'Data nguồn'!C:C, J$3)</f>
      </c>
      <c r="K102" s="8">
        <f>SUMIFS('Data nguồn'!H:H, 'Data nguồn'!D:D, $D102, 'Data nguồn'!F:F, $B$1, 'Data nguồn'!C:C, K$3)</f>
      </c>
      <c r="L102" s="8">
        <f>SUMIFS('Data nguồn'!H:H, 'Data nguồn'!D:D, $D102, 'Data nguồn'!F:F, $B$1, 'Data nguồn'!C:C, L$3)</f>
      </c>
      <c r="M102" s="8">
        <f>SUMIFS('Data nguồn'!H:H, 'Data nguồn'!D:D, $D102, 'Data nguồn'!F:F, $B$1, 'Data nguồn'!C:C, M$3)</f>
      </c>
      <c r="N102" s="8">
        <f>SUMIFS('Data nguồn'!H:H, 'Data nguồn'!D:D, $D102, 'Data nguồn'!F:F, $B$1, 'Data nguồn'!C:C, N$3)</f>
      </c>
      <c r="O102" s="8">
        <f>SUMIFS('Data nguồn'!H:H, 'Data nguồn'!D:D, $D102, 'Data nguồn'!F:F, $B$1, 'Data nguồn'!C:C, O$3)</f>
      </c>
      <c r="P102" s="8">
        <f>SUMIFS('Data nguồn'!H:H, 'Data nguồn'!D:D, $D102, 'Data nguồn'!F:F, $B$1, 'Data nguồn'!C:C, P$3)</f>
      </c>
      <c r="Q102" s="8">
        <f>SUMIFS('Data nguồn'!H:H, 'Data nguồn'!D:D, $D102, 'Data nguồn'!F:F, $B$1, 'Data nguồn'!C:C, Q$3)</f>
      </c>
      <c r="R102" s="8">
        <f>SUMIFS('Data nguồn'!H:H, 'Data nguồn'!D:D, $D102, 'Data nguồn'!F:F, $B$1, 'Data nguồn'!C:C, R$3)</f>
      </c>
      <c r="S102" s="8">
        <f>SUMIFS('Data nguồn'!H:H, 'Data nguồn'!D:D, $D102, 'Data nguồn'!F:F, $B$1, 'Data nguồn'!C:C, S$3)</f>
      </c>
      <c r="T102" s="8">
        <f>SUMIFS('Data nguồn'!H:H, 'Data nguồn'!D:D, $D102, 'Data nguồn'!F:F, $B$1, 'Data nguồn'!C:C, T$3)</f>
      </c>
      <c r="V102" s="8">
        <f>SUM(E102:P102)</f>
      </c>
      <c r="W102" s="8">
        <f>SUM(Q102:T102)</f>
      </c>
      <c r="X102" s="8">
        <f>AVERAGE(R102:T102)</f>
      </c>
      <c r="Y102" s="8">
        <f>AVERAGE(O102:T102)</f>
      </c>
      <c r="Z102" s="8">
        <f>AVERAGE(L102:T102)</f>
      </c>
      <c r="AA102" s="4">
        <f>IFERROR((X102*2)/(Y102+Z102), 0)</f>
      </c>
      <c r="AB102" s="4">
        <f>IFERROR(W102/SUM(E102:H102), 0)</f>
      </c>
      <c r="AC102" s="4">
        <f>IFERROR(W102/SUM(E102:H102), 0)</f>
      </c>
      <c r="AD102" s="4">
        <f>IFERROR(T102/H102, 0)</f>
      </c>
    </row>
    <row r="103" ht="20" customHeight="1" spans="1:30" x14ac:dyDescent="0.25">
      <c r="A103">
        <v>100</v>
      </c>
      <c r="B103" t="s">
        <v>266</v>
      </c>
      <c r="C103" t="s">
        <v>371</v>
      </c>
      <c r="D103" s="2" t="s">
        <v>266</v>
      </c>
      <c r="E103" s="8">
        <f>SUMIFS('Data nguồn'!H:H, 'Data nguồn'!D:D, $D103, 'Data nguồn'!F:F, $B$1, 'Data nguồn'!C:C, E$3)</f>
      </c>
      <c r="F103" s="8">
        <f>SUMIFS('Data nguồn'!H:H, 'Data nguồn'!D:D, $D103, 'Data nguồn'!F:F, $B$1, 'Data nguồn'!C:C, F$3)</f>
      </c>
      <c r="G103" s="8">
        <f>SUMIFS('Data nguồn'!H:H, 'Data nguồn'!D:D, $D103, 'Data nguồn'!F:F, $B$1, 'Data nguồn'!C:C, G$3)</f>
      </c>
      <c r="H103" s="8">
        <f>SUMIFS('Data nguồn'!H:H, 'Data nguồn'!D:D, $D103, 'Data nguồn'!F:F, $B$1, 'Data nguồn'!C:C, H$3)</f>
      </c>
      <c r="I103" s="8">
        <f>SUMIFS('Data nguồn'!H:H, 'Data nguồn'!D:D, $D103, 'Data nguồn'!F:F, $B$1, 'Data nguồn'!C:C, I$3)</f>
      </c>
      <c r="J103" s="8">
        <f>SUMIFS('Data nguồn'!H:H, 'Data nguồn'!D:D, $D103, 'Data nguồn'!F:F, $B$1, 'Data nguồn'!C:C, J$3)</f>
      </c>
      <c r="K103" s="8">
        <f>SUMIFS('Data nguồn'!H:H, 'Data nguồn'!D:D, $D103, 'Data nguồn'!F:F, $B$1, 'Data nguồn'!C:C, K$3)</f>
      </c>
      <c r="L103" s="8">
        <f>SUMIFS('Data nguồn'!H:H, 'Data nguồn'!D:D, $D103, 'Data nguồn'!F:F, $B$1, 'Data nguồn'!C:C, L$3)</f>
      </c>
      <c r="M103" s="8">
        <f>SUMIFS('Data nguồn'!H:H, 'Data nguồn'!D:D, $D103, 'Data nguồn'!F:F, $B$1, 'Data nguồn'!C:C, M$3)</f>
      </c>
      <c r="N103" s="8">
        <f>SUMIFS('Data nguồn'!H:H, 'Data nguồn'!D:D, $D103, 'Data nguồn'!F:F, $B$1, 'Data nguồn'!C:C, N$3)</f>
      </c>
      <c r="O103" s="8">
        <f>SUMIFS('Data nguồn'!H:H, 'Data nguồn'!D:D, $D103, 'Data nguồn'!F:F, $B$1, 'Data nguồn'!C:C, O$3)</f>
      </c>
      <c r="P103" s="8">
        <f>SUMIFS('Data nguồn'!H:H, 'Data nguồn'!D:D, $D103, 'Data nguồn'!F:F, $B$1, 'Data nguồn'!C:C, P$3)</f>
      </c>
      <c r="Q103" s="8">
        <f>SUMIFS('Data nguồn'!H:H, 'Data nguồn'!D:D, $D103, 'Data nguồn'!F:F, $B$1, 'Data nguồn'!C:C, Q$3)</f>
      </c>
      <c r="R103" s="8">
        <f>SUMIFS('Data nguồn'!H:H, 'Data nguồn'!D:D, $D103, 'Data nguồn'!F:F, $B$1, 'Data nguồn'!C:C, R$3)</f>
      </c>
      <c r="S103" s="8">
        <f>SUMIFS('Data nguồn'!H:H, 'Data nguồn'!D:D, $D103, 'Data nguồn'!F:F, $B$1, 'Data nguồn'!C:C, S$3)</f>
      </c>
      <c r="T103" s="8">
        <f>SUMIFS('Data nguồn'!H:H, 'Data nguồn'!D:D, $D103, 'Data nguồn'!F:F, $B$1, 'Data nguồn'!C:C, T$3)</f>
      </c>
      <c r="V103" s="8">
        <f>SUM(E103:P103)</f>
      </c>
      <c r="W103" s="8">
        <f>SUM(Q103:T103)</f>
      </c>
      <c r="X103" s="8">
        <f>AVERAGE(R103:T103)</f>
      </c>
      <c r="Y103" s="8">
        <f>AVERAGE(O103:T103)</f>
      </c>
      <c r="Z103" s="8">
        <f>AVERAGE(L103:T103)</f>
      </c>
      <c r="AA103" s="4">
        <f>IFERROR((X103*2)/(Y103+Z103), 0)</f>
      </c>
      <c r="AB103" s="4">
        <f>IFERROR(W103/SUM(E103:H103), 0)</f>
      </c>
      <c r="AC103" s="4">
        <f>IFERROR(W103/SUM(E103:H103), 0)</f>
      </c>
      <c r="AD103" s="4">
        <f>IFERROR(T103/H103, 0)</f>
      </c>
    </row>
    <row r="104" ht="20" customHeight="1" spans="1:30" x14ac:dyDescent="0.25">
      <c r="A104">
        <v>101</v>
      </c>
      <c r="B104" t="s">
        <v>267</v>
      </c>
      <c r="C104" t="s">
        <v>371</v>
      </c>
      <c r="D104" s="2" t="s">
        <v>267</v>
      </c>
      <c r="E104" s="8">
        <f>SUMIFS('Data nguồn'!H:H, 'Data nguồn'!D:D, $D104, 'Data nguồn'!F:F, $B$1, 'Data nguồn'!C:C, E$3)</f>
      </c>
      <c r="F104" s="8">
        <f>SUMIFS('Data nguồn'!H:H, 'Data nguồn'!D:D, $D104, 'Data nguồn'!F:F, $B$1, 'Data nguồn'!C:C, F$3)</f>
      </c>
      <c r="G104" s="8">
        <f>SUMIFS('Data nguồn'!H:H, 'Data nguồn'!D:D, $D104, 'Data nguồn'!F:F, $B$1, 'Data nguồn'!C:C, G$3)</f>
      </c>
      <c r="H104" s="8">
        <f>SUMIFS('Data nguồn'!H:H, 'Data nguồn'!D:D, $D104, 'Data nguồn'!F:F, $B$1, 'Data nguồn'!C:C, H$3)</f>
      </c>
      <c r="I104" s="8">
        <f>SUMIFS('Data nguồn'!H:H, 'Data nguồn'!D:D, $D104, 'Data nguồn'!F:F, $B$1, 'Data nguồn'!C:C, I$3)</f>
      </c>
      <c r="J104" s="8">
        <f>SUMIFS('Data nguồn'!H:H, 'Data nguồn'!D:D, $D104, 'Data nguồn'!F:F, $B$1, 'Data nguồn'!C:C, J$3)</f>
      </c>
      <c r="K104" s="8">
        <f>SUMIFS('Data nguồn'!H:H, 'Data nguồn'!D:D, $D104, 'Data nguồn'!F:F, $B$1, 'Data nguồn'!C:C, K$3)</f>
      </c>
      <c r="L104" s="8">
        <f>SUMIFS('Data nguồn'!H:H, 'Data nguồn'!D:D, $D104, 'Data nguồn'!F:F, $B$1, 'Data nguồn'!C:C, L$3)</f>
      </c>
      <c r="M104" s="8">
        <f>SUMIFS('Data nguồn'!H:H, 'Data nguồn'!D:D, $D104, 'Data nguồn'!F:F, $B$1, 'Data nguồn'!C:C, M$3)</f>
      </c>
      <c r="N104" s="8">
        <f>SUMIFS('Data nguồn'!H:H, 'Data nguồn'!D:D, $D104, 'Data nguồn'!F:F, $B$1, 'Data nguồn'!C:C, N$3)</f>
      </c>
      <c r="O104" s="8">
        <f>SUMIFS('Data nguồn'!H:H, 'Data nguồn'!D:D, $D104, 'Data nguồn'!F:F, $B$1, 'Data nguồn'!C:C, O$3)</f>
      </c>
      <c r="P104" s="8">
        <f>SUMIFS('Data nguồn'!H:H, 'Data nguồn'!D:D, $D104, 'Data nguồn'!F:F, $B$1, 'Data nguồn'!C:C, P$3)</f>
      </c>
      <c r="Q104" s="8">
        <f>SUMIFS('Data nguồn'!H:H, 'Data nguồn'!D:D, $D104, 'Data nguồn'!F:F, $B$1, 'Data nguồn'!C:C, Q$3)</f>
      </c>
      <c r="R104" s="8">
        <f>SUMIFS('Data nguồn'!H:H, 'Data nguồn'!D:D, $D104, 'Data nguồn'!F:F, $B$1, 'Data nguồn'!C:C, R$3)</f>
      </c>
      <c r="S104" s="8">
        <f>SUMIFS('Data nguồn'!H:H, 'Data nguồn'!D:D, $D104, 'Data nguồn'!F:F, $B$1, 'Data nguồn'!C:C, S$3)</f>
      </c>
      <c r="T104" s="8">
        <f>SUMIFS('Data nguồn'!H:H, 'Data nguồn'!D:D, $D104, 'Data nguồn'!F:F, $B$1, 'Data nguồn'!C:C, T$3)</f>
      </c>
      <c r="V104" s="8">
        <f>SUM(E104:P104)</f>
      </c>
      <c r="W104" s="8">
        <f>SUM(Q104:T104)</f>
      </c>
      <c r="X104" s="8">
        <f>AVERAGE(R104:T104)</f>
      </c>
      <c r="Y104" s="8">
        <f>AVERAGE(O104:T104)</f>
      </c>
      <c r="Z104" s="8">
        <f>AVERAGE(L104:T104)</f>
      </c>
      <c r="AA104" s="4">
        <f>IFERROR((X104*2)/(Y104+Z104), 0)</f>
      </c>
      <c r="AB104" s="4">
        <f>IFERROR(W104/SUM(E104:H104), 0)</f>
      </c>
      <c r="AC104" s="4">
        <f>IFERROR(W104/SUM(E104:H104), 0)</f>
      </c>
      <c r="AD104" s="4">
        <f>IFERROR(T104/H104, 0)</f>
      </c>
    </row>
    <row r="105" ht="20" customHeight="1" spans="1:30" x14ac:dyDescent="0.25">
      <c r="A105">
        <v>102</v>
      </c>
      <c r="B105" t="s">
        <v>268</v>
      </c>
      <c r="C105" t="s">
        <v>371</v>
      </c>
      <c r="D105" s="2" t="s">
        <v>268</v>
      </c>
      <c r="E105" s="8">
        <f>SUMIFS('Data nguồn'!H:H, 'Data nguồn'!D:D, $D105, 'Data nguồn'!F:F, $B$1, 'Data nguồn'!C:C, E$3)</f>
      </c>
      <c r="F105" s="8">
        <f>SUMIFS('Data nguồn'!H:H, 'Data nguồn'!D:D, $D105, 'Data nguồn'!F:F, $B$1, 'Data nguồn'!C:C, F$3)</f>
      </c>
      <c r="G105" s="8">
        <f>SUMIFS('Data nguồn'!H:H, 'Data nguồn'!D:D, $D105, 'Data nguồn'!F:F, $B$1, 'Data nguồn'!C:C, G$3)</f>
      </c>
      <c r="H105" s="8">
        <f>SUMIFS('Data nguồn'!H:H, 'Data nguồn'!D:D, $D105, 'Data nguồn'!F:F, $B$1, 'Data nguồn'!C:C, H$3)</f>
      </c>
      <c r="I105" s="8">
        <f>SUMIFS('Data nguồn'!H:H, 'Data nguồn'!D:D, $D105, 'Data nguồn'!F:F, $B$1, 'Data nguồn'!C:C, I$3)</f>
      </c>
      <c r="J105" s="8">
        <f>SUMIFS('Data nguồn'!H:H, 'Data nguồn'!D:D, $D105, 'Data nguồn'!F:F, $B$1, 'Data nguồn'!C:C, J$3)</f>
      </c>
      <c r="K105" s="8">
        <f>SUMIFS('Data nguồn'!H:H, 'Data nguồn'!D:D, $D105, 'Data nguồn'!F:F, $B$1, 'Data nguồn'!C:C, K$3)</f>
      </c>
      <c r="L105" s="8">
        <f>SUMIFS('Data nguồn'!H:H, 'Data nguồn'!D:D, $D105, 'Data nguồn'!F:F, $B$1, 'Data nguồn'!C:C, L$3)</f>
      </c>
      <c r="M105" s="8">
        <f>SUMIFS('Data nguồn'!H:H, 'Data nguồn'!D:D, $D105, 'Data nguồn'!F:F, $B$1, 'Data nguồn'!C:C, M$3)</f>
      </c>
      <c r="N105" s="8">
        <f>SUMIFS('Data nguồn'!H:H, 'Data nguồn'!D:D, $D105, 'Data nguồn'!F:F, $B$1, 'Data nguồn'!C:C, N$3)</f>
      </c>
      <c r="O105" s="8">
        <f>SUMIFS('Data nguồn'!H:H, 'Data nguồn'!D:D, $D105, 'Data nguồn'!F:F, $B$1, 'Data nguồn'!C:C, O$3)</f>
      </c>
      <c r="P105" s="8">
        <f>SUMIFS('Data nguồn'!H:H, 'Data nguồn'!D:D, $D105, 'Data nguồn'!F:F, $B$1, 'Data nguồn'!C:C, P$3)</f>
      </c>
      <c r="Q105" s="8">
        <f>SUMIFS('Data nguồn'!H:H, 'Data nguồn'!D:D, $D105, 'Data nguồn'!F:F, $B$1, 'Data nguồn'!C:C, Q$3)</f>
      </c>
      <c r="R105" s="8">
        <f>SUMIFS('Data nguồn'!H:H, 'Data nguồn'!D:D, $D105, 'Data nguồn'!F:F, $B$1, 'Data nguồn'!C:C, R$3)</f>
      </c>
      <c r="S105" s="8">
        <f>SUMIFS('Data nguồn'!H:H, 'Data nguồn'!D:D, $D105, 'Data nguồn'!F:F, $B$1, 'Data nguồn'!C:C, S$3)</f>
      </c>
      <c r="T105" s="8">
        <f>SUMIFS('Data nguồn'!H:H, 'Data nguồn'!D:D, $D105, 'Data nguồn'!F:F, $B$1, 'Data nguồn'!C:C, T$3)</f>
      </c>
      <c r="V105" s="8">
        <f>SUM(E105:P105)</f>
      </c>
      <c r="W105" s="8">
        <f>SUM(Q105:T105)</f>
      </c>
      <c r="X105" s="8">
        <f>AVERAGE(R105:T105)</f>
      </c>
      <c r="Y105" s="8">
        <f>AVERAGE(O105:T105)</f>
      </c>
      <c r="Z105" s="8">
        <f>AVERAGE(L105:T105)</f>
      </c>
      <c r="AA105" s="4">
        <f>IFERROR((X105*2)/(Y105+Z105), 0)</f>
      </c>
      <c r="AB105" s="4">
        <f>IFERROR(W105/SUM(E105:H105), 0)</f>
      </c>
      <c r="AC105" s="4">
        <f>IFERROR(W105/SUM(E105:H105), 0)</f>
      </c>
      <c r="AD105" s="4">
        <f>IFERROR(T105/H105, 0)</f>
      </c>
    </row>
    <row r="106" ht="20" customHeight="1" spans="1:30" x14ac:dyDescent="0.25">
      <c r="A106">
        <v>103</v>
      </c>
      <c r="B106" t="s">
        <v>269</v>
      </c>
      <c r="C106" t="s">
        <v>369</v>
      </c>
      <c r="D106" s="2" t="s">
        <v>269</v>
      </c>
      <c r="E106" s="8">
        <f>SUMIFS('Data nguồn'!H:H, 'Data nguồn'!D:D, $D106, 'Data nguồn'!F:F, $B$1, 'Data nguồn'!C:C, E$3)</f>
      </c>
      <c r="F106" s="8">
        <f>SUMIFS('Data nguồn'!H:H, 'Data nguồn'!D:D, $D106, 'Data nguồn'!F:F, $B$1, 'Data nguồn'!C:C, F$3)</f>
      </c>
      <c r="G106" s="8">
        <f>SUMIFS('Data nguồn'!H:H, 'Data nguồn'!D:D, $D106, 'Data nguồn'!F:F, $B$1, 'Data nguồn'!C:C, G$3)</f>
      </c>
      <c r="H106" s="8">
        <f>SUMIFS('Data nguồn'!H:H, 'Data nguồn'!D:D, $D106, 'Data nguồn'!F:F, $B$1, 'Data nguồn'!C:C, H$3)</f>
      </c>
      <c r="I106" s="8">
        <f>SUMIFS('Data nguồn'!H:H, 'Data nguồn'!D:D, $D106, 'Data nguồn'!F:F, $B$1, 'Data nguồn'!C:C, I$3)</f>
      </c>
      <c r="J106" s="8">
        <f>SUMIFS('Data nguồn'!H:H, 'Data nguồn'!D:D, $D106, 'Data nguồn'!F:F, $B$1, 'Data nguồn'!C:C, J$3)</f>
      </c>
      <c r="K106" s="8">
        <f>SUMIFS('Data nguồn'!H:H, 'Data nguồn'!D:D, $D106, 'Data nguồn'!F:F, $B$1, 'Data nguồn'!C:C, K$3)</f>
      </c>
      <c r="L106" s="8">
        <f>SUMIFS('Data nguồn'!H:H, 'Data nguồn'!D:D, $D106, 'Data nguồn'!F:F, $B$1, 'Data nguồn'!C:C, L$3)</f>
      </c>
      <c r="M106" s="8">
        <f>SUMIFS('Data nguồn'!H:H, 'Data nguồn'!D:D, $D106, 'Data nguồn'!F:F, $B$1, 'Data nguồn'!C:C, M$3)</f>
      </c>
      <c r="N106" s="8">
        <f>SUMIFS('Data nguồn'!H:H, 'Data nguồn'!D:D, $D106, 'Data nguồn'!F:F, $B$1, 'Data nguồn'!C:C, N$3)</f>
      </c>
      <c r="O106" s="8">
        <f>SUMIFS('Data nguồn'!H:H, 'Data nguồn'!D:D, $D106, 'Data nguồn'!F:F, $B$1, 'Data nguồn'!C:C, O$3)</f>
      </c>
      <c r="P106" s="8">
        <f>SUMIFS('Data nguồn'!H:H, 'Data nguồn'!D:D, $D106, 'Data nguồn'!F:F, $B$1, 'Data nguồn'!C:C, P$3)</f>
      </c>
      <c r="Q106" s="8">
        <f>SUMIFS('Data nguồn'!H:H, 'Data nguồn'!D:D, $D106, 'Data nguồn'!F:F, $B$1, 'Data nguồn'!C:C, Q$3)</f>
      </c>
      <c r="R106" s="8">
        <f>SUMIFS('Data nguồn'!H:H, 'Data nguồn'!D:D, $D106, 'Data nguồn'!F:F, $B$1, 'Data nguồn'!C:C, R$3)</f>
      </c>
      <c r="S106" s="8">
        <f>SUMIFS('Data nguồn'!H:H, 'Data nguồn'!D:D, $D106, 'Data nguồn'!F:F, $B$1, 'Data nguồn'!C:C, S$3)</f>
      </c>
      <c r="T106" s="8">
        <f>SUMIFS('Data nguồn'!H:H, 'Data nguồn'!D:D, $D106, 'Data nguồn'!F:F, $B$1, 'Data nguồn'!C:C, T$3)</f>
      </c>
      <c r="V106" s="8">
        <f>SUM(E106:P106)</f>
      </c>
      <c r="W106" s="8">
        <f>SUM(Q106:T106)</f>
      </c>
      <c r="X106" s="8">
        <f>AVERAGE(R106:T106)</f>
      </c>
      <c r="Y106" s="8">
        <f>AVERAGE(O106:T106)</f>
      </c>
      <c r="Z106" s="8">
        <f>AVERAGE(L106:T106)</f>
      </c>
      <c r="AA106" s="4">
        <f>IFERROR((X106*2)/(Y106+Z106), 0)</f>
      </c>
      <c r="AB106" s="4">
        <f>IFERROR(W106/SUM(E106:H106), 0)</f>
      </c>
      <c r="AC106" s="4">
        <f>IFERROR(W106/SUM(E106:H106), 0)</f>
      </c>
      <c r="AD106" s="4">
        <f>IFERROR(T106/H106, 0)</f>
      </c>
    </row>
    <row r="107" ht="20" customHeight="1" spans="1:30" x14ac:dyDescent="0.25">
      <c r="A107">
        <v>104</v>
      </c>
      <c r="B107" t="s">
        <v>270</v>
      </c>
      <c r="C107" t="s">
        <v>367</v>
      </c>
      <c r="D107" s="2" t="s">
        <v>270</v>
      </c>
      <c r="E107" s="8">
        <f>SUMIFS('Data nguồn'!H:H, 'Data nguồn'!D:D, $D107, 'Data nguồn'!F:F, $B$1, 'Data nguồn'!C:C, E$3)</f>
      </c>
      <c r="F107" s="8">
        <f>SUMIFS('Data nguồn'!H:H, 'Data nguồn'!D:D, $D107, 'Data nguồn'!F:F, $B$1, 'Data nguồn'!C:C, F$3)</f>
      </c>
      <c r="G107" s="8">
        <f>SUMIFS('Data nguồn'!H:H, 'Data nguồn'!D:D, $D107, 'Data nguồn'!F:F, $B$1, 'Data nguồn'!C:C, G$3)</f>
      </c>
      <c r="H107" s="8">
        <f>SUMIFS('Data nguồn'!H:H, 'Data nguồn'!D:D, $D107, 'Data nguồn'!F:F, $B$1, 'Data nguồn'!C:C, H$3)</f>
      </c>
      <c r="I107" s="8">
        <f>SUMIFS('Data nguồn'!H:H, 'Data nguồn'!D:D, $D107, 'Data nguồn'!F:F, $B$1, 'Data nguồn'!C:C, I$3)</f>
      </c>
      <c r="J107" s="8">
        <f>SUMIFS('Data nguồn'!H:H, 'Data nguồn'!D:D, $D107, 'Data nguồn'!F:F, $B$1, 'Data nguồn'!C:C, J$3)</f>
      </c>
      <c r="K107" s="8">
        <f>SUMIFS('Data nguồn'!H:H, 'Data nguồn'!D:D, $D107, 'Data nguồn'!F:F, $B$1, 'Data nguồn'!C:C, K$3)</f>
      </c>
      <c r="L107" s="8">
        <f>SUMIFS('Data nguồn'!H:H, 'Data nguồn'!D:D, $D107, 'Data nguồn'!F:F, $B$1, 'Data nguồn'!C:C, L$3)</f>
      </c>
      <c r="M107" s="8">
        <f>SUMIFS('Data nguồn'!H:H, 'Data nguồn'!D:D, $D107, 'Data nguồn'!F:F, $B$1, 'Data nguồn'!C:C, M$3)</f>
      </c>
      <c r="N107" s="8">
        <f>SUMIFS('Data nguồn'!H:H, 'Data nguồn'!D:D, $D107, 'Data nguồn'!F:F, $B$1, 'Data nguồn'!C:C, N$3)</f>
      </c>
      <c r="O107" s="8">
        <f>SUMIFS('Data nguồn'!H:H, 'Data nguồn'!D:D, $D107, 'Data nguồn'!F:F, $B$1, 'Data nguồn'!C:C, O$3)</f>
      </c>
      <c r="P107" s="8">
        <f>SUMIFS('Data nguồn'!H:H, 'Data nguồn'!D:D, $D107, 'Data nguồn'!F:F, $B$1, 'Data nguồn'!C:C, P$3)</f>
      </c>
      <c r="Q107" s="8">
        <f>SUMIFS('Data nguồn'!H:H, 'Data nguồn'!D:D, $D107, 'Data nguồn'!F:F, $B$1, 'Data nguồn'!C:C, Q$3)</f>
      </c>
      <c r="R107" s="8">
        <f>SUMIFS('Data nguồn'!H:H, 'Data nguồn'!D:D, $D107, 'Data nguồn'!F:F, $B$1, 'Data nguồn'!C:C, R$3)</f>
      </c>
      <c r="S107" s="8">
        <f>SUMIFS('Data nguồn'!H:H, 'Data nguồn'!D:D, $D107, 'Data nguồn'!F:F, $B$1, 'Data nguồn'!C:C, S$3)</f>
      </c>
      <c r="T107" s="8">
        <f>SUMIFS('Data nguồn'!H:H, 'Data nguồn'!D:D, $D107, 'Data nguồn'!F:F, $B$1, 'Data nguồn'!C:C, T$3)</f>
      </c>
      <c r="V107" s="8">
        <f>SUM(E107:P107)</f>
      </c>
      <c r="W107" s="8">
        <f>SUM(Q107:T107)</f>
      </c>
      <c r="X107" s="8">
        <f>AVERAGE(R107:T107)</f>
      </c>
      <c r="Y107" s="8">
        <f>AVERAGE(O107:T107)</f>
      </c>
      <c r="Z107" s="8">
        <f>AVERAGE(L107:T107)</f>
      </c>
      <c r="AA107" s="4">
        <f>IFERROR((X107*2)/(Y107+Z107), 0)</f>
      </c>
      <c r="AB107" s="4">
        <f>IFERROR(W107/SUM(E107:H107), 0)</f>
      </c>
      <c r="AC107" s="4">
        <f>IFERROR(W107/SUM(E107:H107), 0)</f>
      </c>
      <c r="AD107" s="4">
        <f>IFERROR(T107/H107, 0)</f>
      </c>
    </row>
    <row r="108" ht="20" customHeight="1" spans="1:30" x14ac:dyDescent="0.25">
      <c r="A108">
        <v>105</v>
      </c>
      <c r="B108" t="s">
        <v>271</v>
      </c>
      <c r="C108" t="s">
        <v>369</v>
      </c>
      <c r="D108" s="2" t="s">
        <v>271</v>
      </c>
      <c r="E108" s="8">
        <f>SUMIFS('Data nguồn'!H:H, 'Data nguồn'!D:D, $D108, 'Data nguồn'!F:F, $B$1, 'Data nguồn'!C:C, E$3)</f>
      </c>
      <c r="F108" s="8">
        <f>SUMIFS('Data nguồn'!H:H, 'Data nguồn'!D:D, $D108, 'Data nguồn'!F:F, $B$1, 'Data nguồn'!C:C, F$3)</f>
      </c>
      <c r="G108" s="8">
        <f>SUMIFS('Data nguồn'!H:H, 'Data nguồn'!D:D, $D108, 'Data nguồn'!F:F, $B$1, 'Data nguồn'!C:C, G$3)</f>
      </c>
      <c r="H108" s="8">
        <f>SUMIFS('Data nguồn'!H:H, 'Data nguồn'!D:D, $D108, 'Data nguồn'!F:F, $B$1, 'Data nguồn'!C:C, H$3)</f>
      </c>
      <c r="I108" s="8">
        <f>SUMIFS('Data nguồn'!H:H, 'Data nguồn'!D:D, $D108, 'Data nguồn'!F:F, $B$1, 'Data nguồn'!C:C, I$3)</f>
      </c>
      <c r="J108" s="8">
        <f>SUMIFS('Data nguồn'!H:H, 'Data nguồn'!D:D, $D108, 'Data nguồn'!F:F, $B$1, 'Data nguồn'!C:C, J$3)</f>
      </c>
      <c r="K108" s="8">
        <f>SUMIFS('Data nguồn'!H:H, 'Data nguồn'!D:D, $D108, 'Data nguồn'!F:F, $B$1, 'Data nguồn'!C:C, K$3)</f>
      </c>
      <c r="L108" s="8">
        <f>SUMIFS('Data nguồn'!H:H, 'Data nguồn'!D:D, $D108, 'Data nguồn'!F:F, $B$1, 'Data nguồn'!C:C, L$3)</f>
      </c>
      <c r="M108" s="8">
        <f>SUMIFS('Data nguồn'!H:H, 'Data nguồn'!D:D, $D108, 'Data nguồn'!F:F, $B$1, 'Data nguồn'!C:C, M$3)</f>
      </c>
      <c r="N108" s="8">
        <f>SUMIFS('Data nguồn'!H:H, 'Data nguồn'!D:D, $D108, 'Data nguồn'!F:F, $B$1, 'Data nguồn'!C:C, N$3)</f>
      </c>
      <c r="O108" s="8">
        <f>SUMIFS('Data nguồn'!H:H, 'Data nguồn'!D:D, $D108, 'Data nguồn'!F:F, $B$1, 'Data nguồn'!C:C, O$3)</f>
      </c>
      <c r="P108" s="8">
        <f>SUMIFS('Data nguồn'!H:H, 'Data nguồn'!D:D, $D108, 'Data nguồn'!F:F, $B$1, 'Data nguồn'!C:C, P$3)</f>
      </c>
      <c r="Q108" s="8">
        <f>SUMIFS('Data nguồn'!H:H, 'Data nguồn'!D:D, $D108, 'Data nguồn'!F:F, $B$1, 'Data nguồn'!C:C, Q$3)</f>
      </c>
      <c r="R108" s="8">
        <f>SUMIFS('Data nguồn'!H:H, 'Data nguồn'!D:D, $D108, 'Data nguồn'!F:F, $B$1, 'Data nguồn'!C:C, R$3)</f>
      </c>
      <c r="S108" s="8">
        <f>SUMIFS('Data nguồn'!H:H, 'Data nguồn'!D:D, $D108, 'Data nguồn'!F:F, $B$1, 'Data nguồn'!C:C, S$3)</f>
      </c>
      <c r="T108" s="8">
        <f>SUMIFS('Data nguồn'!H:H, 'Data nguồn'!D:D, $D108, 'Data nguồn'!F:F, $B$1, 'Data nguồn'!C:C, T$3)</f>
      </c>
      <c r="V108" s="8">
        <f>SUM(E108:P108)</f>
      </c>
      <c r="W108" s="8">
        <f>SUM(Q108:T108)</f>
      </c>
      <c r="X108" s="8">
        <f>AVERAGE(R108:T108)</f>
      </c>
      <c r="Y108" s="8">
        <f>AVERAGE(O108:T108)</f>
      </c>
      <c r="Z108" s="8">
        <f>AVERAGE(L108:T108)</f>
      </c>
      <c r="AA108" s="4">
        <f>IFERROR((X108*2)/(Y108+Z108), 0)</f>
      </c>
      <c r="AB108" s="4">
        <f>IFERROR(W108/SUM(E108:H108), 0)</f>
      </c>
      <c r="AC108" s="4">
        <f>IFERROR(W108/SUM(E108:H108), 0)</f>
      </c>
      <c r="AD108" s="4">
        <f>IFERROR(T108/H108, 0)</f>
      </c>
    </row>
    <row r="109" ht="20" customHeight="1" spans="1:30" x14ac:dyDescent="0.25">
      <c r="A109">
        <v>106</v>
      </c>
      <c r="B109" t="s">
        <v>272</v>
      </c>
      <c r="C109" t="s">
        <v>369</v>
      </c>
      <c r="D109" s="2" t="s">
        <v>272</v>
      </c>
      <c r="E109" s="8">
        <f>SUMIFS('Data nguồn'!H:H, 'Data nguồn'!D:D, $D109, 'Data nguồn'!F:F, $B$1, 'Data nguồn'!C:C, E$3)</f>
      </c>
      <c r="F109" s="8">
        <f>SUMIFS('Data nguồn'!H:H, 'Data nguồn'!D:D, $D109, 'Data nguồn'!F:F, $B$1, 'Data nguồn'!C:C, F$3)</f>
      </c>
      <c r="G109" s="8">
        <f>SUMIFS('Data nguồn'!H:H, 'Data nguồn'!D:D, $D109, 'Data nguồn'!F:F, $B$1, 'Data nguồn'!C:C, G$3)</f>
      </c>
      <c r="H109" s="8">
        <f>SUMIFS('Data nguồn'!H:H, 'Data nguồn'!D:D, $D109, 'Data nguồn'!F:F, $B$1, 'Data nguồn'!C:C, H$3)</f>
      </c>
      <c r="I109" s="8">
        <f>SUMIFS('Data nguồn'!H:H, 'Data nguồn'!D:D, $D109, 'Data nguồn'!F:F, $B$1, 'Data nguồn'!C:C, I$3)</f>
      </c>
      <c r="J109" s="8">
        <f>SUMIFS('Data nguồn'!H:H, 'Data nguồn'!D:D, $D109, 'Data nguồn'!F:F, $B$1, 'Data nguồn'!C:C, J$3)</f>
      </c>
      <c r="K109" s="8">
        <f>SUMIFS('Data nguồn'!H:H, 'Data nguồn'!D:D, $D109, 'Data nguồn'!F:F, $B$1, 'Data nguồn'!C:C, K$3)</f>
      </c>
      <c r="L109" s="8">
        <f>SUMIFS('Data nguồn'!H:H, 'Data nguồn'!D:D, $D109, 'Data nguồn'!F:F, $B$1, 'Data nguồn'!C:C, L$3)</f>
      </c>
      <c r="M109" s="8">
        <f>SUMIFS('Data nguồn'!H:H, 'Data nguồn'!D:D, $D109, 'Data nguồn'!F:F, $B$1, 'Data nguồn'!C:C, M$3)</f>
      </c>
      <c r="N109" s="8">
        <f>SUMIFS('Data nguồn'!H:H, 'Data nguồn'!D:D, $D109, 'Data nguồn'!F:F, $B$1, 'Data nguồn'!C:C, N$3)</f>
      </c>
      <c r="O109" s="8">
        <f>SUMIFS('Data nguồn'!H:H, 'Data nguồn'!D:D, $D109, 'Data nguồn'!F:F, $B$1, 'Data nguồn'!C:C, O$3)</f>
      </c>
      <c r="P109" s="8">
        <f>SUMIFS('Data nguồn'!H:H, 'Data nguồn'!D:D, $D109, 'Data nguồn'!F:F, $B$1, 'Data nguồn'!C:C, P$3)</f>
      </c>
      <c r="Q109" s="8">
        <f>SUMIFS('Data nguồn'!H:H, 'Data nguồn'!D:D, $D109, 'Data nguồn'!F:F, $B$1, 'Data nguồn'!C:C, Q$3)</f>
      </c>
      <c r="R109" s="8">
        <f>SUMIFS('Data nguồn'!H:H, 'Data nguồn'!D:D, $D109, 'Data nguồn'!F:F, $B$1, 'Data nguồn'!C:C, R$3)</f>
      </c>
      <c r="S109" s="8">
        <f>SUMIFS('Data nguồn'!H:H, 'Data nguồn'!D:D, $D109, 'Data nguồn'!F:F, $B$1, 'Data nguồn'!C:C, S$3)</f>
      </c>
      <c r="T109" s="8">
        <f>SUMIFS('Data nguồn'!H:H, 'Data nguồn'!D:D, $D109, 'Data nguồn'!F:F, $B$1, 'Data nguồn'!C:C, T$3)</f>
      </c>
      <c r="V109" s="8">
        <f>SUM(E109:P109)</f>
      </c>
      <c r="W109" s="8">
        <f>SUM(Q109:T109)</f>
      </c>
      <c r="X109" s="8">
        <f>AVERAGE(R109:T109)</f>
      </c>
      <c r="Y109" s="8">
        <f>AVERAGE(O109:T109)</f>
      </c>
      <c r="Z109" s="8">
        <f>AVERAGE(L109:T109)</f>
      </c>
      <c r="AA109" s="4">
        <f>IFERROR((X109*2)/(Y109+Z109), 0)</f>
      </c>
      <c r="AB109" s="4">
        <f>IFERROR(W109/SUM(E109:H109), 0)</f>
      </c>
      <c r="AC109" s="4">
        <f>IFERROR(W109/SUM(E109:H109), 0)</f>
      </c>
      <c r="AD109" s="4">
        <f>IFERROR(T109/H109, 0)</f>
      </c>
    </row>
    <row r="110" ht="20" customHeight="1" spans="1:30" x14ac:dyDescent="0.25">
      <c r="A110">
        <v>107</v>
      </c>
      <c r="B110" t="s">
        <v>273</v>
      </c>
      <c r="C110" t="s">
        <v>369</v>
      </c>
      <c r="D110" s="2" t="s">
        <v>273</v>
      </c>
      <c r="E110" s="8">
        <f>SUMIFS('Data nguồn'!H:H, 'Data nguồn'!D:D, $D110, 'Data nguồn'!F:F, $B$1, 'Data nguồn'!C:C, E$3)</f>
      </c>
      <c r="F110" s="8">
        <f>SUMIFS('Data nguồn'!H:H, 'Data nguồn'!D:D, $D110, 'Data nguồn'!F:F, $B$1, 'Data nguồn'!C:C, F$3)</f>
      </c>
      <c r="G110" s="8">
        <f>SUMIFS('Data nguồn'!H:H, 'Data nguồn'!D:D, $D110, 'Data nguồn'!F:F, $B$1, 'Data nguồn'!C:C, G$3)</f>
      </c>
      <c r="H110" s="8">
        <f>SUMIFS('Data nguồn'!H:H, 'Data nguồn'!D:D, $D110, 'Data nguồn'!F:F, $B$1, 'Data nguồn'!C:C, H$3)</f>
      </c>
      <c r="I110" s="8">
        <f>SUMIFS('Data nguồn'!H:H, 'Data nguồn'!D:D, $D110, 'Data nguồn'!F:F, $B$1, 'Data nguồn'!C:C, I$3)</f>
      </c>
      <c r="J110" s="8">
        <f>SUMIFS('Data nguồn'!H:H, 'Data nguồn'!D:D, $D110, 'Data nguồn'!F:F, $B$1, 'Data nguồn'!C:C, J$3)</f>
      </c>
      <c r="K110" s="8">
        <f>SUMIFS('Data nguồn'!H:H, 'Data nguồn'!D:D, $D110, 'Data nguồn'!F:F, $B$1, 'Data nguồn'!C:C, K$3)</f>
      </c>
      <c r="L110" s="8">
        <f>SUMIFS('Data nguồn'!H:H, 'Data nguồn'!D:D, $D110, 'Data nguồn'!F:F, $B$1, 'Data nguồn'!C:C, L$3)</f>
      </c>
      <c r="M110" s="8">
        <f>SUMIFS('Data nguồn'!H:H, 'Data nguồn'!D:D, $D110, 'Data nguồn'!F:F, $B$1, 'Data nguồn'!C:C, M$3)</f>
      </c>
      <c r="N110" s="8">
        <f>SUMIFS('Data nguồn'!H:H, 'Data nguồn'!D:D, $D110, 'Data nguồn'!F:F, $B$1, 'Data nguồn'!C:C, N$3)</f>
      </c>
      <c r="O110" s="8">
        <f>SUMIFS('Data nguồn'!H:H, 'Data nguồn'!D:D, $D110, 'Data nguồn'!F:F, $B$1, 'Data nguồn'!C:C, O$3)</f>
      </c>
      <c r="P110" s="8">
        <f>SUMIFS('Data nguồn'!H:H, 'Data nguồn'!D:D, $D110, 'Data nguồn'!F:F, $B$1, 'Data nguồn'!C:C, P$3)</f>
      </c>
      <c r="Q110" s="8">
        <f>SUMIFS('Data nguồn'!H:H, 'Data nguồn'!D:D, $D110, 'Data nguồn'!F:F, $B$1, 'Data nguồn'!C:C, Q$3)</f>
      </c>
      <c r="R110" s="8">
        <f>SUMIFS('Data nguồn'!H:H, 'Data nguồn'!D:D, $D110, 'Data nguồn'!F:F, $B$1, 'Data nguồn'!C:C, R$3)</f>
      </c>
      <c r="S110" s="8">
        <f>SUMIFS('Data nguồn'!H:H, 'Data nguồn'!D:D, $D110, 'Data nguồn'!F:F, $B$1, 'Data nguồn'!C:C, S$3)</f>
      </c>
      <c r="T110" s="8">
        <f>SUMIFS('Data nguồn'!H:H, 'Data nguồn'!D:D, $D110, 'Data nguồn'!F:F, $B$1, 'Data nguồn'!C:C, T$3)</f>
      </c>
      <c r="V110" s="8">
        <f>SUM(E110:P110)</f>
      </c>
      <c r="W110" s="8">
        <f>SUM(Q110:T110)</f>
      </c>
      <c r="X110" s="8">
        <f>AVERAGE(R110:T110)</f>
      </c>
      <c r="Y110" s="8">
        <f>AVERAGE(O110:T110)</f>
      </c>
      <c r="Z110" s="8">
        <f>AVERAGE(L110:T110)</f>
      </c>
      <c r="AA110" s="4">
        <f>IFERROR((X110*2)/(Y110+Z110), 0)</f>
      </c>
      <c r="AB110" s="4">
        <f>IFERROR(W110/SUM(E110:H110), 0)</f>
      </c>
      <c r="AC110" s="4">
        <f>IFERROR(W110/SUM(E110:H110), 0)</f>
      </c>
      <c r="AD110" s="4">
        <f>IFERROR(T110/H110, 0)</f>
      </c>
    </row>
    <row r="111" ht="20" customHeight="1" spans="1:30" x14ac:dyDescent="0.25">
      <c r="A111">
        <v>108</v>
      </c>
      <c r="B111" t="s">
        <v>274</v>
      </c>
      <c r="C111" t="s">
        <v>369</v>
      </c>
      <c r="D111" s="2" t="s">
        <v>274</v>
      </c>
      <c r="E111" s="8">
        <f>SUMIFS('Data nguồn'!H:H, 'Data nguồn'!D:D, $D111, 'Data nguồn'!F:F, $B$1, 'Data nguồn'!C:C, E$3)</f>
      </c>
      <c r="F111" s="8">
        <f>SUMIFS('Data nguồn'!H:H, 'Data nguồn'!D:D, $D111, 'Data nguồn'!F:F, $B$1, 'Data nguồn'!C:C, F$3)</f>
      </c>
      <c r="G111" s="8">
        <f>SUMIFS('Data nguồn'!H:H, 'Data nguồn'!D:D, $D111, 'Data nguồn'!F:F, $B$1, 'Data nguồn'!C:C, G$3)</f>
      </c>
      <c r="H111" s="8">
        <f>SUMIFS('Data nguồn'!H:H, 'Data nguồn'!D:D, $D111, 'Data nguồn'!F:F, $B$1, 'Data nguồn'!C:C, H$3)</f>
      </c>
      <c r="I111" s="8">
        <f>SUMIFS('Data nguồn'!H:H, 'Data nguồn'!D:D, $D111, 'Data nguồn'!F:F, $B$1, 'Data nguồn'!C:C, I$3)</f>
      </c>
      <c r="J111" s="8">
        <f>SUMIFS('Data nguồn'!H:H, 'Data nguồn'!D:D, $D111, 'Data nguồn'!F:F, $B$1, 'Data nguồn'!C:C, J$3)</f>
      </c>
      <c r="K111" s="8">
        <f>SUMIFS('Data nguồn'!H:H, 'Data nguồn'!D:D, $D111, 'Data nguồn'!F:F, $B$1, 'Data nguồn'!C:C, K$3)</f>
      </c>
      <c r="L111" s="8">
        <f>SUMIFS('Data nguồn'!H:H, 'Data nguồn'!D:D, $D111, 'Data nguồn'!F:F, $B$1, 'Data nguồn'!C:C, L$3)</f>
      </c>
      <c r="M111" s="8">
        <f>SUMIFS('Data nguồn'!H:H, 'Data nguồn'!D:D, $D111, 'Data nguồn'!F:F, $B$1, 'Data nguồn'!C:C, M$3)</f>
      </c>
      <c r="N111" s="8">
        <f>SUMIFS('Data nguồn'!H:H, 'Data nguồn'!D:D, $D111, 'Data nguồn'!F:F, $B$1, 'Data nguồn'!C:C, N$3)</f>
      </c>
      <c r="O111" s="8">
        <f>SUMIFS('Data nguồn'!H:H, 'Data nguồn'!D:D, $D111, 'Data nguồn'!F:F, $B$1, 'Data nguồn'!C:C, O$3)</f>
      </c>
      <c r="P111" s="8">
        <f>SUMIFS('Data nguồn'!H:H, 'Data nguồn'!D:D, $D111, 'Data nguồn'!F:F, $B$1, 'Data nguồn'!C:C, P$3)</f>
      </c>
      <c r="Q111" s="8">
        <f>SUMIFS('Data nguồn'!H:H, 'Data nguồn'!D:D, $D111, 'Data nguồn'!F:F, $B$1, 'Data nguồn'!C:C, Q$3)</f>
      </c>
      <c r="R111" s="8">
        <f>SUMIFS('Data nguồn'!H:H, 'Data nguồn'!D:D, $D111, 'Data nguồn'!F:F, $B$1, 'Data nguồn'!C:C, R$3)</f>
      </c>
      <c r="S111" s="8">
        <f>SUMIFS('Data nguồn'!H:H, 'Data nguồn'!D:D, $D111, 'Data nguồn'!F:F, $B$1, 'Data nguồn'!C:C, S$3)</f>
      </c>
      <c r="T111" s="8">
        <f>SUMIFS('Data nguồn'!H:H, 'Data nguồn'!D:D, $D111, 'Data nguồn'!F:F, $B$1, 'Data nguồn'!C:C, T$3)</f>
      </c>
      <c r="V111" s="8">
        <f>SUM(E111:P111)</f>
      </c>
      <c r="W111" s="8">
        <f>SUM(Q111:T111)</f>
      </c>
      <c r="X111" s="8">
        <f>AVERAGE(R111:T111)</f>
      </c>
      <c r="Y111" s="8">
        <f>AVERAGE(O111:T111)</f>
      </c>
      <c r="Z111" s="8">
        <f>AVERAGE(L111:T111)</f>
      </c>
      <c r="AA111" s="4">
        <f>IFERROR((X111*2)/(Y111+Z111), 0)</f>
      </c>
      <c r="AB111" s="4">
        <f>IFERROR(W111/SUM(E111:H111), 0)</f>
      </c>
      <c r="AC111" s="4">
        <f>IFERROR(W111/SUM(E111:H111), 0)</f>
      </c>
      <c r="AD111" s="4">
        <f>IFERROR(T111/H111, 0)</f>
      </c>
    </row>
    <row r="112" ht="20" customHeight="1" spans="1:30" x14ac:dyDescent="0.25">
      <c r="A112">
        <v>109</v>
      </c>
      <c r="B112" t="s">
        <v>275</v>
      </c>
      <c r="C112" t="s">
        <v>369</v>
      </c>
      <c r="D112" s="2" t="s">
        <v>275</v>
      </c>
      <c r="E112" s="8">
        <f>SUMIFS('Data nguồn'!H:H, 'Data nguồn'!D:D, $D112, 'Data nguồn'!F:F, $B$1, 'Data nguồn'!C:C, E$3)</f>
      </c>
      <c r="F112" s="8">
        <f>SUMIFS('Data nguồn'!H:H, 'Data nguồn'!D:D, $D112, 'Data nguồn'!F:F, $B$1, 'Data nguồn'!C:C, F$3)</f>
      </c>
      <c r="G112" s="8">
        <f>SUMIFS('Data nguồn'!H:H, 'Data nguồn'!D:D, $D112, 'Data nguồn'!F:F, $B$1, 'Data nguồn'!C:C, G$3)</f>
      </c>
      <c r="H112" s="8">
        <f>SUMIFS('Data nguồn'!H:H, 'Data nguồn'!D:D, $D112, 'Data nguồn'!F:F, $B$1, 'Data nguồn'!C:C, H$3)</f>
      </c>
      <c r="I112" s="8">
        <f>SUMIFS('Data nguồn'!H:H, 'Data nguồn'!D:D, $D112, 'Data nguồn'!F:F, $B$1, 'Data nguồn'!C:C, I$3)</f>
      </c>
      <c r="J112" s="8">
        <f>SUMIFS('Data nguồn'!H:H, 'Data nguồn'!D:D, $D112, 'Data nguồn'!F:F, $B$1, 'Data nguồn'!C:C, J$3)</f>
      </c>
      <c r="K112" s="8">
        <f>SUMIFS('Data nguồn'!H:H, 'Data nguồn'!D:D, $D112, 'Data nguồn'!F:F, $B$1, 'Data nguồn'!C:C, K$3)</f>
      </c>
      <c r="L112" s="8">
        <f>SUMIFS('Data nguồn'!H:H, 'Data nguồn'!D:D, $D112, 'Data nguồn'!F:F, $B$1, 'Data nguồn'!C:C, L$3)</f>
      </c>
      <c r="M112" s="8">
        <f>SUMIFS('Data nguồn'!H:H, 'Data nguồn'!D:D, $D112, 'Data nguồn'!F:F, $B$1, 'Data nguồn'!C:C, M$3)</f>
      </c>
      <c r="N112" s="8">
        <f>SUMIFS('Data nguồn'!H:H, 'Data nguồn'!D:D, $D112, 'Data nguồn'!F:F, $B$1, 'Data nguồn'!C:C, N$3)</f>
      </c>
      <c r="O112" s="8">
        <f>SUMIFS('Data nguồn'!H:H, 'Data nguồn'!D:D, $D112, 'Data nguồn'!F:F, $B$1, 'Data nguồn'!C:C, O$3)</f>
      </c>
      <c r="P112" s="8">
        <f>SUMIFS('Data nguồn'!H:H, 'Data nguồn'!D:D, $D112, 'Data nguồn'!F:F, $B$1, 'Data nguồn'!C:C, P$3)</f>
      </c>
      <c r="Q112" s="8">
        <f>SUMIFS('Data nguồn'!H:H, 'Data nguồn'!D:D, $D112, 'Data nguồn'!F:F, $B$1, 'Data nguồn'!C:C, Q$3)</f>
      </c>
      <c r="R112" s="8">
        <f>SUMIFS('Data nguồn'!H:H, 'Data nguồn'!D:D, $D112, 'Data nguồn'!F:F, $B$1, 'Data nguồn'!C:C, R$3)</f>
      </c>
      <c r="S112" s="8">
        <f>SUMIFS('Data nguồn'!H:H, 'Data nguồn'!D:D, $D112, 'Data nguồn'!F:F, $B$1, 'Data nguồn'!C:C, S$3)</f>
      </c>
      <c r="T112" s="8">
        <f>SUMIFS('Data nguồn'!H:H, 'Data nguồn'!D:D, $D112, 'Data nguồn'!F:F, $B$1, 'Data nguồn'!C:C, T$3)</f>
      </c>
      <c r="V112" s="8">
        <f>SUM(E112:P112)</f>
      </c>
      <c r="W112" s="8">
        <f>SUM(Q112:T112)</f>
      </c>
      <c r="X112" s="8">
        <f>AVERAGE(R112:T112)</f>
      </c>
      <c r="Y112" s="8">
        <f>AVERAGE(O112:T112)</f>
      </c>
      <c r="Z112" s="8">
        <f>AVERAGE(L112:T112)</f>
      </c>
      <c r="AA112" s="4">
        <f>IFERROR((X112*2)/(Y112+Z112), 0)</f>
      </c>
      <c r="AB112" s="4">
        <f>IFERROR(W112/SUM(E112:H112), 0)</f>
      </c>
      <c r="AC112" s="4">
        <f>IFERROR(W112/SUM(E112:H112), 0)</f>
      </c>
      <c r="AD112" s="4">
        <f>IFERROR(T112/H112, 0)</f>
      </c>
    </row>
    <row r="113" ht="20" customHeight="1" spans="1:30" x14ac:dyDescent="0.25">
      <c r="A113">
        <v>110</v>
      </c>
      <c r="B113" t="s">
        <v>276</v>
      </c>
      <c r="C113" t="s">
        <v>369</v>
      </c>
      <c r="D113" s="2" t="s">
        <v>276</v>
      </c>
      <c r="E113" s="8">
        <f>SUMIFS('Data nguồn'!H:H, 'Data nguồn'!D:D, $D113, 'Data nguồn'!F:F, $B$1, 'Data nguồn'!C:C, E$3)</f>
      </c>
      <c r="F113" s="8">
        <f>SUMIFS('Data nguồn'!H:H, 'Data nguồn'!D:D, $D113, 'Data nguồn'!F:F, $B$1, 'Data nguồn'!C:C, F$3)</f>
      </c>
      <c r="G113" s="8">
        <f>SUMIFS('Data nguồn'!H:H, 'Data nguồn'!D:D, $D113, 'Data nguồn'!F:F, $B$1, 'Data nguồn'!C:C, G$3)</f>
      </c>
      <c r="H113" s="8">
        <f>SUMIFS('Data nguồn'!H:H, 'Data nguồn'!D:D, $D113, 'Data nguồn'!F:F, $B$1, 'Data nguồn'!C:C, H$3)</f>
      </c>
      <c r="I113" s="8">
        <f>SUMIFS('Data nguồn'!H:H, 'Data nguồn'!D:D, $D113, 'Data nguồn'!F:F, $B$1, 'Data nguồn'!C:C, I$3)</f>
      </c>
      <c r="J113" s="8">
        <f>SUMIFS('Data nguồn'!H:H, 'Data nguồn'!D:D, $D113, 'Data nguồn'!F:F, $B$1, 'Data nguồn'!C:C, J$3)</f>
      </c>
      <c r="K113" s="8">
        <f>SUMIFS('Data nguồn'!H:H, 'Data nguồn'!D:D, $D113, 'Data nguồn'!F:F, $B$1, 'Data nguồn'!C:C, K$3)</f>
      </c>
      <c r="L113" s="8">
        <f>SUMIFS('Data nguồn'!H:H, 'Data nguồn'!D:D, $D113, 'Data nguồn'!F:F, $B$1, 'Data nguồn'!C:C, L$3)</f>
      </c>
      <c r="M113" s="8">
        <f>SUMIFS('Data nguồn'!H:H, 'Data nguồn'!D:D, $D113, 'Data nguồn'!F:F, $B$1, 'Data nguồn'!C:C, M$3)</f>
      </c>
      <c r="N113" s="8">
        <f>SUMIFS('Data nguồn'!H:H, 'Data nguồn'!D:D, $D113, 'Data nguồn'!F:F, $B$1, 'Data nguồn'!C:C, N$3)</f>
      </c>
      <c r="O113" s="8">
        <f>SUMIFS('Data nguồn'!H:H, 'Data nguồn'!D:D, $D113, 'Data nguồn'!F:F, $B$1, 'Data nguồn'!C:C, O$3)</f>
      </c>
      <c r="P113" s="8">
        <f>SUMIFS('Data nguồn'!H:H, 'Data nguồn'!D:D, $D113, 'Data nguồn'!F:F, $B$1, 'Data nguồn'!C:C, P$3)</f>
      </c>
      <c r="Q113" s="8">
        <f>SUMIFS('Data nguồn'!H:H, 'Data nguồn'!D:D, $D113, 'Data nguồn'!F:F, $B$1, 'Data nguồn'!C:C, Q$3)</f>
      </c>
      <c r="R113" s="8">
        <f>SUMIFS('Data nguồn'!H:H, 'Data nguồn'!D:D, $D113, 'Data nguồn'!F:F, $B$1, 'Data nguồn'!C:C, R$3)</f>
      </c>
      <c r="S113" s="8">
        <f>SUMIFS('Data nguồn'!H:H, 'Data nguồn'!D:D, $D113, 'Data nguồn'!F:F, $B$1, 'Data nguồn'!C:C, S$3)</f>
      </c>
      <c r="T113" s="8">
        <f>SUMIFS('Data nguồn'!H:H, 'Data nguồn'!D:D, $D113, 'Data nguồn'!F:F, $B$1, 'Data nguồn'!C:C, T$3)</f>
      </c>
      <c r="V113" s="8">
        <f>SUM(E113:P113)</f>
      </c>
      <c r="W113" s="8">
        <f>SUM(Q113:T113)</f>
      </c>
      <c r="X113" s="8">
        <f>AVERAGE(R113:T113)</f>
      </c>
      <c r="Y113" s="8">
        <f>AVERAGE(O113:T113)</f>
      </c>
      <c r="Z113" s="8">
        <f>AVERAGE(L113:T113)</f>
      </c>
      <c r="AA113" s="4">
        <f>IFERROR((X113*2)/(Y113+Z113), 0)</f>
      </c>
      <c r="AB113" s="4">
        <f>IFERROR(W113/SUM(E113:H113), 0)</f>
      </c>
      <c r="AC113" s="4">
        <f>IFERROR(W113/SUM(E113:H113), 0)</f>
      </c>
      <c r="AD113" s="4">
        <f>IFERROR(T113/H113, 0)</f>
      </c>
    </row>
    <row r="114" ht="20" customHeight="1" spans="1:30" x14ac:dyDescent="0.25">
      <c r="A114">
        <v>111</v>
      </c>
      <c r="B114" t="s">
        <v>277</v>
      </c>
      <c r="C114" t="s">
        <v>369</v>
      </c>
      <c r="D114" s="2" t="s">
        <v>277</v>
      </c>
      <c r="E114" s="8">
        <f>SUMIFS('Data nguồn'!H:H, 'Data nguồn'!D:D, $D114, 'Data nguồn'!F:F, $B$1, 'Data nguồn'!C:C, E$3)</f>
      </c>
      <c r="F114" s="8">
        <f>SUMIFS('Data nguồn'!H:H, 'Data nguồn'!D:D, $D114, 'Data nguồn'!F:F, $B$1, 'Data nguồn'!C:C, F$3)</f>
      </c>
      <c r="G114" s="8">
        <f>SUMIFS('Data nguồn'!H:H, 'Data nguồn'!D:D, $D114, 'Data nguồn'!F:F, $B$1, 'Data nguồn'!C:C, G$3)</f>
      </c>
      <c r="H114" s="8">
        <f>SUMIFS('Data nguồn'!H:H, 'Data nguồn'!D:D, $D114, 'Data nguồn'!F:F, $B$1, 'Data nguồn'!C:C, H$3)</f>
      </c>
      <c r="I114" s="8">
        <f>SUMIFS('Data nguồn'!H:H, 'Data nguồn'!D:D, $D114, 'Data nguồn'!F:F, $B$1, 'Data nguồn'!C:C, I$3)</f>
      </c>
      <c r="J114" s="8">
        <f>SUMIFS('Data nguồn'!H:H, 'Data nguồn'!D:D, $D114, 'Data nguồn'!F:F, $B$1, 'Data nguồn'!C:C, J$3)</f>
      </c>
      <c r="K114" s="8">
        <f>SUMIFS('Data nguồn'!H:H, 'Data nguồn'!D:D, $D114, 'Data nguồn'!F:F, $B$1, 'Data nguồn'!C:C, K$3)</f>
      </c>
      <c r="L114" s="8">
        <f>SUMIFS('Data nguồn'!H:H, 'Data nguồn'!D:D, $D114, 'Data nguồn'!F:F, $B$1, 'Data nguồn'!C:C, L$3)</f>
      </c>
      <c r="M114" s="8">
        <f>SUMIFS('Data nguồn'!H:H, 'Data nguồn'!D:D, $D114, 'Data nguồn'!F:F, $B$1, 'Data nguồn'!C:C, M$3)</f>
      </c>
      <c r="N114" s="8">
        <f>SUMIFS('Data nguồn'!H:H, 'Data nguồn'!D:D, $D114, 'Data nguồn'!F:F, $B$1, 'Data nguồn'!C:C, N$3)</f>
      </c>
      <c r="O114" s="8">
        <f>SUMIFS('Data nguồn'!H:H, 'Data nguồn'!D:D, $D114, 'Data nguồn'!F:F, $B$1, 'Data nguồn'!C:C, O$3)</f>
      </c>
      <c r="P114" s="8">
        <f>SUMIFS('Data nguồn'!H:H, 'Data nguồn'!D:D, $D114, 'Data nguồn'!F:F, $B$1, 'Data nguồn'!C:C, P$3)</f>
      </c>
      <c r="Q114" s="8">
        <f>SUMIFS('Data nguồn'!H:H, 'Data nguồn'!D:D, $D114, 'Data nguồn'!F:F, $B$1, 'Data nguồn'!C:C, Q$3)</f>
      </c>
      <c r="R114" s="8">
        <f>SUMIFS('Data nguồn'!H:H, 'Data nguồn'!D:D, $D114, 'Data nguồn'!F:F, $B$1, 'Data nguồn'!C:C, R$3)</f>
      </c>
      <c r="S114" s="8">
        <f>SUMIFS('Data nguồn'!H:H, 'Data nguồn'!D:D, $D114, 'Data nguồn'!F:F, $B$1, 'Data nguồn'!C:C, S$3)</f>
      </c>
      <c r="T114" s="8">
        <f>SUMIFS('Data nguồn'!H:H, 'Data nguồn'!D:D, $D114, 'Data nguồn'!F:F, $B$1, 'Data nguồn'!C:C, T$3)</f>
      </c>
      <c r="V114" s="8">
        <f>SUM(E114:P114)</f>
      </c>
      <c r="W114" s="8">
        <f>SUM(Q114:T114)</f>
      </c>
      <c r="X114" s="8">
        <f>AVERAGE(R114:T114)</f>
      </c>
      <c r="Y114" s="8">
        <f>AVERAGE(O114:T114)</f>
      </c>
      <c r="Z114" s="8">
        <f>AVERAGE(L114:T114)</f>
      </c>
      <c r="AA114" s="4">
        <f>IFERROR((X114*2)/(Y114+Z114), 0)</f>
      </c>
      <c r="AB114" s="4">
        <f>IFERROR(W114/SUM(E114:H114), 0)</f>
      </c>
      <c r="AC114" s="4">
        <f>IFERROR(W114/SUM(E114:H114), 0)</f>
      </c>
      <c r="AD114" s="4">
        <f>IFERROR(T114/H114, 0)</f>
      </c>
    </row>
    <row r="115" ht="20" customHeight="1" spans="1:30" x14ac:dyDescent="0.25">
      <c r="A115">
        <v>112</v>
      </c>
      <c r="B115" t="s">
        <v>278</v>
      </c>
      <c r="C115" t="s">
        <v>369</v>
      </c>
      <c r="D115" s="2" t="s">
        <v>278</v>
      </c>
      <c r="E115" s="8">
        <f>SUMIFS('Data nguồn'!H:H, 'Data nguồn'!D:D, $D115, 'Data nguồn'!F:F, $B$1, 'Data nguồn'!C:C, E$3)</f>
      </c>
      <c r="F115" s="8">
        <f>SUMIFS('Data nguồn'!H:H, 'Data nguồn'!D:D, $D115, 'Data nguồn'!F:F, $B$1, 'Data nguồn'!C:C, F$3)</f>
      </c>
      <c r="G115" s="8">
        <f>SUMIFS('Data nguồn'!H:H, 'Data nguồn'!D:D, $D115, 'Data nguồn'!F:F, $B$1, 'Data nguồn'!C:C, G$3)</f>
      </c>
      <c r="H115" s="8">
        <f>SUMIFS('Data nguồn'!H:H, 'Data nguồn'!D:D, $D115, 'Data nguồn'!F:F, $B$1, 'Data nguồn'!C:C, H$3)</f>
      </c>
      <c r="I115" s="8">
        <f>SUMIFS('Data nguồn'!H:H, 'Data nguồn'!D:D, $D115, 'Data nguồn'!F:F, $B$1, 'Data nguồn'!C:C, I$3)</f>
      </c>
      <c r="J115" s="8">
        <f>SUMIFS('Data nguồn'!H:H, 'Data nguồn'!D:D, $D115, 'Data nguồn'!F:F, $B$1, 'Data nguồn'!C:C, J$3)</f>
      </c>
      <c r="K115" s="8">
        <f>SUMIFS('Data nguồn'!H:H, 'Data nguồn'!D:D, $D115, 'Data nguồn'!F:F, $B$1, 'Data nguồn'!C:C, K$3)</f>
      </c>
      <c r="L115" s="8">
        <f>SUMIFS('Data nguồn'!H:H, 'Data nguồn'!D:D, $D115, 'Data nguồn'!F:F, $B$1, 'Data nguồn'!C:C, L$3)</f>
      </c>
      <c r="M115" s="8">
        <f>SUMIFS('Data nguồn'!H:H, 'Data nguồn'!D:D, $D115, 'Data nguồn'!F:F, $B$1, 'Data nguồn'!C:C, M$3)</f>
      </c>
      <c r="N115" s="8">
        <f>SUMIFS('Data nguồn'!H:H, 'Data nguồn'!D:D, $D115, 'Data nguồn'!F:F, $B$1, 'Data nguồn'!C:C, N$3)</f>
      </c>
      <c r="O115" s="8">
        <f>SUMIFS('Data nguồn'!H:H, 'Data nguồn'!D:D, $D115, 'Data nguồn'!F:F, $B$1, 'Data nguồn'!C:C, O$3)</f>
      </c>
      <c r="P115" s="8">
        <f>SUMIFS('Data nguồn'!H:H, 'Data nguồn'!D:D, $D115, 'Data nguồn'!F:F, $B$1, 'Data nguồn'!C:C, P$3)</f>
      </c>
      <c r="Q115" s="8">
        <f>SUMIFS('Data nguồn'!H:H, 'Data nguồn'!D:D, $D115, 'Data nguồn'!F:F, $B$1, 'Data nguồn'!C:C, Q$3)</f>
      </c>
      <c r="R115" s="8">
        <f>SUMIFS('Data nguồn'!H:H, 'Data nguồn'!D:D, $D115, 'Data nguồn'!F:F, $B$1, 'Data nguồn'!C:C, R$3)</f>
      </c>
      <c r="S115" s="8">
        <f>SUMIFS('Data nguồn'!H:H, 'Data nguồn'!D:D, $D115, 'Data nguồn'!F:F, $B$1, 'Data nguồn'!C:C, S$3)</f>
      </c>
      <c r="T115" s="8">
        <f>SUMIFS('Data nguồn'!H:H, 'Data nguồn'!D:D, $D115, 'Data nguồn'!F:F, $B$1, 'Data nguồn'!C:C, T$3)</f>
      </c>
      <c r="V115" s="8">
        <f>SUM(E115:P115)</f>
      </c>
      <c r="W115" s="8">
        <f>SUM(Q115:T115)</f>
      </c>
      <c r="X115" s="8">
        <f>AVERAGE(R115:T115)</f>
      </c>
      <c r="Y115" s="8">
        <f>AVERAGE(O115:T115)</f>
      </c>
      <c r="Z115" s="8">
        <f>AVERAGE(L115:T115)</f>
      </c>
      <c r="AA115" s="4">
        <f>IFERROR((X115*2)/(Y115+Z115), 0)</f>
      </c>
      <c r="AB115" s="4">
        <f>IFERROR(W115/SUM(E115:H115), 0)</f>
      </c>
      <c r="AC115" s="4">
        <f>IFERROR(W115/SUM(E115:H115), 0)</f>
      </c>
      <c r="AD115" s="4">
        <f>IFERROR(T115/H115, 0)</f>
      </c>
    </row>
    <row r="116" ht="20" customHeight="1" spans="1:30" x14ac:dyDescent="0.25">
      <c r="A116">
        <v>113</v>
      </c>
      <c r="B116" t="s">
        <v>279</v>
      </c>
      <c r="C116" t="s">
        <v>369</v>
      </c>
      <c r="D116" s="2" t="s">
        <v>279</v>
      </c>
      <c r="E116" s="8">
        <f>SUMIFS('Data nguồn'!H:H, 'Data nguồn'!D:D, $D116, 'Data nguồn'!F:F, $B$1, 'Data nguồn'!C:C, E$3)</f>
      </c>
      <c r="F116" s="8">
        <f>SUMIFS('Data nguồn'!H:H, 'Data nguồn'!D:D, $D116, 'Data nguồn'!F:F, $B$1, 'Data nguồn'!C:C, F$3)</f>
      </c>
      <c r="G116" s="8">
        <f>SUMIFS('Data nguồn'!H:H, 'Data nguồn'!D:D, $D116, 'Data nguồn'!F:F, $B$1, 'Data nguồn'!C:C, G$3)</f>
      </c>
      <c r="H116" s="8">
        <f>SUMIFS('Data nguồn'!H:H, 'Data nguồn'!D:D, $D116, 'Data nguồn'!F:F, $B$1, 'Data nguồn'!C:C, H$3)</f>
      </c>
      <c r="I116" s="8">
        <f>SUMIFS('Data nguồn'!H:H, 'Data nguồn'!D:D, $D116, 'Data nguồn'!F:F, $B$1, 'Data nguồn'!C:C, I$3)</f>
      </c>
      <c r="J116" s="8">
        <f>SUMIFS('Data nguồn'!H:H, 'Data nguồn'!D:D, $D116, 'Data nguồn'!F:F, $B$1, 'Data nguồn'!C:C, J$3)</f>
      </c>
      <c r="K116" s="8">
        <f>SUMIFS('Data nguồn'!H:H, 'Data nguồn'!D:D, $D116, 'Data nguồn'!F:F, $B$1, 'Data nguồn'!C:C, K$3)</f>
      </c>
      <c r="L116" s="8">
        <f>SUMIFS('Data nguồn'!H:H, 'Data nguồn'!D:D, $D116, 'Data nguồn'!F:F, $B$1, 'Data nguồn'!C:C, L$3)</f>
      </c>
      <c r="M116" s="8">
        <f>SUMIFS('Data nguồn'!H:H, 'Data nguồn'!D:D, $D116, 'Data nguồn'!F:F, $B$1, 'Data nguồn'!C:C, M$3)</f>
      </c>
      <c r="N116" s="8">
        <f>SUMIFS('Data nguồn'!H:H, 'Data nguồn'!D:D, $D116, 'Data nguồn'!F:F, $B$1, 'Data nguồn'!C:C, N$3)</f>
      </c>
      <c r="O116" s="8">
        <f>SUMIFS('Data nguồn'!H:H, 'Data nguồn'!D:D, $D116, 'Data nguồn'!F:F, $B$1, 'Data nguồn'!C:C, O$3)</f>
      </c>
      <c r="P116" s="8">
        <f>SUMIFS('Data nguồn'!H:H, 'Data nguồn'!D:D, $D116, 'Data nguồn'!F:F, $B$1, 'Data nguồn'!C:C, P$3)</f>
      </c>
      <c r="Q116" s="8">
        <f>SUMIFS('Data nguồn'!H:H, 'Data nguồn'!D:D, $D116, 'Data nguồn'!F:F, $B$1, 'Data nguồn'!C:C, Q$3)</f>
      </c>
      <c r="R116" s="8">
        <f>SUMIFS('Data nguồn'!H:H, 'Data nguồn'!D:D, $D116, 'Data nguồn'!F:F, $B$1, 'Data nguồn'!C:C, R$3)</f>
      </c>
      <c r="S116" s="8">
        <f>SUMIFS('Data nguồn'!H:H, 'Data nguồn'!D:D, $D116, 'Data nguồn'!F:F, $B$1, 'Data nguồn'!C:C, S$3)</f>
      </c>
      <c r="T116" s="8">
        <f>SUMIFS('Data nguồn'!H:H, 'Data nguồn'!D:D, $D116, 'Data nguồn'!F:F, $B$1, 'Data nguồn'!C:C, T$3)</f>
      </c>
      <c r="V116" s="8">
        <f>SUM(E116:P116)</f>
      </c>
      <c r="W116" s="8">
        <f>SUM(Q116:T116)</f>
      </c>
      <c r="X116" s="8">
        <f>AVERAGE(R116:T116)</f>
      </c>
      <c r="Y116" s="8">
        <f>AVERAGE(O116:T116)</f>
      </c>
      <c r="Z116" s="8">
        <f>AVERAGE(L116:T116)</f>
      </c>
      <c r="AA116" s="4">
        <f>IFERROR((X116*2)/(Y116+Z116), 0)</f>
      </c>
      <c r="AB116" s="4">
        <f>IFERROR(W116/SUM(E116:H116), 0)</f>
      </c>
      <c r="AC116" s="4">
        <f>IFERROR(W116/SUM(E116:H116), 0)</f>
      </c>
      <c r="AD116" s="4">
        <f>IFERROR(T116/H116, 0)</f>
      </c>
    </row>
    <row r="117" ht="20" customHeight="1" spans="1:30" x14ac:dyDescent="0.25">
      <c r="A117">
        <v>114</v>
      </c>
      <c r="B117" t="s">
        <v>280</v>
      </c>
      <c r="C117" t="s">
        <v>369</v>
      </c>
      <c r="D117" s="2" t="s">
        <v>280</v>
      </c>
      <c r="E117" s="8">
        <f>SUMIFS('Data nguồn'!H:H, 'Data nguồn'!D:D, $D117, 'Data nguồn'!F:F, $B$1, 'Data nguồn'!C:C, E$3)</f>
      </c>
      <c r="F117" s="8">
        <f>SUMIFS('Data nguồn'!H:H, 'Data nguồn'!D:D, $D117, 'Data nguồn'!F:F, $B$1, 'Data nguồn'!C:C, F$3)</f>
      </c>
      <c r="G117" s="8">
        <f>SUMIFS('Data nguồn'!H:H, 'Data nguồn'!D:D, $D117, 'Data nguồn'!F:F, $B$1, 'Data nguồn'!C:C, G$3)</f>
      </c>
      <c r="H117" s="8">
        <f>SUMIFS('Data nguồn'!H:H, 'Data nguồn'!D:D, $D117, 'Data nguồn'!F:F, $B$1, 'Data nguồn'!C:C, H$3)</f>
      </c>
      <c r="I117" s="8">
        <f>SUMIFS('Data nguồn'!H:H, 'Data nguồn'!D:D, $D117, 'Data nguồn'!F:F, $B$1, 'Data nguồn'!C:C, I$3)</f>
      </c>
      <c r="J117" s="8">
        <f>SUMIFS('Data nguồn'!H:H, 'Data nguồn'!D:D, $D117, 'Data nguồn'!F:F, $B$1, 'Data nguồn'!C:C, J$3)</f>
      </c>
      <c r="K117" s="8">
        <f>SUMIFS('Data nguồn'!H:H, 'Data nguồn'!D:D, $D117, 'Data nguồn'!F:F, $B$1, 'Data nguồn'!C:C, K$3)</f>
      </c>
      <c r="L117" s="8">
        <f>SUMIFS('Data nguồn'!H:H, 'Data nguồn'!D:D, $D117, 'Data nguồn'!F:F, $B$1, 'Data nguồn'!C:C, L$3)</f>
      </c>
      <c r="M117" s="8">
        <f>SUMIFS('Data nguồn'!H:H, 'Data nguồn'!D:D, $D117, 'Data nguồn'!F:F, $B$1, 'Data nguồn'!C:C, M$3)</f>
      </c>
      <c r="N117" s="8">
        <f>SUMIFS('Data nguồn'!H:H, 'Data nguồn'!D:D, $D117, 'Data nguồn'!F:F, $B$1, 'Data nguồn'!C:C, N$3)</f>
      </c>
      <c r="O117" s="8">
        <f>SUMIFS('Data nguồn'!H:H, 'Data nguồn'!D:D, $D117, 'Data nguồn'!F:F, $B$1, 'Data nguồn'!C:C, O$3)</f>
      </c>
      <c r="P117" s="8">
        <f>SUMIFS('Data nguồn'!H:H, 'Data nguồn'!D:D, $D117, 'Data nguồn'!F:F, $B$1, 'Data nguồn'!C:C, P$3)</f>
      </c>
      <c r="Q117" s="8">
        <f>SUMIFS('Data nguồn'!H:H, 'Data nguồn'!D:D, $D117, 'Data nguồn'!F:F, $B$1, 'Data nguồn'!C:C, Q$3)</f>
      </c>
      <c r="R117" s="8">
        <f>SUMIFS('Data nguồn'!H:H, 'Data nguồn'!D:D, $D117, 'Data nguồn'!F:F, $B$1, 'Data nguồn'!C:C, R$3)</f>
      </c>
      <c r="S117" s="8">
        <f>SUMIFS('Data nguồn'!H:H, 'Data nguồn'!D:D, $D117, 'Data nguồn'!F:F, $B$1, 'Data nguồn'!C:C, S$3)</f>
      </c>
      <c r="T117" s="8">
        <f>SUMIFS('Data nguồn'!H:H, 'Data nguồn'!D:D, $D117, 'Data nguồn'!F:F, $B$1, 'Data nguồn'!C:C, T$3)</f>
      </c>
      <c r="V117" s="8">
        <f>SUM(E117:P117)</f>
      </c>
      <c r="W117" s="8">
        <f>SUM(Q117:T117)</f>
      </c>
      <c r="X117" s="8">
        <f>AVERAGE(R117:T117)</f>
      </c>
      <c r="Y117" s="8">
        <f>AVERAGE(O117:T117)</f>
      </c>
      <c r="Z117" s="8">
        <f>AVERAGE(L117:T117)</f>
      </c>
      <c r="AA117" s="4">
        <f>IFERROR((X117*2)/(Y117+Z117), 0)</f>
      </c>
      <c r="AB117" s="4">
        <f>IFERROR(W117/SUM(E117:H117), 0)</f>
      </c>
      <c r="AC117" s="4">
        <f>IFERROR(W117/SUM(E117:H117), 0)</f>
      </c>
      <c r="AD117" s="4">
        <f>IFERROR(T117/H117, 0)</f>
      </c>
    </row>
    <row r="118" ht="20" customHeight="1" spans="1:30" x14ac:dyDescent="0.25">
      <c r="A118">
        <v>115</v>
      </c>
      <c r="B118" t="s">
        <v>281</v>
      </c>
      <c r="C118" t="s">
        <v>369</v>
      </c>
      <c r="D118" s="2" t="s">
        <v>281</v>
      </c>
      <c r="E118" s="8">
        <f>SUMIFS('Data nguồn'!H:H, 'Data nguồn'!D:D, $D118, 'Data nguồn'!F:F, $B$1, 'Data nguồn'!C:C, E$3)</f>
      </c>
      <c r="F118" s="8">
        <f>SUMIFS('Data nguồn'!H:H, 'Data nguồn'!D:D, $D118, 'Data nguồn'!F:F, $B$1, 'Data nguồn'!C:C, F$3)</f>
      </c>
      <c r="G118" s="8">
        <f>SUMIFS('Data nguồn'!H:H, 'Data nguồn'!D:D, $D118, 'Data nguồn'!F:F, $B$1, 'Data nguồn'!C:C, G$3)</f>
      </c>
      <c r="H118" s="8">
        <f>SUMIFS('Data nguồn'!H:H, 'Data nguồn'!D:D, $D118, 'Data nguồn'!F:F, $B$1, 'Data nguồn'!C:C, H$3)</f>
      </c>
      <c r="I118" s="8">
        <f>SUMIFS('Data nguồn'!H:H, 'Data nguồn'!D:D, $D118, 'Data nguồn'!F:F, $B$1, 'Data nguồn'!C:C, I$3)</f>
      </c>
      <c r="J118" s="8">
        <f>SUMIFS('Data nguồn'!H:H, 'Data nguồn'!D:D, $D118, 'Data nguồn'!F:F, $B$1, 'Data nguồn'!C:C, J$3)</f>
      </c>
      <c r="K118" s="8">
        <f>SUMIFS('Data nguồn'!H:H, 'Data nguồn'!D:D, $D118, 'Data nguồn'!F:F, $B$1, 'Data nguồn'!C:C, K$3)</f>
      </c>
      <c r="L118" s="8">
        <f>SUMIFS('Data nguồn'!H:H, 'Data nguồn'!D:D, $D118, 'Data nguồn'!F:F, $B$1, 'Data nguồn'!C:C, L$3)</f>
      </c>
      <c r="M118" s="8">
        <f>SUMIFS('Data nguồn'!H:H, 'Data nguồn'!D:D, $D118, 'Data nguồn'!F:F, $B$1, 'Data nguồn'!C:C, M$3)</f>
      </c>
      <c r="N118" s="8">
        <f>SUMIFS('Data nguồn'!H:H, 'Data nguồn'!D:D, $D118, 'Data nguồn'!F:F, $B$1, 'Data nguồn'!C:C, N$3)</f>
      </c>
      <c r="O118" s="8">
        <f>SUMIFS('Data nguồn'!H:H, 'Data nguồn'!D:D, $D118, 'Data nguồn'!F:F, $B$1, 'Data nguồn'!C:C, O$3)</f>
      </c>
      <c r="P118" s="8">
        <f>SUMIFS('Data nguồn'!H:H, 'Data nguồn'!D:D, $D118, 'Data nguồn'!F:F, $B$1, 'Data nguồn'!C:C, P$3)</f>
      </c>
      <c r="Q118" s="8">
        <f>SUMIFS('Data nguồn'!H:H, 'Data nguồn'!D:D, $D118, 'Data nguồn'!F:F, $B$1, 'Data nguồn'!C:C, Q$3)</f>
      </c>
      <c r="R118" s="8">
        <f>SUMIFS('Data nguồn'!H:H, 'Data nguồn'!D:D, $D118, 'Data nguồn'!F:F, $B$1, 'Data nguồn'!C:C, R$3)</f>
      </c>
      <c r="S118" s="8">
        <f>SUMIFS('Data nguồn'!H:H, 'Data nguồn'!D:D, $D118, 'Data nguồn'!F:F, $B$1, 'Data nguồn'!C:C, S$3)</f>
      </c>
      <c r="T118" s="8">
        <f>SUMIFS('Data nguồn'!H:H, 'Data nguồn'!D:D, $D118, 'Data nguồn'!F:F, $B$1, 'Data nguồn'!C:C, T$3)</f>
      </c>
      <c r="V118" s="8">
        <f>SUM(E118:P118)</f>
      </c>
      <c r="W118" s="8">
        <f>SUM(Q118:T118)</f>
      </c>
      <c r="X118" s="8">
        <f>AVERAGE(R118:T118)</f>
      </c>
      <c r="Y118" s="8">
        <f>AVERAGE(O118:T118)</f>
      </c>
      <c r="Z118" s="8">
        <f>AVERAGE(L118:T118)</f>
      </c>
      <c r="AA118" s="4">
        <f>IFERROR((X118*2)/(Y118+Z118), 0)</f>
      </c>
      <c r="AB118" s="4">
        <f>IFERROR(W118/SUM(E118:H118), 0)</f>
      </c>
      <c r="AC118" s="4">
        <f>IFERROR(W118/SUM(E118:H118), 0)</f>
      </c>
      <c r="AD118" s="4">
        <f>IFERROR(T118/H118, 0)</f>
      </c>
    </row>
    <row r="119" ht="20" customHeight="1" spans="1:30" x14ac:dyDescent="0.25">
      <c r="A119">
        <v>116</v>
      </c>
      <c r="B119" t="s">
        <v>282</v>
      </c>
      <c r="C119" t="s">
        <v>369</v>
      </c>
      <c r="D119" s="2" t="s">
        <v>282</v>
      </c>
      <c r="E119" s="8">
        <f>SUMIFS('Data nguồn'!H:H, 'Data nguồn'!D:D, $D119, 'Data nguồn'!F:F, $B$1, 'Data nguồn'!C:C, E$3)</f>
      </c>
      <c r="F119" s="8">
        <f>SUMIFS('Data nguồn'!H:H, 'Data nguồn'!D:D, $D119, 'Data nguồn'!F:F, $B$1, 'Data nguồn'!C:C, F$3)</f>
      </c>
      <c r="G119" s="8">
        <f>SUMIFS('Data nguồn'!H:H, 'Data nguồn'!D:D, $D119, 'Data nguồn'!F:F, $B$1, 'Data nguồn'!C:C, G$3)</f>
      </c>
      <c r="H119" s="8">
        <f>SUMIFS('Data nguồn'!H:H, 'Data nguồn'!D:D, $D119, 'Data nguồn'!F:F, $B$1, 'Data nguồn'!C:C, H$3)</f>
      </c>
      <c r="I119" s="8">
        <f>SUMIFS('Data nguồn'!H:H, 'Data nguồn'!D:D, $D119, 'Data nguồn'!F:F, $B$1, 'Data nguồn'!C:C, I$3)</f>
      </c>
      <c r="J119" s="8">
        <f>SUMIFS('Data nguồn'!H:H, 'Data nguồn'!D:D, $D119, 'Data nguồn'!F:F, $B$1, 'Data nguồn'!C:C, J$3)</f>
      </c>
      <c r="K119" s="8">
        <f>SUMIFS('Data nguồn'!H:H, 'Data nguồn'!D:D, $D119, 'Data nguồn'!F:F, $B$1, 'Data nguồn'!C:C, K$3)</f>
      </c>
      <c r="L119" s="8">
        <f>SUMIFS('Data nguồn'!H:H, 'Data nguồn'!D:D, $D119, 'Data nguồn'!F:F, $B$1, 'Data nguồn'!C:C, L$3)</f>
      </c>
      <c r="M119" s="8">
        <f>SUMIFS('Data nguồn'!H:H, 'Data nguồn'!D:D, $D119, 'Data nguồn'!F:F, $B$1, 'Data nguồn'!C:C, M$3)</f>
      </c>
      <c r="N119" s="8">
        <f>SUMIFS('Data nguồn'!H:H, 'Data nguồn'!D:D, $D119, 'Data nguồn'!F:F, $B$1, 'Data nguồn'!C:C, N$3)</f>
      </c>
      <c r="O119" s="8">
        <f>SUMIFS('Data nguồn'!H:H, 'Data nguồn'!D:D, $D119, 'Data nguồn'!F:F, $B$1, 'Data nguồn'!C:C, O$3)</f>
      </c>
      <c r="P119" s="8">
        <f>SUMIFS('Data nguồn'!H:H, 'Data nguồn'!D:D, $D119, 'Data nguồn'!F:F, $B$1, 'Data nguồn'!C:C, P$3)</f>
      </c>
      <c r="Q119" s="8">
        <f>SUMIFS('Data nguồn'!H:H, 'Data nguồn'!D:D, $D119, 'Data nguồn'!F:F, $B$1, 'Data nguồn'!C:C, Q$3)</f>
      </c>
      <c r="R119" s="8">
        <f>SUMIFS('Data nguồn'!H:H, 'Data nguồn'!D:D, $D119, 'Data nguồn'!F:F, $B$1, 'Data nguồn'!C:C, R$3)</f>
      </c>
      <c r="S119" s="8">
        <f>SUMIFS('Data nguồn'!H:H, 'Data nguồn'!D:D, $D119, 'Data nguồn'!F:F, $B$1, 'Data nguồn'!C:C, S$3)</f>
      </c>
      <c r="T119" s="8">
        <f>SUMIFS('Data nguồn'!H:H, 'Data nguồn'!D:D, $D119, 'Data nguồn'!F:F, $B$1, 'Data nguồn'!C:C, T$3)</f>
      </c>
      <c r="V119" s="8">
        <f>SUM(E119:P119)</f>
      </c>
      <c r="W119" s="8">
        <f>SUM(Q119:T119)</f>
      </c>
      <c r="X119" s="8">
        <f>AVERAGE(R119:T119)</f>
      </c>
      <c r="Y119" s="8">
        <f>AVERAGE(O119:T119)</f>
      </c>
      <c r="Z119" s="8">
        <f>AVERAGE(L119:T119)</f>
      </c>
      <c r="AA119" s="4">
        <f>IFERROR((X119*2)/(Y119+Z119), 0)</f>
      </c>
      <c r="AB119" s="4">
        <f>IFERROR(W119/SUM(E119:H119), 0)</f>
      </c>
      <c r="AC119" s="4">
        <f>IFERROR(W119/SUM(E119:H119), 0)</f>
      </c>
      <c r="AD119" s="4">
        <f>IFERROR(T119/H119, 0)</f>
      </c>
    </row>
    <row r="120" ht="20" customHeight="1" spans="1:30" x14ac:dyDescent="0.25">
      <c r="A120">
        <v>117</v>
      </c>
      <c r="B120" t="s">
        <v>283</v>
      </c>
      <c r="C120" t="s">
        <v>369</v>
      </c>
      <c r="D120" s="2" t="s">
        <v>283</v>
      </c>
      <c r="E120" s="8">
        <f>SUMIFS('Data nguồn'!H:H, 'Data nguồn'!D:D, $D120, 'Data nguồn'!F:F, $B$1, 'Data nguồn'!C:C, E$3)</f>
      </c>
      <c r="F120" s="8">
        <f>SUMIFS('Data nguồn'!H:H, 'Data nguồn'!D:D, $D120, 'Data nguồn'!F:F, $B$1, 'Data nguồn'!C:C, F$3)</f>
      </c>
      <c r="G120" s="8">
        <f>SUMIFS('Data nguồn'!H:H, 'Data nguồn'!D:D, $D120, 'Data nguồn'!F:F, $B$1, 'Data nguồn'!C:C, G$3)</f>
      </c>
      <c r="H120" s="8">
        <f>SUMIFS('Data nguồn'!H:H, 'Data nguồn'!D:D, $D120, 'Data nguồn'!F:F, $B$1, 'Data nguồn'!C:C, H$3)</f>
      </c>
      <c r="I120" s="8">
        <f>SUMIFS('Data nguồn'!H:H, 'Data nguồn'!D:D, $D120, 'Data nguồn'!F:F, $B$1, 'Data nguồn'!C:C, I$3)</f>
      </c>
      <c r="J120" s="8">
        <f>SUMIFS('Data nguồn'!H:H, 'Data nguồn'!D:D, $D120, 'Data nguồn'!F:F, $B$1, 'Data nguồn'!C:C, J$3)</f>
      </c>
      <c r="K120" s="8">
        <f>SUMIFS('Data nguồn'!H:H, 'Data nguồn'!D:D, $D120, 'Data nguồn'!F:F, $B$1, 'Data nguồn'!C:C, K$3)</f>
      </c>
      <c r="L120" s="8">
        <f>SUMIFS('Data nguồn'!H:H, 'Data nguồn'!D:D, $D120, 'Data nguồn'!F:F, $B$1, 'Data nguồn'!C:C, L$3)</f>
      </c>
      <c r="M120" s="8">
        <f>SUMIFS('Data nguồn'!H:H, 'Data nguồn'!D:D, $D120, 'Data nguồn'!F:F, $B$1, 'Data nguồn'!C:C, M$3)</f>
      </c>
      <c r="N120" s="8">
        <f>SUMIFS('Data nguồn'!H:H, 'Data nguồn'!D:D, $D120, 'Data nguồn'!F:F, $B$1, 'Data nguồn'!C:C, N$3)</f>
      </c>
      <c r="O120" s="8">
        <f>SUMIFS('Data nguồn'!H:H, 'Data nguồn'!D:D, $D120, 'Data nguồn'!F:F, $B$1, 'Data nguồn'!C:C, O$3)</f>
      </c>
      <c r="P120" s="8">
        <f>SUMIFS('Data nguồn'!H:H, 'Data nguồn'!D:D, $D120, 'Data nguồn'!F:F, $B$1, 'Data nguồn'!C:C, P$3)</f>
      </c>
      <c r="Q120" s="8">
        <f>SUMIFS('Data nguồn'!H:H, 'Data nguồn'!D:D, $D120, 'Data nguồn'!F:F, $B$1, 'Data nguồn'!C:C, Q$3)</f>
      </c>
      <c r="R120" s="8">
        <f>SUMIFS('Data nguồn'!H:H, 'Data nguồn'!D:D, $D120, 'Data nguồn'!F:F, $B$1, 'Data nguồn'!C:C, R$3)</f>
      </c>
      <c r="S120" s="8">
        <f>SUMIFS('Data nguồn'!H:H, 'Data nguồn'!D:D, $D120, 'Data nguồn'!F:F, $B$1, 'Data nguồn'!C:C, S$3)</f>
      </c>
      <c r="T120" s="8">
        <f>SUMIFS('Data nguồn'!H:H, 'Data nguồn'!D:D, $D120, 'Data nguồn'!F:F, $B$1, 'Data nguồn'!C:C, T$3)</f>
      </c>
      <c r="V120" s="8">
        <f>SUM(E120:P120)</f>
      </c>
      <c r="W120" s="8">
        <f>SUM(Q120:T120)</f>
      </c>
      <c r="X120" s="8">
        <f>AVERAGE(R120:T120)</f>
      </c>
      <c r="Y120" s="8">
        <f>AVERAGE(O120:T120)</f>
      </c>
      <c r="Z120" s="8">
        <f>AVERAGE(L120:T120)</f>
      </c>
      <c r="AA120" s="4">
        <f>IFERROR((X120*2)/(Y120+Z120), 0)</f>
      </c>
      <c r="AB120" s="4">
        <f>IFERROR(W120/SUM(E120:H120), 0)</f>
      </c>
      <c r="AC120" s="4">
        <f>IFERROR(W120/SUM(E120:H120), 0)</f>
      </c>
      <c r="AD120" s="4">
        <f>IFERROR(T120/H120, 0)</f>
      </c>
    </row>
    <row r="121" ht="20" customHeight="1" spans="1:30" x14ac:dyDescent="0.25">
      <c r="A121">
        <v>118</v>
      </c>
      <c r="B121" t="s">
        <v>284</v>
      </c>
      <c r="C121" t="s">
        <v>369</v>
      </c>
      <c r="D121" s="2" t="s">
        <v>284</v>
      </c>
      <c r="E121" s="8">
        <f>SUMIFS('Data nguồn'!H:H, 'Data nguồn'!D:D, $D121, 'Data nguồn'!F:F, $B$1, 'Data nguồn'!C:C, E$3)</f>
      </c>
      <c r="F121" s="8">
        <f>SUMIFS('Data nguồn'!H:H, 'Data nguồn'!D:D, $D121, 'Data nguồn'!F:F, $B$1, 'Data nguồn'!C:C, F$3)</f>
      </c>
      <c r="G121" s="8">
        <f>SUMIFS('Data nguồn'!H:H, 'Data nguồn'!D:D, $D121, 'Data nguồn'!F:F, $B$1, 'Data nguồn'!C:C, G$3)</f>
      </c>
      <c r="H121" s="8">
        <f>SUMIFS('Data nguồn'!H:H, 'Data nguồn'!D:D, $D121, 'Data nguồn'!F:F, $B$1, 'Data nguồn'!C:C, H$3)</f>
      </c>
      <c r="I121" s="8">
        <f>SUMIFS('Data nguồn'!H:H, 'Data nguồn'!D:D, $D121, 'Data nguồn'!F:F, $B$1, 'Data nguồn'!C:C, I$3)</f>
      </c>
      <c r="J121" s="8">
        <f>SUMIFS('Data nguồn'!H:H, 'Data nguồn'!D:D, $D121, 'Data nguồn'!F:F, $B$1, 'Data nguồn'!C:C, J$3)</f>
      </c>
      <c r="K121" s="8">
        <f>SUMIFS('Data nguồn'!H:H, 'Data nguồn'!D:D, $D121, 'Data nguồn'!F:F, $B$1, 'Data nguồn'!C:C, K$3)</f>
      </c>
      <c r="L121" s="8">
        <f>SUMIFS('Data nguồn'!H:H, 'Data nguồn'!D:D, $D121, 'Data nguồn'!F:F, $B$1, 'Data nguồn'!C:C, L$3)</f>
      </c>
      <c r="M121" s="8">
        <f>SUMIFS('Data nguồn'!H:H, 'Data nguồn'!D:D, $D121, 'Data nguồn'!F:F, $B$1, 'Data nguồn'!C:C, M$3)</f>
      </c>
      <c r="N121" s="8">
        <f>SUMIFS('Data nguồn'!H:H, 'Data nguồn'!D:D, $D121, 'Data nguồn'!F:F, $B$1, 'Data nguồn'!C:C, N$3)</f>
      </c>
      <c r="O121" s="8">
        <f>SUMIFS('Data nguồn'!H:H, 'Data nguồn'!D:D, $D121, 'Data nguồn'!F:F, $B$1, 'Data nguồn'!C:C, O$3)</f>
      </c>
      <c r="P121" s="8">
        <f>SUMIFS('Data nguồn'!H:H, 'Data nguồn'!D:D, $D121, 'Data nguồn'!F:F, $B$1, 'Data nguồn'!C:C, P$3)</f>
      </c>
      <c r="Q121" s="8">
        <f>SUMIFS('Data nguồn'!H:H, 'Data nguồn'!D:D, $D121, 'Data nguồn'!F:F, $B$1, 'Data nguồn'!C:C, Q$3)</f>
      </c>
      <c r="R121" s="8">
        <f>SUMIFS('Data nguồn'!H:H, 'Data nguồn'!D:D, $D121, 'Data nguồn'!F:F, $B$1, 'Data nguồn'!C:C, R$3)</f>
      </c>
      <c r="S121" s="8">
        <f>SUMIFS('Data nguồn'!H:H, 'Data nguồn'!D:D, $D121, 'Data nguồn'!F:F, $B$1, 'Data nguồn'!C:C, S$3)</f>
      </c>
      <c r="T121" s="8">
        <f>SUMIFS('Data nguồn'!H:H, 'Data nguồn'!D:D, $D121, 'Data nguồn'!F:F, $B$1, 'Data nguồn'!C:C, T$3)</f>
      </c>
      <c r="V121" s="8">
        <f>SUM(E121:P121)</f>
      </c>
      <c r="W121" s="8">
        <f>SUM(Q121:T121)</f>
      </c>
      <c r="X121" s="8">
        <f>AVERAGE(R121:T121)</f>
      </c>
      <c r="Y121" s="8">
        <f>AVERAGE(O121:T121)</f>
      </c>
      <c r="Z121" s="8">
        <f>AVERAGE(L121:T121)</f>
      </c>
      <c r="AA121" s="4">
        <f>IFERROR((X121*2)/(Y121+Z121), 0)</f>
      </c>
      <c r="AB121" s="4">
        <f>IFERROR(W121/SUM(E121:H121), 0)</f>
      </c>
      <c r="AC121" s="4">
        <f>IFERROR(W121/SUM(E121:H121), 0)</f>
      </c>
      <c r="AD121" s="4">
        <f>IFERROR(T121/H121, 0)</f>
      </c>
    </row>
    <row r="122" ht="20" customHeight="1" spans="1:30" x14ac:dyDescent="0.25">
      <c r="A122">
        <v>119</v>
      </c>
      <c r="B122" t="s">
        <v>285</v>
      </c>
      <c r="C122" t="s">
        <v>369</v>
      </c>
      <c r="D122" s="2" t="s">
        <v>285</v>
      </c>
      <c r="E122" s="8">
        <f>SUMIFS('Data nguồn'!H:H, 'Data nguồn'!D:D, $D122, 'Data nguồn'!F:F, $B$1, 'Data nguồn'!C:C, E$3)</f>
      </c>
      <c r="F122" s="8">
        <f>SUMIFS('Data nguồn'!H:H, 'Data nguồn'!D:D, $D122, 'Data nguồn'!F:F, $B$1, 'Data nguồn'!C:C, F$3)</f>
      </c>
      <c r="G122" s="8">
        <f>SUMIFS('Data nguồn'!H:H, 'Data nguồn'!D:D, $D122, 'Data nguồn'!F:F, $B$1, 'Data nguồn'!C:C, G$3)</f>
      </c>
      <c r="H122" s="8">
        <f>SUMIFS('Data nguồn'!H:H, 'Data nguồn'!D:D, $D122, 'Data nguồn'!F:F, $B$1, 'Data nguồn'!C:C, H$3)</f>
      </c>
      <c r="I122" s="8">
        <f>SUMIFS('Data nguồn'!H:H, 'Data nguồn'!D:D, $D122, 'Data nguồn'!F:F, $B$1, 'Data nguồn'!C:C, I$3)</f>
      </c>
      <c r="J122" s="8">
        <f>SUMIFS('Data nguồn'!H:H, 'Data nguồn'!D:D, $D122, 'Data nguồn'!F:F, $B$1, 'Data nguồn'!C:C, J$3)</f>
      </c>
      <c r="K122" s="8">
        <f>SUMIFS('Data nguồn'!H:H, 'Data nguồn'!D:D, $D122, 'Data nguồn'!F:F, $B$1, 'Data nguồn'!C:C, K$3)</f>
      </c>
      <c r="L122" s="8">
        <f>SUMIFS('Data nguồn'!H:H, 'Data nguồn'!D:D, $D122, 'Data nguồn'!F:F, $B$1, 'Data nguồn'!C:C, L$3)</f>
      </c>
      <c r="M122" s="8">
        <f>SUMIFS('Data nguồn'!H:H, 'Data nguồn'!D:D, $D122, 'Data nguồn'!F:F, $B$1, 'Data nguồn'!C:C, M$3)</f>
      </c>
      <c r="N122" s="8">
        <f>SUMIFS('Data nguồn'!H:H, 'Data nguồn'!D:D, $D122, 'Data nguồn'!F:F, $B$1, 'Data nguồn'!C:C, N$3)</f>
      </c>
      <c r="O122" s="8">
        <f>SUMIFS('Data nguồn'!H:H, 'Data nguồn'!D:D, $D122, 'Data nguồn'!F:F, $B$1, 'Data nguồn'!C:C, O$3)</f>
      </c>
      <c r="P122" s="8">
        <f>SUMIFS('Data nguồn'!H:H, 'Data nguồn'!D:D, $D122, 'Data nguồn'!F:F, $B$1, 'Data nguồn'!C:C, P$3)</f>
      </c>
      <c r="Q122" s="8">
        <f>SUMIFS('Data nguồn'!H:H, 'Data nguồn'!D:D, $D122, 'Data nguồn'!F:F, $B$1, 'Data nguồn'!C:C, Q$3)</f>
      </c>
      <c r="R122" s="8">
        <f>SUMIFS('Data nguồn'!H:H, 'Data nguồn'!D:D, $D122, 'Data nguồn'!F:F, $B$1, 'Data nguồn'!C:C, R$3)</f>
      </c>
      <c r="S122" s="8">
        <f>SUMIFS('Data nguồn'!H:H, 'Data nguồn'!D:D, $D122, 'Data nguồn'!F:F, $B$1, 'Data nguồn'!C:C, S$3)</f>
      </c>
      <c r="T122" s="8">
        <f>SUMIFS('Data nguồn'!H:H, 'Data nguồn'!D:D, $D122, 'Data nguồn'!F:F, $B$1, 'Data nguồn'!C:C, T$3)</f>
      </c>
      <c r="V122" s="8">
        <f>SUM(E122:P122)</f>
      </c>
      <c r="W122" s="8">
        <f>SUM(Q122:T122)</f>
      </c>
      <c r="X122" s="8">
        <f>AVERAGE(R122:T122)</f>
      </c>
      <c r="Y122" s="8">
        <f>AVERAGE(O122:T122)</f>
      </c>
      <c r="Z122" s="8">
        <f>AVERAGE(L122:T122)</f>
      </c>
      <c r="AA122" s="4">
        <f>IFERROR((X122*2)/(Y122+Z122), 0)</f>
      </c>
      <c r="AB122" s="4">
        <f>IFERROR(W122/SUM(E122:H122), 0)</f>
      </c>
      <c r="AC122" s="4">
        <f>IFERROR(W122/SUM(E122:H122), 0)</f>
      </c>
      <c r="AD122" s="4">
        <f>IFERROR(T122/H122, 0)</f>
      </c>
    </row>
    <row r="123" ht="20" customHeight="1" spans="1:30" x14ac:dyDescent="0.25">
      <c r="A123">
        <v>120</v>
      </c>
      <c r="B123" t="s">
        <v>286</v>
      </c>
      <c r="C123" t="s">
        <v>369</v>
      </c>
      <c r="D123" s="2" t="s">
        <v>286</v>
      </c>
      <c r="E123" s="8">
        <f>SUMIFS('Data nguồn'!H:H, 'Data nguồn'!D:D, $D123, 'Data nguồn'!F:F, $B$1, 'Data nguồn'!C:C, E$3)</f>
      </c>
      <c r="F123" s="8">
        <f>SUMIFS('Data nguồn'!H:H, 'Data nguồn'!D:D, $D123, 'Data nguồn'!F:F, $B$1, 'Data nguồn'!C:C, F$3)</f>
      </c>
      <c r="G123" s="8">
        <f>SUMIFS('Data nguồn'!H:H, 'Data nguồn'!D:D, $D123, 'Data nguồn'!F:F, $B$1, 'Data nguồn'!C:C, G$3)</f>
      </c>
      <c r="H123" s="8">
        <f>SUMIFS('Data nguồn'!H:H, 'Data nguồn'!D:D, $D123, 'Data nguồn'!F:F, $B$1, 'Data nguồn'!C:C, H$3)</f>
      </c>
      <c r="I123" s="8">
        <f>SUMIFS('Data nguồn'!H:H, 'Data nguồn'!D:D, $D123, 'Data nguồn'!F:F, $B$1, 'Data nguồn'!C:C, I$3)</f>
      </c>
      <c r="J123" s="8">
        <f>SUMIFS('Data nguồn'!H:H, 'Data nguồn'!D:D, $D123, 'Data nguồn'!F:F, $B$1, 'Data nguồn'!C:C, J$3)</f>
      </c>
      <c r="K123" s="8">
        <f>SUMIFS('Data nguồn'!H:H, 'Data nguồn'!D:D, $D123, 'Data nguồn'!F:F, $B$1, 'Data nguồn'!C:C, K$3)</f>
      </c>
      <c r="L123" s="8">
        <f>SUMIFS('Data nguồn'!H:H, 'Data nguồn'!D:D, $D123, 'Data nguồn'!F:F, $B$1, 'Data nguồn'!C:C, L$3)</f>
      </c>
      <c r="M123" s="8">
        <f>SUMIFS('Data nguồn'!H:H, 'Data nguồn'!D:D, $D123, 'Data nguồn'!F:F, $B$1, 'Data nguồn'!C:C, M$3)</f>
      </c>
      <c r="N123" s="8">
        <f>SUMIFS('Data nguồn'!H:H, 'Data nguồn'!D:D, $D123, 'Data nguồn'!F:F, $B$1, 'Data nguồn'!C:C, N$3)</f>
      </c>
      <c r="O123" s="8">
        <f>SUMIFS('Data nguồn'!H:H, 'Data nguồn'!D:D, $D123, 'Data nguồn'!F:F, $B$1, 'Data nguồn'!C:C, O$3)</f>
      </c>
      <c r="P123" s="8">
        <f>SUMIFS('Data nguồn'!H:H, 'Data nguồn'!D:D, $D123, 'Data nguồn'!F:F, $B$1, 'Data nguồn'!C:C, P$3)</f>
      </c>
      <c r="Q123" s="8">
        <f>SUMIFS('Data nguồn'!H:H, 'Data nguồn'!D:D, $D123, 'Data nguồn'!F:F, $B$1, 'Data nguồn'!C:C, Q$3)</f>
      </c>
      <c r="R123" s="8">
        <f>SUMIFS('Data nguồn'!H:H, 'Data nguồn'!D:D, $D123, 'Data nguồn'!F:F, $B$1, 'Data nguồn'!C:C, R$3)</f>
      </c>
      <c r="S123" s="8">
        <f>SUMIFS('Data nguồn'!H:H, 'Data nguồn'!D:D, $D123, 'Data nguồn'!F:F, $B$1, 'Data nguồn'!C:C, S$3)</f>
      </c>
      <c r="T123" s="8">
        <f>SUMIFS('Data nguồn'!H:H, 'Data nguồn'!D:D, $D123, 'Data nguồn'!F:F, $B$1, 'Data nguồn'!C:C, T$3)</f>
      </c>
      <c r="V123" s="8">
        <f>SUM(E123:P123)</f>
      </c>
      <c r="W123" s="8">
        <f>SUM(Q123:T123)</f>
      </c>
      <c r="X123" s="8">
        <f>AVERAGE(R123:T123)</f>
      </c>
      <c r="Y123" s="8">
        <f>AVERAGE(O123:T123)</f>
      </c>
      <c r="Z123" s="8">
        <f>AVERAGE(L123:T123)</f>
      </c>
      <c r="AA123" s="4">
        <f>IFERROR((X123*2)/(Y123+Z123), 0)</f>
      </c>
      <c r="AB123" s="4">
        <f>IFERROR(W123/SUM(E123:H123), 0)</f>
      </c>
      <c r="AC123" s="4">
        <f>IFERROR(W123/SUM(E123:H123), 0)</f>
      </c>
      <c r="AD123" s="4">
        <f>IFERROR(T123/H123, 0)</f>
      </c>
    </row>
    <row r="124" ht="20" customHeight="1" spans="1:30" x14ac:dyDescent="0.25">
      <c r="A124">
        <v>121</v>
      </c>
      <c r="B124" t="s">
        <v>287</v>
      </c>
      <c r="C124" t="s">
        <v>369</v>
      </c>
      <c r="D124" s="2" t="s">
        <v>287</v>
      </c>
      <c r="E124" s="8">
        <f>SUMIFS('Data nguồn'!H:H, 'Data nguồn'!D:D, $D124, 'Data nguồn'!F:F, $B$1, 'Data nguồn'!C:C, E$3)</f>
      </c>
      <c r="F124" s="8">
        <f>SUMIFS('Data nguồn'!H:H, 'Data nguồn'!D:D, $D124, 'Data nguồn'!F:F, $B$1, 'Data nguồn'!C:C, F$3)</f>
      </c>
      <c r="G124" s="8">
        <f>SUMIFS('Data nguồn'!H:H, 'Data nguồn'!D:D, $D124, 'Data nguồn'!F:F, $B$1, 'Data nguồn'!C:C, G$3)</f>
      </c>
      <c r="H124" s="8">
        <f>SUMIFS('Data nguồn'!H:H, 'Data nguồn'!D:D, $D124, 'Data nguồn'!F:F, $B$1, 'Data nguồn'!C:C, H$3)</f>
      </c>
      <c r="I124" s="8">
        <f>SUMIFS('Data nguồn'!H:H, 'Data nguồn'!D:D, $D124, 'Data nguồn'!F:F, $B$1, 'Data nguồn'!C:C, I$3)</f>
      </c>
      <c r="J124" s="8">
        <f>SUMIFS('Data nguồn'!H:H, 'Data nguồn'!D:D, $D124, 'Data nguồn'!F:F, $B$1, 'Data nguồn'!C:C, J$3)</f>
      </c>
      <c r="K124" s="8">
        <f>SUMIFS('Data nguồn'!H:H, 'Data nguồn'!D:D, $D124, 'Data nguồn'!F:F, $B$1, 'Data nguồn'!C:C, K$3)</f>
      </c>
      <c r="L124" s="8">
        <f>SUMIFS('Data nguồn'!H:H, 'Data nguồn'!D:D, $D124, 'Data nguồn'!F:F, $B$1, 'Data nguồn'!C:C, L$3)</f>
      </c>
      <c r="M124" s="8">
        <f>SUMIFS('Data nguồn'!H:H, 'Data nguồn'!D:D, $D124, 'Data nguồn'!F:F, $B$1, 'Data nguồn'!C:C, M$3)</f>
      </c>
      <c r="N124" s="8">
        <f>SUMIFS('Data nguồn'!H:H, 'Data nguồn'!D:D, $D124, 'Data nguồn'!F:F, $B$1, 'Data nguồn'!C:C, N$3)</f>
      </c>
      <c r="O124" s="8">
        <f>SUMIFS('Data nguồn'!H:H, 'Data nguồn'!D:D, $D124, 'Data nguồn'!F:F, $B$1, 'Data nguồn'!C:C, O$3)</f>
      </c>
      <c r="P124" s="8">
        <f>SUMIFS('Data nguồn'!H:H, 'Data nguồn'!D:D, $D124, 'Data nguồn'!F:F, $B$1, 'Data nguồn'!C:C, P$3)</f>
      </c>
      <c r="Q124" s="8">
        <f>SUMIFS('Data nguồn'!H:H, 'Data nguồn'!D:D, $D124, 'Data nguồn'!F:F, $B$1, 'Data nguồn'!C:C, Q$3)</f>
      </c>
      <c r="R124" s="8">
        <f>SUMIFS('Data nguồn'!H:H, 'Data nguồn'!D:D, $D124, 'Data nguồn'!F:F, $B$1, 'Data nguồn'!C:C, R$3)</f>
      </c>
      <c r="S124" s="8">
        <f>SUMIFS('Data nguồn'!H:H, 'Data nguồn'!D:D, $D124, 'Data nguồn'!F:F, $B$1, 'Data nguồn'!C:C, S$3)</f>
      </c>
      <c r="T124" s="8">
        <f>SUMIFS('Data nguồn'!H:H, 'Data nguồn'!D:D, $D124, 'Data nguồn'!F:F, $B$1, 'Data nguồn'!C:C, T$3)</f>
      </c>
      <c r="V124" s="8">
        <f>SUM(E124:P124)</f>
      </c>
      <c r="W124" s="8">
        <f>SUM(Q124:T124)</f>
      </c>
      <c r="X124" s="8">
        <f>AVERAGE(R124:T124)</f>
      </c>
      <c r="Y124" s="8">
        <f>AVERAGE(O124:T124)</f>
      </c>
      <c r="Z124" s="8">
        <f>AVERAGE(L124:T124)</f>
      </c>
      <c r="AA124" s="4">
        <f>IFERROR((X124*2)/(Y124+Z124), 0)</f>
      </c>
      <c r="AB124" s="4">
        <f>IFERROR(W124/SUM(E124:H124), 0)</f>
      </c>
      <c r="AC124" s="4">
        <f>IFERROR(W124/SUM(E124:H124), 0)</f>
      </c>
      <c r="AD124" s="4">
        <f>IFERROR(T124/H124, 0)</f>
      </c>
    </row>
    <row r="125" ht="20" customHeight="1" spans="1:30" x14ac:dyDescent="0.25">
      <c r="A125">
        <v>122</v>
      </c>
      <c r="B125" t="s">
        <v>288</v>
      </c>
      <c r="C125" t="s">
        <v>369</v>
      </c>
      <c r="D125" s="2" t="s">
        <v>288</v>
      </c>
      <c r="E125" s="8">
        <f>SUMIFS('Data nguồn'!H:H, 'Data nguồn'!D:D, $D125, 'Data nguồn'!F:F, $B$1, 'Data nguồn'!C:C, E$3)</f>
      </c>
      <c r="F125" s="8">
        <f>SUMIFS('Data nguồn'!H:H, 'Data nguồn'!D:D, $D125, 'Data nguồn'!F:F, $B$1, 'Data nguồn'!C:C, F$3)</f>
      </c>
      <c r="G125" s="8">
        <f>SUMIFS('Data nguồn'!H:H, 'Data nguồn'!D:D, $D125, 'Data nguồn'!F:F, $B$1, 'Data nguồn'!C:C, G$3)</f>
      </c>
      <c r="H125" s="8">
        <f>SUMIFS('Data nguồn'!H:H, 'Data nguồn'!D:D, $D125, 'Data nguồn'!F:F, $B$1, 'Data nguồn'!C:C, H$3)</f>
      </c>
      <c r="I125" s="8">
        <f>SUMIFS('Data nguồn'!H:H, 'Data nguồn'!D:D, $D125, 'Data nguồn'!F:F, $B$1, 'Data nguồn'!C:C, I$3)</f>
      </c>
      <c r="J125" s="8">
        <f>SUMIFS('Data nguồn'!H:H, 'Data nguồn'!D:D, $D125, 'Data nguồn'!F:F, $B$1, 'Data nguồn'!C:C, J$3)</f>
      </c>
      <c r="K125" s="8">
        <f>SUMIFS('Data nguồn'!H:H, 'Data nguồn'!D:D, $D125, 'Data nguồn'!F:F, $B$1, 'Data nguồn'!C:C, K$3)</f>
      </c>
      <c r="L125" s="8">
        <f>SUMIFS('Data nguồn'!H:H, 'Data nguồn'!D:D, $D125, 'Data nguồn'!F:F, $B$1, 'Data nguồn'!C:C, L$3)</f>
      </c>
      <c r="M125" s="8">
        <f>SUMIFS('Data nguồn'!H:H, 'Data nguồn'!D:D, $D125, 'Data nguồn'!F:F, $B$1, 'Data nguồn'!C:C, M$3)</f>
      </c>
      <c r="N125" s="8">
        <f>SUMIFS('Data nguồn'!H:H, 'Data nguồn'!D:D, $D125, 'Data nguồn'!F:F, $B$1, 'Data nguồn'!C:C, N$3)</f>
      </c>
      <c r="O125" s="8">
        <f>SUMIFS('Data nguồn'!H:H, 'Data nguồn'!D:D, $D125, 'Data nguồn'!F:F, $B$1, 'Data nguồn'!C:C, O$3)</f>
      </c>
      <c r="P125" s="8">
        <f>SUMIFS('Data nguồn'!H:H, 'Data nguồn'!D:D, $D125, 'Data nguồn'!F:F, $B$1, 'Data nguồn'!C:C, P$3)</f>
      </c>
      <c r="Q125" s="8">
        <f>SUMIFS('Data nguồn'!H:H, 'Data nguồn'!D:D, $D125, 'Data nguồn'!F:F, $B$1, 'Data nguồn'!C:C, Q$3)</f>
      </c>
      <c r="R125" s="8">
        <f>SUMIFS('Data nguồn'!H:H, 'Data nguồn'!D:D, $D125, 'Data nguồn'!F:F, $B$1, 'Data nguồn'!C:C, R$3)</f>
      </c>
      <c r="S125" s="8">
        <f>SUMIFS('Data nguồn'!H:H, 'Data nguồn'!D:D, $D125, 'Data nguồn'!F:F, $B$1, 'Data nguồn'!C:C, S$3)</f>
      </c>
      <c r="T125" s="8">
        <f>SUMIFS('Data nguồn'!H:H, 'Data nguồn'!D:D, $D125, 'Data nguồn'!F:F, $B$1, 'Data nguồn'!C:C, T$3)</f>
      </c>
      <c r="V125" s="8">
        <f>SUM(E125:P125)</f>
      </c>
      <c r="W125" s="8">
        <f>SUM(Q125:T125)</f>
      </c>
      <c r="X125" s="8">
        <f>AVERAGE(R125:T125)</f>
      </c>
      <c r="Y125" s="8">
        <f>AVERAGE(O125:T125)</f>
      </c>
      <c r="Z125" s="8">
        <f>AVERAGE(L125:T125)</f>
      </c>
      <c r="AA125" s="4">
        <f>IFERROR((X125*2)/(Y125+Z125), 0)</f>
      </c>
      <c r="AB125" s="4">
        <f>IFERROR(W125/SUM(E125:H125), 0)</f>
      </c>
      <c r="AC125" s="4">
        <f>IFERROR(W125/SUM(E125:H125), 0)</f>
      </c>
      <c r="AD125" s="4">
        <f>IFERROR(T125/H125, 0)</f>
      </c>
    </row>
    <row r="126" ht="20" customHeight="1" spans="1:30" x14ac:dyDescent="0.25">
      <c r="A126">
        <v>123</v>
      </c>
      <c r="B126" t="s">
        <v>289</v>
      </c>
      <c r="C126" t="s">
        <v>369</v>
      </c>
      <c r="D126" s="2" t="s">
        <v>289</v>
      </c>
      <c r="E126" s="8">
        <f>SUMIFS('Data nguồn'!H:H, 'Data nguồn'!D:D, $D126, 'Data nguồn'!F:F, $B$1, 'Data nguồn'!C:C, E$3)</f>
      </c>
      <c r="F126" s="8">
        <f>SUMIFS('Data nguồn'!H:H, 'Data nguồn'!D:D, $D126, 'Data nguồn'!F:F, $B$1, 'Data nguồn'!C:C, F$3)</f>
      </c>
      <c r="G126" s="8">
        <f>SUMIFS('Data nguồn'!H:H, 'Data nguồn'!D:D, $D126, 'Data nguồn'!F:F, $B$1, 'Data nguồn'!C:C, G$3)</f>
      </c>
      <c r="H126" s="8">
        <f>SUMIFS('Data nguồn'!H:H, 'Data nguồn'!D:D, $D126, 'Data nguồn'!F:F, $B$1, 'Data nguồn'!C:C, H$3)</f>
      </c>
      <c r="I126" s="8">
        <f>SUMIFS('Data nguồn'!H:H, 'Data nguồn'!D:D, $D126, 'Data nguồn'!F:F, $B$1, 'Data nguồn'!C:C, I$3)</f>
      </c>
      <c r="J126" s="8">
        <f>SUMIFS('Data nguồn'!H:H, 'Data nguồn'!D:D, $D126, 'Data nguồn'!F:F, $B$1, 'Data nguồn'!C:C, J$3)</f>
      </c>
      <c r="K126" s="8">
        <f>SUMIFS('Data nguồn'!H:H, 'Data nguồn'!D:D, $D126, 'Data nguồn'!F:F, $B$1, 'Data nguồn'!C:C, K$3)</f>
      </c>
      <c r="L126" s="8">
        <f>SUMIFS('Data nguồn'!H:H, 'Data nguồn'!D:D, $D126, 'Data nguồn'!F:F, $B$1, 'Data nguồn'!C:C, L$3)</f>
      </c>
      <c r="M126" s="8">
        <f>SUMIFS('Data nguồn'!H:H, 'Data nguồn'!D:D, $D126, 'Data nguồn'!F:F, $B$1, 'Data nguồn'!C:C, M$3)</f>
      </c>
      <c r="N126" s="8">
        <f>SUMIFS('Data nguồn'!H:H, 'Data nguồn'!D:D, $D126, 'Data nguồn'!F:F, $B$1, 'Data nguồn'!C:C, N$3)</f>
      </c>
      <c r="O126" s="8">
        <f>SUMIFS('Data nguồn'!H:H, 'Data nguồn'!D:D, $D126, 'Data nguồn'!F:F, $B$1, 'Data nguồn'!C:C, O$3)</f>
      </c>
      <c r="P126" s="8">
        <f>SUMIFS('Data nguồn'!H:H, 'Data nguồn'!D:D, $D126, 'Data nguồn'!F:F, $B$1, 'Data nguồn'!C:C, P$3)</f>
      </c>
      <c r="Q126" s="8">
        <f>SUMIFS('Data nguồn'!H:H, 'Data nguồn'!D:D, $D126, 'Data nguồn'!F:F, $B$1, 'Data nguồn'!C:C, Q$3)</f>
      </c>
      <c r="R126" s="8">
        <f>SUMIFS('Data nguồn'!H:H, 'Data nguồn'!D:D, $D126, 'Data nguồn'!F:F, $B$1, 'Data nguồn'!C:C, R$3)</f>
      </c>
      <c r="S126" s="8">
        <f>SUMIFS('Data nguồn'!H:H, 'Data nguồn'!D:D, $D126, 'Data nguồn'!F:F, $B$1, 'Data nguồn'!C:C, S$3)</f>
      </c>
      <c r="T126" s="8">
        <f>SUMIFS('Data nguồn'!H:H, 'Data nguồn'!D:D, $D126, 'Data nguồn'!F:F, $B$1, 'Data nguồn'!C:C, T$3)</f>
      </c>
      <c r="V126" s="8">
        <f>SUM(E126:P126)</f>
      </c>
      <c r="W126" s="8">
        <f>SUM(Q126:T126)</f>
      </c>
      <c r="X126" s="8">
        <f>AVERAGE(R126:T126)</f>
      </c>
      <c r="Y126" s="8">
        <f>AVERAGE(O126:T126)</f>
      </c>
      <c r="Z126" s="8">
        <f>AVERAGE(L126:T126)</f>
      </c>
      <c r="AA126" s="4">
        <f>IFERROR((X126*2)/(Y126+Z126), 0)</f>
      </c>
      <c r="AB126" s="4">
        <f>IFERROR(W126/SUM(E126:H126), 0)</f>
      </c>
      <c r="AC126" s="4">
        <f>IFERROR(W126/SUM(E126:H126), 0)</f>
      </c>
      <c r="AD126" s="4">
        <f>IFERROR(T126/H126, 0)</f>
      </c>
    </row>
    <row r="127" ht="20" customHeight="1" spans="1:30" x14ac:dyDescent="0.25">
      <c r="A127">
        <v>124</v>
      </c>
      <c r="B127" t="s">
        <v>290</v>
      </c>
      <c r="C127" t="s">
        <v>367</v>
      </c>
      <c r="D127" s="2" t="s">
        <v>290</v>
      </c>
      <c r="E127" s="8">
        <f>SUMIFS('Data nguồn'!H:H, 'Data nguồn'!D:D, $D127, 'Data nguồn'!F:F, $B$1, 'Data nguồn'!C:C, E$3)</f>
      </c>
      <c r="F127" s="8">
        <f>SUMIFS('Data nguồn'!H:H, 'Data nguồn'!D:D, $D127, 'Data nguồn'!F:F, $B$1, 'Data nguồn'!C:C, F$3)</f>
      </c>
      <c r="G127" s="8">
        <f>SUMIFS('Data nguồn'!H:H, 'Data nguồn'!D:D, $D127, 'Data nguồn'!F:F, $B$1, 'Data nguồn'!C:C, G$3)</f>
      </c>
      <c r="H127" s="8">
        <f>SUMIFS('Data nguồn'!H:H, 'Data nguồn'!D:D, $D127, 'Data nguồn'!F:F, $B$1, 'Data nguồn'!C:C, H$3)</f>
      </c>
      <c r="I127" s="8">
        <f>SUMIFS('Data nguồn'!H:H, 'Data nguồn'!D:D, $D127, 'Data nguồn'!F:F, $B$1, 'Data nguồn'!C:C, I$3)</f>
      </c>
      <c r="J127" s="8">
        <f>SUMIFS('Data nguồn'!H:H, 'Data nguồn'!D:D, $D127, 'Data nguồn'!F:F, $B$1, 'Data nguồn'!C:C, J$3)</f>
      </c>
      <c r="K127" s="8">
        <f>SUMIFS('Data nguồn'!H:H, 'Data nguồn'!D:D, $D127, 'Data nguồn'!F:F, $B$1, 'Data nguồn'!C:C, K$3)</f>
      </c>
      <c r="L127" s="8">
        <f>SUMIFS('Data nguồn'!H:H, 'Data nguồn'!D:D, $D127, 'Data nguồn'!F:F, $B$1, 'Data nguồn'!C:C, L$3)</f>
      </c>
      <c r="M127" s="8">
        <f>SUMIFS('Data nguồn'!H:H, 'Data nguồn'!D:D, $D127, 'Data nguồn'!F:F, $B$1, 'Data nguồn'!C:C, M$3)</f>
      </c>
      <c r="N127" s="8">
        <f>SUMIFS('Data nguồn'!H:H, 'Data nguồn'!D:D, $D127, 'Data nguồn'!F:F, $B$1, 'Data nguồn'!C:C, N$3)</f>
      </c>
      <c r="O127" s="8">
        <f>SUMIFS('Data nguồn'!H:H, 'Data nguồn'!D:D, $D127, 'Data nguồn'!F:F, $B$1, 'Data nguồn'!C:C, O$3)</f>
      </c>
      <c r="P127" s="8">
        <f>SUMIFS('Data nguồn'!H:H, 'Data nguồn'!D:D, $D127, 'Data nguồn'!F:F, $B$1, 'Data nguồn'!C:C, P$3)</f>
      </c>
      <c r="Q127" s="8">
        <f>SUMIFS('Data nguồn'!H:H, 'Data nguồn'!D:D, $D127, 'Data nguồn'!F:F, $B$1, 'Data nguồn'!C:C, Q$3)</f>
      </c>
      <c r="R127" s="8">
        <f>SUMIFS('Data nguồn'!H:H, 'Data nguồn'!D:D, $D127, 'Data nguồn'!F:F, $B$1, 'Data nguồn'!C:C, R$3)</f>
      </c>
      <c r="S127" s="8">
        <f>SUMIFS('Data nguồn'!H:H, 'Data nguồn'!D:D, $D127, 'Data nguồn'!F:F, $B$1, 'Data nguồn'!C:C, S$3)</f>
      </c>
      <c r="T127" s="8">
        <f>SUMIFS('Data nguồn'!H:H, 'Data nguồn'!D:D, $D127, 'Data nguồn'!F:F, $B$1, 'Data nguồn'!C:C, T$3)</f>
      </c>
      <c r="V127" s="8">
        <f>SUM(E127:P127)</f>
      </c>
      <c r="W127" s="8">
        <f>SUM(Q127:T127)</f>
      </c>
      <c r="X127" s="8">
        <f>AVERAGE(R127:T127)</f>
      </c>
      <c r="Y127" s="8">
        <f>AVERAGE(O127:T127)</f>
      </c>
      <c r="Z127" s="8">
        <f>AVERAGE(L127:T127)</f>
      </c>
      <c r="AA127" s="4">
        <f>IFERROR((X127*2)/(Y127+Z127), 0)</f>
      </c>
      <c r="AB127" s="4">
        <f>IFERROR(W127/SUM(E127:H127), 0)</f>
      </c>
      <c r="AC127" s="4">
        <f>IFERROR(W127/SUM(E127:H127), 0)</f>
      </c>
      <c r="AD127" s="4">
        <f>IFERROR(T127/H127, 0)</f>
      </c>
    </row>
    <row r="128" ht="20" customHeight="1" spans="1:30" x14ac:dyDescent="0.25">
      <c r="A128">
        <v>125</v>
      </c>
      <c r="B128" t="s">
        <v>291</v>
      </c>
      <c r="C128" t="s">
        <v>369</v>
      </c>
      <c r="D128" s="2" t="s">
        <v>291</v>
      </c>
      <c r="E128" s="8">
        <f>SUMIFS('Data nguồn'!H:H, 'Data nguồn'!D:D, $D128, 'Data nguồn'!F:F, $B$1, 'Data nguồn'!C:C, E$3)</f>
      </c>
      <c r="F128" s="8">
        <f>SUMIFS('Data nguồn'!H:H, 'Data nguồn'!D:D, $D128, 'Data nguồn'!F:F, $B$1, 'Data nguồn'!C:C, F$3)</f>
      </c>
      <c r="G128" s="8">
        <f>SUMIFS('Data nguồn'!H:H, 'Data nguồn'!D:D, $D128, 'Data nguồn'!F:F, $B$1, 'Data nguồn'!C:C, G$3)</f>
      </c>
      <c r="H128" s="8">
        <f>SUMIFS('Data nguồn'!H:H, 'Data nguồn'!D:D, $D128, 'Data nguồn'!F:F, $B$1, 'Data nguồn'!C:C, H$3)</f>
      </c>
      <c r="I128" s="8">
        <f>SUMIFS('Data nguồn'!H:H, 'Data nguồn'!D:D, $D128, 'Data nguồn'!F:F, $B$1, 'Data nguồn'!C:C, I$3)</f>
      </c>
      <c r="J128" s="8">
        <f>SUMIFS('Data nguồn'!H:H, 'Data nguồn'!D:D, $D128, 'Data nguồn'!F:F, $B$1, 'Data nguồn'!C:C, J$3)</f>
      </c>
      <c r="K128" s="8">
        <f>SUMIFS('Data nguồn'!H:H, 'Data nguồn'!D:D, $D128, 'Data nguồn'!F:F, $B$1, 'Data nguồn'!C:C, K$3)</f>
      </c>
      <c r="L128" s="8">
        <f>SUMIFS('Data nguồn'!H:H, 'Data nguồn'!D:D, $D128, 'Data nguồn'!F:F, $B$1, 'Data nguồn'!C:C, L$3)</f>
      </c>
      <c r="M128" s="8">
        <f>SUMIFS('Data nguồn'!H:H, 'Data nguồn'!D:D, $D128, 'Data nguồn'!F:F, $B$1, 'Data nguồn'!C:C, M$3)</f>
      </c>
      <c r="N128" s="8">
        <f>SUMIFS('Data nguồn'!H:H, 'Data nguồn'!D:D, $D128, 'Data nguồn'!F:F, $B$1, 'Data nguồn'!C:C, N$3)</f>
      </c>
      <c r="O128" s="8">
        <f>SUMIFS('Data nguồn'!H:H, 'Data nguồn'!D:D, $D128, 'Data nguồn'!F:F, $B$1, 'Data nguồn'!C:C, O$3)</f>
      </c>
      <c r="P128" s="8">
        <f>SUMIFS('Data nguồn'!H:H, 'Data nguồn'!D:D, $D128, 'Data nguồn'!F:F, $B$1, 'Data nguồn'!C:C, P$3)</f>
      </c>
      <c r="Q128" s="8">
        <f>SUMIFS('Data nguồn'!H:H, 'Data nguồn'!D:D, $D128, 'Data nguồn'!F:F, $B$1, 'Data nguồn'!C:C, Q$3)</f>
      </c>
      <c r="R128" s="8">
        <f>SUMIFS('Data nguồn'!H:H, 'Data nguồn'!D:D, $D128, 'Data nguồn'!F:F, $B$1, 'Data nguồn'!C:C, R$3)</f>
      </c>
      <c r="S128" s="8">
        <f>SUMIFS('Data nguồn'!H:H, 'Data nguồn'!D:D, $D128, 'Data nguồn'!F:F, $B$1, 'Data nguồn'!C:C, S$3)</f>
      </c>
      <c r="T128" s="8">
        <f>SUMIFS('Data nguồn'!H:H, 'Data nguồn'!D:D, $D128, 'Data nguồn'!F:F, $B$1, 'Data nguồn'!C:C, T$3)</f>
      </c>
      <c r="V128" s="8">
        <f>SUM(E128:P128)</f>
      </c>
      <c r="W128" s="8">
        <f>SUM(Q128:T128)</f>
      </c>
      <c r="X128" s="8">
        <f>AVERAGE(R128:T128)</f>
      </c>
      <c r="Y128" s="8">
        <f>AVERAGE(O128:T128)</f>
      </c>
      <c r="Z128" s="8">
        <f>AVERAGE(L128:T128)</f>
      </c>
      <c r="AA128" s="4">
        <f>IFERROR((X128*2)/(Y128+Z128), 0)</f>
      </c>
      <c r="AB128" s="4">
        <f>IFERROR(W128/SUM(E128:H128), 0)</f>
      </c>
      <c r="AC128" s="4">
        <f>IFERROR(W128/SUM(E128:H128), 0)</f>
      </c>
      <c r="AD128" s="4">
        <f>IFERROR(T128/H128, 0)</f>
      </c>
    </row>
    <row r="129" ht="20" customHeight="1" spans="1:30" x14ac:dyDescent="0.25">
      <c r="A129">
        <v>126</v>
      </c>
      <c r="B129" t="s">
        <v>292</v>
      </c>
      <c r="C129" t="s">
        <v>369</v>
      </c>
      <c r="D129" s="2" t="s">
        <v>292</v>
      </c>
      <c r="E129" s="8">
        <f>SUMIFS('Data nguồn'!H:H, 'Data nguồn'!D:D, $D129, 'Data nguồn'!F:F, $B$1, 'Data nguồn'!C:C, E$3)</f>
      </c>
      <c r="F129" s="8">
        <f>SUMIFS('Data nguồn'!H:H, 'Data nguồn'!D:D, $D129, 'Data nguồn'!F:F, $B$1, 'Data nguồn'!C:C, F$3)</f>
      </c>
      <c r="G129" s="8">
        <f>SUMIFS('Data nguồn'!H:H, 'Data nguồn'!D:D, $D129, 'Data nguồn'!F:F, $B$1, 'Data nguồn'!C:C, G$3)</f>
      </c>
      <c r="H129" s="8">
        <f>SUMIFS('Data nguồn'!H:H, 'Data nguồn'!D:D, $D129, 'Data nguồn'!F:F, $B$1, 'Data nguồn'!C:C, H$3)</f>
      </c>
      <c r="I129" s="8">
        <f>SUMIFS('Data nguồn'!H:H, 'Data nguồn'!D:D, $D129, 'Data nguồn'!F:F, $B$1, 'Data nguồn'!C:C, I$3)</f>
      </c>
      <c r="J129" s="8">
        <f>SUMIFS('Data nguồn'!H:H, 'Data nguồn'!D:D, $D129, 'Data nguồn'!F:F, $B$1, 'Data nguồn'!C:C, J$3)</f>
      </c>
      <c r="K129" s="8">
        <f>SUMIFS('Data nguồn'!H:H, 'Data nguồn'!D:D, $D129, 'Data nguồn'!F:F, $B$1, 'Data nguồn'!C:C, K$3)</f>
      </c>
      <c r="L129" s="8">
        <f>SUMIFS('Data nguồn'!H:H, 'Data nguồn'!D:D, $D129, 'Data nguồn'!F:F, $B$1, 'Data nguồn'!C:C, L$3)</f>
      </c>
      <c r="M129" s="8">
        <f>SUMIFS('Data nguồn'!H:H, 'Data nguồn'!D:D, $D129, 'Data nguồn'!F:F, $B$1, 'Data nguồn'!C:C, M$3)</f>
      </c>
      <c r="N129" s="8">
        <f>SUMIFS('Data nguồn'!H:H, 'Data nguồn'!D:D, $D129, 'Data nguồn'!F:F, $B$1, 'Data nguồn'!C:C, N$3)</f>
      </c>
      <c r="O129" s="8">
        <f>SUMIFS('Data nguồn'!H:H, 'Data nguồn'!D:D, $D129, 'Data nguồn'!F:F, $B$1, 'Data nguồn'!C:C, O$3)</f>
      </c>
      <c r="P129" s="8">
        <f>SUMIFS('Data nguồn'!H:H, 'Data nguồn'!D:D, $D129, 'Data nguồn'!F:F, $B$1, 'Data nguồn'!C:C, P$3)</f>
      </c>
      <c r="Q129" s="8">
        <f>SUMIFS('Data nguồn'!H:H, 'Data nguồn'!D:D, $D129, 'Data nguồn'!F:F, $B$1, 'Data nguồn'!C:C, Q$3)</f>
      </c>
      <c r="R129" s="8">
        <f>SUMIFS('Data nguồn'!H:H, 'Data nguồn'!D:D, $D129, 'Data nguồn'!F:F, $B$1, 'Data nguồn'!C:C, R$3)</f>
      </c>
      <c r="S129" s="8">
        <f>SUMIFS('Data nguồn'!H:H, 'Data nguồn'!D:D, $D129, 'Data nguồn'!F:F, $B$1, 'Data nguồn'!C:C, S$3)</f>
      </c>
      <c r="T129" s="8">
        <f>SUMIFS('Data nguồn'!H:H, 'Data nguồn'!D:D, $D129, 'Data nguồn'!F:F, $B$1, 'Data nguồn'!C:C, T$3)</f>
      </c>
      <c r="V129" s="8">
        <f>SUM(E129:P129)</f>
      </c>
      <c r="W129" s="8">
        <f>SUM(Q129:T129)</f>
      </c>
      <c r="X129" s="8">
        <f>AVERAGE(R129:T129)</f>
      </c>
      <c r="Y129" s="8">
        <f>AVERAGE(O129:T129)</f>
      </c>
      <c r="Z129" s="8">
        <f>AVERAGE(L129:T129)</f>
      </c>
      <c r="AA129" s="4">
        <f>IFERROR((X129*2)/(Y129+Z129), 0)</f>
      </c>
      <c r="AB129" s="4">
        <f>IFERROR(W129/SUM(E129:H129), 0)</f>
      </c>
      <c r="AC129" s="4">
        <f>IFERROR(W129/SUM(E129:H129), 0)</f>
      </c>
      <c r="AD129" s="4">
        <f>IFERROR(T129/H129, 0)</f>
      </c>
    </row>
    <row r="130" ht="20" customHeight="1" spans="1:30" x14ac:dyDescent="0.25">
      <c r="A130">
        <v>127</v>
      </c>
      <c r="B130" t="s">
        <v>293</v>
      </c>
      <c r="C130" t="s">
        <v>369</v>
      </c>
      <c r="D130" s="2" t="s">
        <v>293</v>
      </c>
      <c r="E130" s="8">
        <f>SUMIFS('Data nguồn'!H:H, 'Data nguồn'!D:D, $D130, 'Data nguồn'!F:F, $B$1, 'Data nguồn'!C:C, E$3)</f>
      </c>
      <c r="F130" s="8">
        <f>SUMIFS('Data nguồn'!H:H, 'Data nguồn'!D:D, $D130, 'Data nguồn'!F:F, $B$1, 'Data nguồn'!C:C, F$3)</f>
      </c>
      <c r="G130" s="8">
        <f>SUMIFS('Data nguồn'!H:H, 'Data nguồn'!D:D, $D130, 'Data nguồn'!F:F, $B$1, 'Data nguồn'!C:C, G$3)</f>
      </c>
      <c r="H130" s="8">
        <f>SUMIFS('Data nguồn'!H:H, 'Data nguồn'!D:D, $D130, 'Data nguồn'!F:F, $B$1, 'Data nguồn'!C:C, H$3)</f>
      </c>
      <c r="I130" s="8">
        <f>SUMIFS('Data nguồn'!H:H, 'Data nguồn'!D:D, $D130, 'Data nguồn'!F:F, $B$1, 'Data nguồn'!C:C, I$3)</f>
      </c>
      <c r="J130" s="8">
        <f>SUMIFS('Data nguồn'!H:H, 'Data nguồn'!D:D, $D130, 'Data nguồn'!F:F, $B$1, 'Data nguồn'!C:C, J$3)</f>
      </c>
      <c r="K130" s="8">
        <f>SUMIFS('Data nguồn'!H:H, 'Data nguồn'!D:D, $D130, 'Data nguồn'!F:F, $B$1, 'Data nguồn'!C:C, K$3)</f>
      </c>
      <c r="L130" s="8">
        <f>SUMIFS('Data nguồn'!H:H, 'Data nguồn'!D:D, $D130, 'Data nguồn'!F:F, $B$1, 'Data nguồn'!C:C, L$3)</f>
      </c>
      <c r="M130" s="8">
        <f>SUMIFS('Data nguồn'!H:H, 'Data nguồn'!D:D, $D130, 'Data nguồn'!F:F, $B$1, 'Data nguồn'!C:C, M$3)</f>
      </c>
      <c r="N130" s="8">
        <f>SUMIFS('Data nguồn'!H:H, 'Data nguồn'!D:D, $D130, 'Data nguồn'!F:F, $B$1, 'Data nguồn'!C:C, N$3)</f>
      </c>
      <c r="O130" s="8">
        <f>SUMIFS('Data nguồn'!H:H, 'Data nguồn'!D:D, $D130, 'Data nguồn'!F:F, $B$1, 'Data nguồn'!C:C, O$3)</f>
      </c>
      <c r="P130" s="8">
        <f>SUMIFS('Data nguồn'!H:H, 'Data nguồn'!D:D, $D130, 'Data nguồn'!F:F, $B$1, 'Data nguồn'!C:C, P$3)</f>
      </c>
      <c r="Q130" s="8">
        <f>SUMIFS('Data nguồn'!H:H, 'Data nguồn'!D:D, $D130, 'Data nguồn'!F:F, $B$1, 'Data nguồn'!C:C, Q$3)</f>
      </c>
      <c r="R130" s="8">
        <f>SUMIFS('Data nguồn'!H:H, 'Data nguồn'!D:D, $D130, 'Data nguồn'!F:F, $B$1, 'Data nguồn'!C:C, R$3)</f>
      </c>
      <c r="S130" s="8">
        <f>SUMIFS('Data nguồn'!H:H, 'Data nguồn'!D:D, $D130, 'Data nguồn'!F:F, $B$1, 'Data nguồn'!C:C, S$3)</f>
      </c>
      <c r="T130" s="8">
        <f>SUMIFS('Data nguồn'!H:H, 'Data nguồn'!D:D, $D130, 'Data nguồn'!F:F, $B$1, 'Data nguồn'!C:C, T$3)</f>
      </c>
      <c r="V130" s="8">
        <f>SUM(E130:P130)</f>
      </c>
      <c r="W130" s="8">
        <f>SUM(Q130:T130)</f>
      </c>
      <c r="X130" s="8">
        <f>AVERAGE(R130:T130)</f>
      </c>
      <c r="Y130" s="8">
        <f>AVERAGE(O130:T130)</f>
      </c>
      <c r="Z130" s="8">
        <f>AVERAGE(L130:T130)</f>
      </c>
      <c r="AA130" s="4">
        <f>IFERROR((X130*2)/(Y130+Z130), 0)</f>
      </c>
      <c r="AB130" s="4">
        <f>IFERROR(W130/SUM(E130:H130), 0)</f>
      </c>
      <c r="AC130" s="4">
        <f>IFERROR(W130/SUM(E130:H130), 0)</f>
      </c>
      <c r="AD130" s="4">
        <f>IFERROR(T130/H130, 0)</f>
      </c>
    </row>
    <row r="131" ht="20" customHeight="1" spans="1:30" x14ac:dyDescent="0.25">
      <c r="A131">
        <v>128</v>
      </c>
      <c r="B131" t="s">
        <v>294</v>
      </c>
      <c r="C131" t="s">
        <v>369</v>
      </c>
      <c r="D131" s="2" t="s">
        <v>294</v>
      </c>
      <c r="E131" s="8">
        <f>SUMIFS('Data nguồn'!H:H, 'Data nguồn'!D:D, $D131, 'Data nguồn'!F:F, $B$1, 'Data nguồn'!C:C, E$3)</f>
      </c>
      <c r="F131" s="8">
        <f>SUMIFS('Data nguồn'!H:H, 'Data nguồn'!D:D, $D131, 'Data nguồn'!F:F, $B$1, 'Data nguồn'!C:C, F$3)</f>
      </c>
      <c r="G131" s="8">
        <f>SUMIFS('Data nguồn'!H:H, 'Data nguồn'!D:D, $D131, 'Data nguồn'!F:F, $B$1, 'Data nguồn'!C:C, G$3)</f>
      </c>
      <c r="H131" s="8">
        <f>SUMIFS('Data nguồn'!H:H, 'Data nguồn'!D:D, $D131, 'Data nguồn'!F:F, $B$1, 'Data nguồn'!C:C, H$3)</f>
      </c>
      <c r="I131" s="8">
        <f>SUMIFS('Data nguồn'!H:H, 'Data nguồn'!D:D, $D131, 'Data nguồn'!F:F, $B$1, 'Data nguồn'!C:C, I$3)</f>
      </c>
      <c r="J131" s="8">
        <f>SUMIFS('Data nguồn'!H:H, 'Data nguồn'!D:D, $D131, 'Data nguồn'!F:F, $B$1, 'Data nguồn'!C:C, J$3)</f>
      </c>
      <c r="K131" s="8">
        <f>SUMIFS('Data nguồn'!H:H, 'Data nguồn'!D:D, $D131, 'Data nguồn'!F:F, $B$1, 'Data nguồn'!C:C, K$3)</f>
      </c>
      <c r="L131" s="8">
        <f>SUMIFS('Data nguồn'!H:H, 'Data nguồn'!D:D, $D131, 'Data nguồn'!F:F, $B$1, 'Data nguồn'!C:C, L$3)</f>
      </c>
      <c r="M131" s="8">
        <f>SUMIFS('Data nguồn'!H:H, 'Data nguồn'!D:D, $D131, 'Data nguồn'!F:F, $B$1, 'Data nguồn'!C:C, M$3)</f>
      </c>
      <c r="N131" s="8">
        <f>SUMIFS('Data nguồn'!H:H, 'Data nguồn'!D:D, $D131, 'Data nguồn'!F:F, $B$1, 'Data nguồn'!C:C, N$3)</f>
      </c>
      <c r="O131" s="8">
        <f>SUMIFS('Data nguồn'!H:H, 'Data nguồn'!D:D, $D131, 'Data nguồn'!F:F, $B$1, 'Data nguồn'!C:C, O$3)</f>
      </c>
      <c r="P131" s="8">
        <f>SUMIFS('Data nguồn'!H:H, 'Data nguồn'!D:D, $D131, 'Data nguồn'!F:F, $B$1, 'Data nguồn'!C:C, P$3)</f>
      </c>
      <c r="Q131" s="8">
        <f>SUMIFS('Data nguồn'!H:H, 'Data nguồn'!D:D, $D131, 'Data nguồn'!F:F, $B$1, 'Data nguồn'!C:C, Q$3)</f>
      </c>
      <c r="R131" s="8">
        <f>SUMIFS('Data nguồn'!H:H, 'Data nguồn'!D:D, $D131, 'Data nguồn'!F:F, $B$1, 'Data nguồn'!C:C, R$3)</f>
      </c>
      <c r="S131" s="8">
        <f>SUMIFS('Data nguồn'!H:H, 'Data nguồn'!D:D, $D131, 'Data nguồn'!F:F, $B$1, 'Data nguồn'!C:C, S$3)</f>
      </c>
      <c r="T131" s="8">
        <f>SUMIFS('Data nguồn'!H:H, 'Data nguồn'!D:D, $D131, 'Data nguồn'!F:F, $B$1, 'Data nguồn'!C:C, T$3)</f>
      </c>
      <c r="V131" s="8">
        <f>SUM(E131:P131)</f>
      </c>
      <c r="W131" s="8">
        <f>SUM(Q131:T131)</f>
      </c>
      <c r="X131" s="8">
        <f>AVERAGE(R131:T131)</f>
      </c>
      <c r="Y131" s="8">
        <f>AVERAGE(O131:T131)</f>
      </c>
      <c r="Z131" s="8">
        <f>AVERAGE(L131:T131)</f>
      </c>
      <c r="AA131" s="4">
        <f>IFERROR((X131*2)/(Y131+Z131), 0)</f>
      </c>
      <c r="AB131" s="4">
        <f>IFERROR(W131/SUM(E131:H131), 0)</f>
      </c>
      <c r="AC131" s="4">
        <f>IFERROR(W131/SUM(E131:H131), 0)</f>
      </c>
      <c r="AD131" s="4">
        <f>IFERROR(T131/H131, 0)</f>
      </c>
    </row>
    <row r="132" ht="20" customHeight="1" spans="1:30" x14ac:dyDescent="0.25">
      <c r="A132">
        <v>129</v>
      </c>
      <c r="B132" t="s">
        <v>295</v>
      </c>
      <c r="C132" t="s">
        <v>369</v>
      </c>
      <c r="D132" s="2" t="s">
        <v>295</v>
      </c>
      <c r="E132" s="8">
        <f>SUMIFS('Data nguồn'!H:H, 'Data nguồn'!D:D, $D132, 'Data nguồn'!F:F, $B$1, 'Data nguồn'!C:C, E$3)</f>
      </c>
      <c r="F132" s="8">
        <f>SUMIFS('Data nguồn'!H:H, 'Data nguồn'!D:D, $D132, 'Data nguồn'!F:F, $B$1, 'Data nguồn'!C:C, F$3)</f>
      </c>
      <c r="G132" s="8">
        <f>SUMIFS('Data nguồn'!H:H, 'Data nguồn'!D:D, $D132, 'Data nguồn'!F:F, $B$1, 'Data nguồn'!C:C, G$3)</f>
      </c>
      <c r="H132" s="8">
        <f>SUMIFS('Data nguồn'!H:H, 'Data nguồn'!D:D, $D132, 'Data nguồn'!F:F, $B$1, 'Data nguồn'!C:C, H$3)</f>
      </c>
      <c r="I132" s="8">
        <f>SUMIFS('Data nguồn'!H:H, 'Data nguồn'!D:D, $D132, 'Data nguồn'!F:F, $B$1, 'Data nguồn'!C:C, I$3)</f>
      </c>
      <c r="J132" s="8">
        <f>SUMIFS('Data nguồn'!H:H, 'Data nguồn'!D:D, $D132, 'Data nguồn'!F:F, $B$1, 'Data nguồn'!C:C, J$3)</f>
      </c>
      <c r="K132" s="8">
        <f>SUMIFS('Data nguồn'!H:H, 'Data nguồn'!D:D, $D132, 'Data nguồn'!F:F, $B$1, 'Data nguồn'!C:C, K$3)</f>
      </c>
      <c r="L132" s="8">
        <f>SUMIFS('Data nguồn'!H:H, 'Data nguồn'!D:D, $D132, 'Data nguồn'!F:F, $B$1, 'Data nguồn'!C:C, L$3)</f>
      </c>
      <c r="M132" s="8">
        <f>SUMIFS('Data nguồn'!H:H, 'Data nguồn'!D:D, $D132, 'Data nguồn'!F:F, $B$1, 'Data nguồn'!C:C, M$3)</f>
      </c>
      <c r="N132" s="8">
        <f>SUMIFS('Data nguồn'!H:H, 'Data nguồn'!D:D, $D132, 'Data nguồn'!F:F, $B$1, 'Data nguồn'!C:C, N$3)</f>
      </c>
      <c r="O132" s="8">
        <f>SUMIFS('Data nguồn'!H:H, 'Data nguồn'!D:D, $D132, 'Data nguồn'!F:F, $B$1, 'Data nguồn'!C:C, O$3)</f>
      </c>
      <c r="P132" s="8">
        <f>SUMIFS('Data nguồn'!H:H, 'Data nguồn'!D:D, $D132, 'Data nguồn'!F:F, $B$1, 'Data nguồn'!C:C, P$3)</f>
      </c>
      <c r="Q132" s="8">
        <f>SUMIFS('Data nguồn'!H:H, 'Data nguồn'!D:D, $D132, 'Data nguồn'!F:F, $B$1, 'Data nguồn'!C:C, Q$3)</f>
      </c>
      <c r="R132" s="8">
        <f>SUMIFS('Data nguồn'!H:H, 'Data nguồn'!D:D, $D132, 'Data nguồn'!F:F, $B$1, 'Data nguồn'!C:C, R$3)</f>
      </c>
      <c r="S132" s="8">
        <f>SUMIFS('Data nguồn'!H:H, 'Data nguồn'!D:D, $D132, 'Data nguồn'!F:F, $B$1, 'Data nguồn'!C:C, S$3)</f>
      </c>
      <c r="T132" s="8">
        <f>SUMIFS('Data nguồn'!H:H, 'Data nguồn'!D:D, $D132, 'Data nguồn'!F:F, $B$1, 'Data nguồn'!C:C, T$3)</f>
      </c>
      <c r="V132" s="8">
        <f>SUM(E132:P132)</f>
      </c>
      <c r="W132" s="8">
        <f>SUM(Q132:T132)</f>
      </c>
      <c r="X132" s="8">
        <f>AVERAGE(R132:T132)</f>
      </c>
      <c r="Y132" s="8">
        <f>AVERAGE(O132:T132)</f>
      </c>
      <c r="Z132" s="8">
        <f>AVERAGE(L132:T132)</f>
      </c>
      <c r="AA132" s="4">
        <f>IFERROR((X132*2)/(Y132+Z132), 0)</f>
      </c>
      <c r="AB132" s="4">
        <f>IFERROR(W132/SUM(E132:H132), 0)</f>
      </c>
      <c r="AC132" s="4">
        <f>IFERROR(W132/SUM(E132:H132), 0)</f>
      </c>
      <c r="AD132" s="4">
        <f>IFERROR(T132/H132, 0)</f>
      </c>
    </row>
    <row r="133" ht="20" customHeight="1" spans="1:30" x14ac:dyDescent="0.25">
      <c r="A133">
        <v>130</v>
      </c>
      <c r="B133" t="s">
        <v>296</v>
      </c>
      <c r="C133" t="s">
        <v>363</v>
      </c>
      <c r="D133" s="2" t="s">
        <v>296</v>
      </c>
      <c r="E133" s="8">
        <f>SUMIFS('Data nguồn'!H:H, 'Data nguồn'!D:D, $D133, 'Data nguồn'!F:F, $B$1, 'Data nguồn'!C:C, E$3)</f>
      </c>
      <c r="F133" s="8">
        <f>SUMIFS('Data nguồn'!H:H, 'Data nguồn'!D:D, $D133, 'Data nguồn'!F:F, $B$1, 'Data nguồn'!C:C, F$3)</f>
      </c>
      <c r="G133" s="8">
        <f>SUMIFS('Data nguồn'!H:H, 'Data nguồn'!D:D, $D133, 'Data nguồn'!F:F, $B$1, 'Data nguồn'!C:C, G$3)</f>
      </c>
      <c r="H133" s="8">
        <f>SUMIFS('Data nguồn'!H:H, 'Data nguồn'!D:D, $D133, 'Data nguồn'!F:F, $B$1, 'Data nguồn'!C:C, H$3)</f>
      </c>
      <c r="I133" s="8">
        <f>SUMIFS('Data nguồn'!H:H, 'Data nguồn'!D:D, $D133, 'Data nguồn'!F:F, $B$1, 'Data nguồn'!C:C, I$3)</f>
      </c>
      <c r="J133" s="8">
        <f>SUMIFS('Data nguồn'!H:H, 'Data nguồn'!D:D, $D133, 'Data nguồn'!F:F, $B$1, 'Data nguồn'!C:C, J$3)</f>
      </c>
      <c r="K133" s="8">
        <f>SUMIFS('Data nguồn'!H:H, 'Data nguồn'!D:D, $D133, 'Data nguồn'!F:F, $B$1, 'Data nguồn'!C:C, K$3)</f>
      </c>
      <c r="L133" s="8">
        <f>SUMIFS('Data nguồn'!H:H, 'Data nguồn'!D:D, $D133, 'Data nguồn'!F:F, $B$1, 'Data nguồn'!C:C, L$3)</f>
      </c>
      <c r="M133" s="8">
        <f>SUMIFS('Data nguồn'!H:H, 'Data nguồn'!D:D, $D133, 'Data nguồn'!F:F, $B$1, 'Data nguồn'!C:C, M$3)</f>
      </c>
      <c r="N133" s="8">
        <f>SUMIFS('Data nguồn'!H:H, 'Data nguồn'!D:D, $D133, 'Data nguồn'!F:F, $B$1, 'Data nguồn'!C:C, N$3)</f>
      </c>
      <c r="O133" s="8">
        <f>SUMIFS('Data nguồn'!H:H, 'Data nguồn'!D:D, $D133, 'Data nguồn'!F:F, $B$1, 'Data nguồn'!C:C, O$3)</f>
      </c>
      <c r="P133" s="8">
        <f>SUMIFS('Data nguồn'!H:H, 'Data nguồn'!D:D, $D133, 'Data nguồn'!F:F, $B$1, 'Data nguồn'!C:C, P$3)</f>
      </c>
      <c r="Q133" s="8">
        <f>SUMIFS('Data nguồn'!H:H, 'Data nguồn'!D:D, $D133, 'Data nguồn'!F:F, $B$1, 'Data nguồn'!C:C, Q$3)</f>
      </c>
      <c r="R133" s="8">
        <f>SUMIFS('Data nguồn'!H:H, 'Data nguồn'!D:D, $D133, 'Data nguồn'!F:F, $B$1, 'Data nguồn'!C:C, R$3)</f>
      </c>
      <c r="S133" s="8">
        <f>SUMIFS('Data nguồn'!H:H, 'Data nguồn'!D:D, $D133, 'Data nguồn'!F:F, $B$1, 'Data nguồn'!C:C, S$3)</f>
      </c>
      <c r="T133" s="8">
        <f>SUMIFS('Data nguồn'!H:H, 'Data nguồn'!D:D, $D133, 'Data nguồn'!F:F, $B$1, 'Data nguồn'!C:C, T$3)</f>
      </c>
      <c r="V133" s="8">
        <f>SUM(E133:P133)</f>
      </c>
      <c r="W133" s="8">
        <f>SUM(Q133:T133)</f>
      </c>
      <c r="X133" s="8">
        <f>AVERAGE(R133:T133)</f>
      </c>
      <c r="Y133" s="8">
        <f>AVERAGE(O133:T133)</f>
      </c>
      <c r="Z133" s="8">
        <f>AVERAGE(L133:T133)</f>
      </c>
      <c r="AA133" s="4">
        <f>IFERROR((X133*2)/(Y133+Z133), 0)</f>
      </c>
      <c r="AB133" s="4">
        <f>IFERROR(W133/SUM(E133:H133), 0)</f>
      </c>
      <c r="AC133" s="4">
        <f>IFERROR(W133/SUM(E133:H133), 0)</f>
      </c>
      <c r="AD133" s="4">
        <f>IFERROR(T133/H133, 0)</f>
      </c>
    </row>
    <row r="134" ht="20" customHeight="1" spans="1:30" x14ac:dyDescent="0.25">
      <c r="A134">
        <v>131</v>
      </c>
      <c r="B134" t="s">
        <v>297</v>
      </c>
      <c r="C134" t="s">
        <v>364</v>
      </c>
      <c r="D134" s="2" t="s">
        <v>297</v>
      </c>
      <c r="E134" s="8">
        <f>SUMIFS('Data nguồn'!H:H, 'Data nguồn'!D:D, $D134, 'Data nguồn'!F:F, $B$1, 'Data nguồn'!C:C, E$3)</f>
      </c>
      <c r="F134" s="8">
        <f>SUMIFS('Data nguồn'!H:H, 'Data nguồn'!D:D, $D134, 'Data nguồn'!F:F, $B$1, 'Data nguồn'!C:C, F$3)</f>
      </c>
      <c r="G134" s="8">
        <f>SUMIFS('Data nguồn'!H:H, 'Data nguồn'!D:D, $D134, 'Data nguồn'!F:F, $B$1, 'Data nguồn'!C:C, G$3)</f>
      </c>
      <c r="H134" s="8">
        <f>SUMIFS('Data nguồn'!H:H, 'Data nguồn'!D:D, $D134, 'Data nguồn'!F:F, $B$1, 'Data nguồn'!C:C, H$3)</f>
      </c>
      <c r="I134" s="8">
        <f>SUMIFS('Data nguồn'!H:H, 'Data nguồn'!D:D, $D134, 'Data nguồn'!F:F, $B$1, 'Data nguồn'!C:C, I$3)</f>
      </c>
      <c r="J134" s="8">
        <f>SUMIFS('Data nguồn'!H:H, 'Data nguồn'!D:D, $D134, 'Data nguồn'!F:F, $B$1, 'Data nguồn'!C:C, J$3)</f>
      </c>
      <c r="K134" s="8">
        <f>SUMIFS('Data nguồn'!H:H, 'Data nguồn'!D:D, $D134, 'Data nguồn'!F:F, $B$1, 'Data nguồn'!C:C, K$3)</f>
      </c>
      <c r="L134" s="8">
        <f>SUMIFS('Data nguồn'!H:H, 'Data nguồn'!D:D, $D134, 'Data nguồn'!F:F, $B$1, 'Data nguồn'!C:C, L$3)</f>
      </c>
      <c r="M134" s="8">
        <f>SUMIFS('Data nguồn'!H:H, 'Data nguồn'!D:D, $D134, 'Data nguồn'!F:F, $B$1, 'Data nguồn'!C:C, M$3)</f>
      </c>
      <c r="N134" s="8">
        <f>SUMIFS('Data nguồn'!H:H, 'Data nguồn'!D:D, $D134, 'Data nguồn'!F:F, $B$1, 'Data nguồn'!C:C, N$3)</f>
      </c>
      <c r="O134" s="8">
        <f>SUMIFS('Data nguồn'!H:H, 'Data nguồn'!D:D, $D134, 'Data nguồn'!F:F, $B$1, 'Data nguồn'!C:C, O$3)</f>
      </c>
      <c r="P134" s="8">
        <f>SUMIFS('Data nguồn'!H:H, 'Data nguồn'!D:D, $D134, 'Data nguồn'!F:F, $B$1, 'Data nguồn'!C:C, P$3)</f>
      </c>
      <c r="Q134" s="8">
        <f>SUMIFS('Data nguồn'!H:H, 'Data nguồn'!D:D, $D134, 'Data nguồn'!F:F, $B$1, 'Data nguồn'!C:C, Q$3)</f>
      </c>
      <c r="R134" s="8">
        <f>SUMIFS('Data nguồn'!H:H, 'Data nguồn'!D:D, $D134, 'Data nguồn'!F:F, $B$1, 'Data nguồn'!C:C, R$3)</f>
      </c>
      <c r="S134" s="8">
        <f>SUMIFS('Data nguồn'!H:H, 'Data nguồn'!D:D, $D134, 'Data nguồn'!F:F, $B$1, 'Data nguồn'!C:C, S$3)</f>
      </c>
      <c r="T134" s="8">
        <f>SUMIFS('Data nguồn'!H:H, 'Data nguồn'!D:D, $D134, 'Data nguồn'!F:F, $B$1, 'Data nguồn'!C:C, T$3)</f>
      </c>
      <c r="V134" s="8">
        <f>SUM(E134:P134)</f>
      </c>
      <c r="W134" s="8">
        <f>SUM(Q134:T134)</f>
      </c>
      <c r="X134" s="8">
        <f>AVERAGE(R134:T134)</f>
      </c>
      <c r="Y134" s="8">
        <f>AVERAGE(O134:T134)</f>
      </c>
      <c r="Z134" s="8">
        <f>AVERAGE(L134:T134)</f>
      </c>
      <c r="AA134" s="4">
        <f>IFERROR((X134*2)/(Y134+Z134), 0)</f>
      </c>
      <c r="AB134" s="4">
        <f>IFERROR(W134/SUM(E134:H134), 0)</f>
      </c>
      <c r="AC134" s="4">
        <f>IFERROR(W134/SUM(E134:H134), 0)</f>
      </c>
      <c r="AD134" s="4">
        <f>IFERROR(T134/H134, 0)</f>
      </c>
    </row>
    <row r="135" ht="20" customHeight="1" spans="1:30" x14ac:dyDescent="0.25">
      <c r="A135">
        <v>132</v>
      </c>
      <c r="B135" t="s">
        <v>298</v>
      </c>
      <c r="C135" t="s">
        <v>369</v>
      </c>
      <c r="D135" s="2" t="s">
        <v>298</v>
      </c>
      <c r="E135" s="8">
        <f>SUMIFS('Data nguồn'!H:H, 'Data nguồn'!D:D, $D135, 'Data nguồn'!F:F, $B$1, 'Data nguồn'!C:C, E$3)</f>
      </c>
      <c r="F135" s="8">
        <f>SUMIFS('Data nguồn'!H:H, 'Data nguồn'!D:D, $D135, 'Data nguồn'!F:F, $B$1, 'Data nguồn'!C:C, F$3)</f>
      </c>
      <c r="G135" s="8">
        <f>SUMIFS('Data nguồn'!H:H, 'Data nguồn'!D:D, $D135, 'Data nguồn'!F:F, $B$1, 'Data nguồn'!C:C, G$3)</f>
      </c>
      <c r="H135" s="8">
        <f>SUMIFS('Data nguồn'!H:H, 'Data nguồn'!D:D, $D135, 'Data nguồn'!F:F, $B$1, 'Data nguồn'!C:C, H$3)</f>
      </c>
      <c r="I135" s="8">
        <f>SUMIFS('Data nguồn'!H:H, 'Data nguồn'!D:D, $D135, 'Data nguồn'!F:F, $B$1, 'Data nguồn'!C:C, I$3)</f>
      </c>
      <c r="J135" s="8">
        <f>SUMIFS('Data nguồn'!H:H, 'Data nguồn'!D:D, $D135, 'Data nguồn'!F:F, $B$1, 'Data nguồn'!C:C, J$3)</f>
      </c>
      <c r="K135" s="8">
        <f>SUMIFS('Data nguồn'!H:H, 'Data nguồn'!D:D, $D135, 'Data nguồn'!F:F, $B$1, 'Data nguồn'!C:C, K$3)</f>
      </c>
      <c r="L135" s="8">
        <f>SUMIFS('Data nguồn'!H:H, 'Data nguồn'!D:D, $D135, 'Data nguồn'!F:F, $B$1, 'Data nguồn'!C:C, L$3)</f>
      </c>
      <c r="M135" s="8">
        <f>SUMIFS('Data nguồn'!H:H, 'Data nguồn'!D:D, $D135, 'Data nguồn'!F:F, $B$1, 'Data nguồn'!C:C, M$3)</f>
      </c>
      <c r="N135" s="8">
        <f>SUMIFS('Data nguồn'!H:H, 'Data nguồn'!D:D, $D135, 'Data nguồn'!F:F, $B$1, 'Data nguồn'!C:C, N$3)</f>
      </c>
      <c r="O135" s="8">
        <f>SUMIFS('Data nguồn'!H:H, 'Data nguồn'!D:D, $D135, 'Data nguồn'!F:F, $B$1, 'Data nguồn'!C:C, O$3)</f>
      </c>
      <c r="P135" s="8">
        <f>SUMIFS('Data nguồn'!H:H, 'Data nguồn'!D:D, $D135, 'Data nguồn'!F:F, $B$1, 'Data nguồn'!C:C, P$3)</f>
      </c>
      <c r="Q135" s="8">
        <f>SUMIFS('Data nguồn'!H:H, 'Data nguồn'!D:D, $D135, 'Data nguồn'!F:F, $B$1, 'Data nguồn'!C:C, Q$3)</f>
      </c>
      <c r="R135" s="8">
        <f>SUMIFS('Data nguồn'!H:H, 'Data nguồn'!D:D, $D135, 'Data nguồn'!F:F, $B$1, 'Data nguồn'!C:C, R$3)</f>
      </c>
      <c r="S135" s="8">
        <f>SUMIFS('Data nguồn'!H:H, 'Data nguồn'!D:D, $D135, 'Data nguồn'!F:F, $B$1, 'Data nguồn'!C:C, S$3)</f>
      </c>
      <c r="T135" s="8">
        <f>SUMIFS('Data nguồn'!H:H, 'Data nguồn'!D:D, $D135, 'Data nguồn'!F:F, $B$1, 'Data nguồn'!C:C, T$3)</f>
      </c>
      <c r="V135" s="8">
        <f>SUM(E135:P135)</f>
      </c>
      <c r="W135" s="8">
        <f>SUM(Q135:T135)</f>
      </c>
      <c r="X135" s="8">
        <f>AVERAGE(R135:T135)</f>
      </c>
      <c r="Y135" s="8">
        <f>AVERAGE(O135:T135)</f>
      </c>
      <c r="Z135" s="8">
        <f>AVERAGE(L135:T135)</f>
      </c>
      <c r="AA135" s="4">
        <f>IFERROR((X135*2)/(Y135+Z135), 0)</f>
      </c>
      <c r="AB135" s="4">
        <f>IFERROR(W135/SUM(E135:H135), 0)</f>
      </c>
      <c r="AC135" s="4">
        <f>IFERROR(W135/SUM(E135:H135), 0)</f>
      </c>
      <c r="AD135" s="4">
        <f>IFERROR(T135/H135, 0)</f>
      </c>
    </row>
    <row r="136" ht="20" customHeight="1" spans="1:30" x14ac:dyDescent="0.25">
      <c r="A136">
        <v>133</v>
      </c>
      <c r="B136" t="s">
        <v>299</v>
      </c>
      <c r="C136" t="s">
        <v>369</v>
      </c>
      <c r="D136" s="2" t="s">
        <v>299</v>
      </c>
      <c r="E136" s="8">
        <f>SUMIFS('Data nguồn'!H:H, 'Data nguồn'!D:D, $D136, 'Data nguồn'!F:F, $B$1, 'Data nguồn'!C:C, E$3)</f>
      </c>
      <c r="F136" s="8">
        <f>SUMIFS('Data nguồn'!H:H, 'Data nguồn'!D:D, $D136, 'Data nguồn'!F:F, $B$1, 'Data nguồn'!C:C, F$3)</f>
      </c>
      <c r="G136" s="8">
        <f>SUMIFS('Data nguồn'!H:H, 'Data nguồn'!D:D, $D136, 'Data nguồn'!F:F, $B$1, 'Data nguồn'!C:C, G$3)</f>
      </c>
      <c r="H136" s="8">
        <f>SUMIFS('Data nguồn'!H:H, 'Data nguồn'!D:D, $D136, 'Data nguồn'!F:F, $B$1, 'Data nguồn'!C:C, H$3)</f>
      </c>
      <c r="I136" s="8">
        <f>SUMIFS('Data nguồn'!H:H, 'Data nguồn'!D:D, $D136, 'Data nguồn'!F:F, $B$1, 'Data nguồn'!C:C, I$3)</f>
      </c>
      <c r="J136" s="8">
        <f>SUMIFS('Data nguồn'!H:H, 'Data nguồn'!D:D, $D136, 'Data nguồn'!F:F, $B$1, 'Data nguồn'!C:C, J$3)</f>
      </c>
      <c r="K136" s="8">
        <f>SUMIFS('Data nguồn'!H:H, 'Data nguồn'!D:D, $D136, 'Data nguồn'!F:F, $B$1, 'Data nguồn'!C:C, K$3)</f>
      </c>
      <c r="L136" s="8">
        <f>SUMIFS('Data nguồn'!H:H, 'Data nguồn'!D:D, $D136, 'Data nguồn'!F:F, $B$1, 'Data nguồn'!C:C, L$3)</f>
      </c>
      <c r="M136" s="8">
        <f>SUMIFS('Data nguồn'!H:H, 'Data nguồn'!D:D, $D136, 'Data nguồn'!F:F, $B$1, 'Data nguồn'!C:C, M$3)</f>
      </c>
      <c r="N136" s="8">
        <f>SUMIFS('Data nguồn'!H:H, 'Data nguồn'!D:D, $D136, 'Data nguồn'!F:F, $B$1, 'Data nguồn'!C:C, N$3)</f>
      </c>
      <c r="O136" s="8">
        <f>SUMIFS('Data nguồn'!H:H, 'Data nguồn'!D:D, $D136, 'Data nguồn'!F:F, $B$1, 'Data nguồn'!C:C, O$3)</f>
      </c>
      <c r="P136" s="8">
        <f>SUMIFS('Data nguồn'!H:H, 'Data nguồn'!D:D, $D136, 'Data nguồn'!F:F, $B$1, 'Data nguồn'!C:C, P$3)</f>
      </c>
      <c r="Q136" s="8">
        <f>SUMIFS('Data nguồn'!H:H, 'Data nguồn'!D:D, $D136, 'Data nguồn'!F:F, $B$1, 'Data nguồn'!C:C, Q$3)</f>
      </c>
      <c r="R136" s="8">
        <f>SUMIFS('Data nguồn'!H:H, 'Data nguồn'!D:D, $D136, 'Data nguồn'!F:F, $B$1, 'Data nguồn'!C:C, R$3)</f>
      </c>
      <c r="S136" s="8">
        <f>SUMIFS('Data nguồn'!H:H, 'Data nguồn'!D:D, $D136, 'Data nguồn'!F:F, $B$1, 'Data nguồn'!C:C, S$3)</f>
      </c>
      <c r="T136" s="8">
        <f>SUMIFS('Data nguồn'!H:H, 'Data nguồn'!D:D, $D136, 'Data nguồn'!F:F, $B$1, 'Data nguồn'!C:C, T$3)</f>
      </c>
      <c r="V136" s="8">
        <f>SUM(E136:P136)</f>
      </c>
      <c r="W136" s="8">
        <f>SUM(Q136:T136)</f>
      </c>
      <c r="X136" s="8">
        <f>AVERAGE(R136:T136)</f>
      </c>
      <c r="Y136" s="8">
        <f>AVERAGE(O136:T136)</f>
      </c>
      <c r="Z136" s="8">
        <f>AVERAGE(L136:T136)</f>
      </c>
      <c r="AA136" s="4">
        <f>IFERROR((X136*2)/(Y136+Z136), 0)</f>
      </c>
      <c r="AB136" s="4">
        <f>IFERROR(W136/SUM(E136:H136), 0)</f>
      </c>
      <c r="AC136" s="4">
        <f>IFERROR(W136/SUM(E136:H136), 0)</f>
      </c>
      <c r="AD136" s="4">
        <f>IFERROR(T136/H136, 0)</f>
      </c>
    </row>
    <row r="137" ht="20" customHeight="1" spans="1:30" x14ac:dyDescent="0.25">
      <c r="A137">
        <v>134</v>
      </c>
      <c r="B137" t="s">
        <v>300</v>
      </c>
      <c r="C137" t="s">
        <v>364</v>
      </c>
      <c r="D137" s="2" t="s">
        <v>300</v>
      </c>
      <c r="E137" s="8">
        <f>SUMIFS('Data nguồn'!H:H, 'Data nguồn'!D:D, $D137, 'Data nguồn'!F:F, $B$1, 'Data nguồn'!C:C, E$3)</f>
      </c>
      <c r="F137" s="8">
        <f>SUMIFS('Data nguồn'!H:H, 'Data nguồn'!D:D, $D137, 'Data nguồn'!F:F, $B$1, 'Data nguồn'!C:C, F$3)</f>
      </c>
      <c r="G137" s="8">
        <f>SUMIFS('Data nguồn'!H:H, 'Data nguồn'!D:D, $D137, 'Data nguồn'!F:F, $B$1, 'Data nguồn'!C:C, G$3)</f>
      </c>
      <c r="H137" s="8">
        <f>SUMIFS('Data nguồn'!H:H, 'Data nguồn'!D:D, $D137, 'Data nguồn'!F:F, $B$1, 'Data nguồn'!C:C, H$3)</f>
      </c>
      <c r="I137" s="8">
        <f>SUMIFS('Data nguồn'!H:H, 'Data nguồn'!D:D, $D137, 'Data nguồn'!F:F, $B$1, 'Data nguồn'!C:C, I$3)</f>
      </c>
      <c r="J137" s="8">
        <f>SUMIFS('Data nguồn'!H:H, 'Data nguồn'!D:D, $D137, 'Data nguồn'!F:F, $B$1, 'Data nguồn'!C:C, J$3)</f>
      </c>
      <c r="K137" s="8">
        <f>SUMIFS('Data nguồn'!H:H, 'Data nguồn'!D:D, $D137, 'Data nguồn'!F:F, $B$1, 'Data nguồn'!C:C, K$3)</f>
      </c>
      <c r="L137" s="8">
        <f>SUMIFS('Data nguồn'!H:H, 'Data nguồn'!D:D, $D137, 'Data nguồn'!F:F, $B$1, 'Data nguồn'!C:C, L$3)</f>
      </c>
      <c r="M137" s="8">
        <f>SUMIFS('Data nguồn'!H:H, 'Data nguồn'!D:D, $D137, 'Data nguồn'!F:F, $B$1, 'Data nguồn'!C:C, M$3)</f>
      </c>
      <c r="N137" s="8">
        <f>SUMIFS('Data nguồn'!H:H, 'Data nguồn'!D:D, $D137, 'Data nguồn'!F:F, $B$1, 'Data nguồn'!C:C, N$3)</f>
      </c>
      <c r="O137" s="8">
        <f>SUMIFS('Data nguồn'!H:H, 'Data nguồn'!D:D, $D137, 'Data nguồn'!F:F, $B$1, 'Data nguồn'!C:C, O$3)</f>
      </c>
      <c r="P137" s="8">
        <f>SUMIFS('Data nguồn'!H:H, 'Data nguồn'!D:D, $D137, 'Data nguồn'!F:F, $B$1, 'Data nguồn'!C:C, P$3)</f>
      </c>
      <c r="Q137" s="8">
        <f>SUMIFS('Data nguồn'!H:H, 'Data nguồn'!D:D, $D137, 'Data nguồn'!F:F, $B$1, 'Data nguồn'!C:C, Q$3)</f>
      </c>
      <c r="R137" s="8">
        <f>SUMIFS('Data nguồn'!H:H, 'Data nguồn'!D:D, $D137, 'Data nguồn'!F:F, $B$1, 'Data nguồn'!C:C, R$3)</f>
      </c>
      <c r="S137" s="8">
        <f>SUMIFS('Data nguồn'!H:H, 'Data nguồn'!D:D, $D137, 'Data nguồn'!F:F, $B$1, 'Data nguồn'!C:C, S$3)</f>
      </c>
      <c r="T137" s="8">
        <f>SUMIFS('Data nguồn'!H:H, 'Data nguồn'!D:D, $D137, 'Data nguồn'!F:F, $B$1, 'Data nguồn'!C:C, T$3)</f>
      </c>
      <c r="V137" s="8">
        <f>SUM(E137:P137)</f>
      </c>
      <c r="W137" s="8">
        <f>SUM(Q137:T137)</f>
      </c>
      <c r="X137" s="8">
        <f>AVERAGE(R137:T137)</f>
      </c>
      <c r="Y137" s="8">
        <f>AVERAGE(O137:T137)</f>
      </c>
      <c r="Z137" s="8">
        <f>AVERAGE(L137:T137)</f>
      </c>
      <c r="AA137" s="4">
        <f>IFERROR((X137*2)/(Y137+Z137), 0)</f>
      </c>
      <c r="AB137" s="4">
        <f>IFERROR(W137/SUM(E137:H137), 0)</f>
      </c>
      <c r="AC137" s="4">
        <f>IFERROR(W137/SUM(E137:H137), 0)</f>
      </c>
      <c r="AD137" s="4">
        <f>IFERROR(T137/H137, 0)</f>
      </c>
    </row>
    <row r="138" ht="20" customHeight="1" spans="1:30" x14ac:dyDescent="0.25">
      <c r="A138">
        <v>135</v>
      </c>
      <c r="B138" t="s">
        <v>301</v>
      </c>
      <c r="C138" t="s">
        <v>364</v>
      </c>
      <c r="D138" s="2" t="s">
        <v>301</v>
      </c>
      <c r="E138" s="8">
        <f>SUMIFS('Data nguồn'!H:H, 'Data nguồn'!D:D, $D138, 'Data nguồn'!F:F, $B$1, 'Data nguồn'!C:C, E$3)</f>
      </c>
      <c r="F138" s="8">
        <f>SUMIFS('Data nguồn'!H:H, 'Data nguồn'!D:D, $D138, 'Data nguồn'!F:F, $B$1, 'Data nguồn'!C:C, F$3)</f>
      </c>
      <c r="G138" s="8">
        <f>SUMIFS('Data nguồn'!H:H, 'Data nguồn'!D:D, $D138, 'Data nguồn'!F:F, $B$1, 'Data nguồn'!C:C, G$3)</f>
      </c>
      <c r="H138" s="8">
        <f>SUMIFS('Data nguồn'!H:H, 'Data nguồn'!D:D, $D138, 'Data nguồn'!F:F, $B$1, 'Data nguồn'!C:C, H$3)</f>
      </c>
      <c r="I138" s="8">
        <f>SUMIFS('Data nguồn'!H:H, 'Data nguồn'!D:D, $D138, 'Data nguồn'!F:F, $B$1, 'Data nguồn'!C:C, I$3)</f>
      </c>
      <c r="J138" s="8">
        <f>SUMIFS('Data nguồn'!H:H, 'Data nguồn'!D:D, $D138, 'Data nguồn'!F:F, $B$1, 'Data nguồn'!C:C, J$3)</f>
      </c>
      <c r="K138" s="8">
        <f>SUMIFS('Data nguồn'!H:H, 'Data nguồn'!D:D, $D138, 'Data nguồn'!F:F, $B$1, 'Data nguồn'!C:C, K$3)</f>
      </c>
      <c r="L138" s="8">
        <f>SUMIFS('Data nguồn'!H:H, 'Data nguồn'!D:D, $D138, 'Data nguồn'!F:F, $B$1, 'Data nguồn'!C:C, L$3)</f>
      </c>
      <c r="M138" s="8">
        <f>SUMIFS('Data nguồn'!H:H, 'Data nguồn'!D:D, $D138, 'Data nguồn'!F:F, $B$1, 'Data nguồn'!C:C, M$3)</f>
      </c>
      <c r="N138" s="8">
        <f>SUMIFS('Data nguồn'!H:H, 'Data nguồn'!D:D, $D138, 'Data nguồn'!F:F, $B$1, 'Data nguồn'!C:C, N$3)</f>
      </c>
      <c r="O138" s="8">
        <f>SUMIFS('Data nguồn'!H:H, 'Data nguồn'!D:D, $D138, 'Data nguồn'!F:F, $B$1, 'Data nguồn'!C:C, O$3)</f>
      </c>
      <c r="P138" s="8">
        <f>SUMIFS('Data nguồn'!H:H, 'Data nguồn'!D:D, $D138, 'Data nguồn'!F:F, $B$1, 'Data nguồn'!C:C, P$3)</f>
      </c>
      <c r="Q138" s="8">
        <f>SUMIFS('Data nguồn'!H:H, 'Data nguồn'!D:D, $D138, 'Data nguồn'!F:F, $B$1, 'Data nguồn'!C:C, Q$3)</f>
      </c>
      <c r="R138" s="8">
        <f>SUMIFS('Data nguồn'!H:H, 'Data nguồn'!D:D, $D138, 'Data nguồn'!F:F, $B$1, 'Data nguồn'!C:C, R$3)</f>
      </c>
      <c r="S138" s="8">
        <f>SUMIFS('Data nguồn'!H:H, 'Data nguồn'!D:D, $D138, 'Data nguồn'!F:F, $B$1, 'Data nguồn'!C:C, S$3)</f>
      </c>
      <c r="T138" s="8">
        <f>SUMIFS('Data nguồn'!H:H, 'Data nguồn'!D:D, $D138, 'Data nguồn'!F:F, $B$1, 'Data nguồn'!C:C, T$3)</f>
      </c>
      <c r="V138" s="8">
        <f>SUM(E138:P138)</f>
      </c>
      <c r="W138" s="8">
        <f>SUM(Q138:T138)</f>
      </c>
      <c r="X138" s="8">
        <f>AVERAGE(R138:T138)</f>
      </c>
      <c r="Y138" s="8">
        <f>AVERAGE(O138:T138)</f>
      </c>
      <c r="Z138" s="8">
        <f>AVERAGE(L138:T138)</f>
      </c>
      <c r="AA138" s="4">
        <f>IFERROR((X138*2)/(Y138+Z138), 0)</f>
      </c>
      <c r="AB138" s="4">
        <f>IFERROR(W138/SUM(E138:H138), 0)</f>
      </c>
      <c r="AC138" s="4">
        <f>IFERROR(W138/SUM(E138:H138), 0)</f>
      </c>
      <c r="AD138" s="4">
        <f>IFERROR(T138/H138, 0)</f>
      </c>
    </row>
    <row r="139" ht="20" customHeight="1" spans="1:30" x14ac:dyDescent="0.25">
      <c r="A139">
        <v>136</v>
      </c>
      <c r="B139" t="s">
        <v>302</v>
      </c>
      <c r="C139" t="s">
        <v>364</v>
      </c>
      <c r="D139" s="2" t="s">
        <v>302</v>
      </c>
      <c r="E139" s="8">
        <f>SUMIFS('Data nguồn'!H:H, 'Data nguồn'!D:D, $D139, 'Data nguồn'!F:F, $B$1, 'Data nguồn'!C:C, E$3)</f>
      </c>
      <c r="F139" s="8">
        <f>SUMIFS('Data nguồn'!H:H, 'Data nguồn'!D:D, $D139, 'Data nguồn'!F:F, $B$1, 'Data nguồn'!C:C, F$3)</f>
      </c>
      <c r="G139" s="8">
        <f>SUMIFS('Data nguồn'!H:H, 'Data nguồn'!D:D, $D139, 'Data nguồn'!F:F, $B$1, 'Data nguồn'!C:C, G$3)</f>
      </c>
      <c r="H139" s="8">
        <f>SUMIFS('Data nguồn'!H:H, 'Data nguồn'!D:D, $D139, 'Data nguồn'!F:F, $B$1, 'Data nguồn'!C:C, H$3)</f>
      </c>
      <c r="I139" s="8">
        <f>SUMIFS('Data nguồn'!H:H, 'Data nguồn'!D:D, $D139, 'Data nguồn'!F:F, $B$1, 'Data nguồn'!C:C, I$3)</f>
      </c>
      <c r="J139" s="8">
        <f>SUMIFS('Data nguồn'!H:H, 'Data nguồn'!D:D, $D139, 'Data nguồn'!F:F, $B$1, 'Data nguồn'!C:C, J$3)</f>
      </c>
      <c r="K139" s="8">
        <f>SUMIFS('Data nguồn'!H:H, 'Data nguồn'!D:D, $D139, 'Data nguồn'!F:F, $B$1, 'Data nguồn'!C:C, K$3)</f>
      </c>
      <c r="L139" s="8">
        <f>SUMIFS('Data nguồn'!H:H, 'Data nguồn'!D:D, $D139, 'Data nguồn'!F:F, $B$1, 'Data nguồn'!C:C, L$3)</f>
      </c>
      <c r="M139" s="8">
        <f>SUMIFS('Data nguồn'!H:H, 'Data nguồn'!D:D, $D139, 'Data nguồn'!F:F, $B$1, 'Data nguồn'!C:C, M$3)</f>
      </c>
      <c r="N139" s="8">
        <f>SUMIFS('Data nguồn'!H:H, 'Data nguồn'!D:D, $D139, 'Data nguồn'!F:F, $B$1, 'Data nguồn'!C:C, N$3)</f>
      </c>
      <c r="O139" s="8">
        <f>SUMIFS('Data nguồn'!H:H, 'Data nguồn'!D:D, $D139, 'Data nguồn'!F:F, $B$1, 'Data nguồn'!C:C, O$3)</f>
      </c>
      <c r="P139" s="8">
        <f>SUMIFS('Data nguồn'!H:H, 'Data nguồn'!D:D, $D139, 'Data nguồn'!F:F, $B$1, 'Data nguồn'!C:C, P$3)</f>
      </c>
      <c r="Q139" s="8">
        <f>SUMIFS('Data nguồn'!H:H, 'Data nguồn'!D:D, $D139, 'Data nguồn'!F:F, $B$1, 'Data nguồn'!C:C, Q$3)</f>
      </c>
      <c r="R139" s="8">
        <f>SUMIFS('Data nguồn'!H:H, 'Data nguồn'!D:D, $D139, 'Data nguồn'!F:F, $B$1, 'Data nguồn'!C:C, R$3)</f>
      </c>
      <c r="S139" s="8">
        <f>SUMIFS('Data nguồn'!H:H, 'Data nguồn'!D:D, $D139, 'Data nguồn'!F:F, $B$1, 'Data nguồn'!C:C, S$3)</f>
      </c>
      <c r="T139" s="8">
        <f>SUMIFS('Data nguồn'!H:H, 'Data nguồn'!D:D, $D139, 'Data nguồn'!F:F, $B$1, 'Data nguồn'!C:C, T$3)</f>
      </c>
      <c r="V139" s="8">
        <f>SUM(E139:P139)</f>
      </c>
      <c r="W139" s="8">
        <f>SUM(Q139:T139)</f>
      </c>
      <c r="X139" s="8">
        <f>AVERAGE(R139:T139)</f>
      </c>
      <c r="Y139" s="8">
        <f>AVERAGE(O139:T139)</f>
      </c>
      <c r="Z139" s="8">
        <f>AVERAGE(L139:T139)</f>
      </c>
      <c r="AA139" s="4">
        <f>IFERROR((X139*2)/(Y139+Z139), 0)</f>
      </c>
      <c r="AB139" s="4">
        <f>IFERROR(W139/SUM(E139:H139), 0)</f>
      </c>
      <c r="AC139" s="4">
        <f>IFERROR(W139/SUM(E139:H139), 0)</f>
      </c>
      <c r="AD139" s="4">
        <f>IFERROR(T139/H139, 0)</f>
      </c>
    </row>
    <row r="140" ht="20" customHeight="1" spans="1:30" x14ac:dyDescent="0.25">
      <c r="A140">
        <v>137</v>
      </c>
      <c r="B140" t="s">
        <v>303</v>
      </c>
      <c r="C140" t="s">
        <v>366</v>
      </c>
      <c r="D140" s="2" t="s">
        <v>303</v>
      </c>
      <c r="E140" s="8">
        <f>SUMIFS('Data nguồn'!H:H, 'Data nguồn'!D:D, $D140, 'Data nguồn'!F:F, $B$1, 'Data nguồn'!C:C, E$3)</f>
      </c>
      <c r="F140" s="8">
        <f>SUMIFS('Data nguồn'!H:H, 'Data nguồn'!D:D, $D140, 'Data nguồn'!F:F, $B$1, 'Data nguồn'!C:C, F$3)</f>
      </c>
      <c r="G140" s="8">
        <f>SUMIFS('Data nguồn'!H:H, 'Data nguồn'!D:D, $D140, 'Data nguồn'!F:F, $B$1, 'Data nguồn'!C:C, G$3)</f>
      </c>
      <c r="H140" s="8">
        <f>SUMIFS('Data nguồn'!H:H, 'Data nguồn'!D:D, $D140, 'Data nguồn'!F:F, $B$1, 'Data nguồn'!C:C, H$3)</f>
      </c>
      <c r="I140" s="8">
        <f>SUMIFS('Data nguồn'!H:H, 'Data nguồn'!D:D, $D140, 'Data nguồn'!F:F, $B$1, 'Data nguồn'!C:C, I$3)</f>
      </c>
      <c r="J140" s="8">
        <f>SUMIFS('Data nguồn'!H:H, 'Data nguồn'!D:D, $D140, 'Data nguồn'!F:F, $B$1, 'Data nguồn'!C:C, J$3)</f>
      </c>
      <c r="K140" s="8">
        <f>SUMIFS('Data nguồn'!H:H, 'Data nguồn'!D:D, $D140, 'Data nguồn'!F:F, $B$1, 'Data nguồn'!C:C, K$3)</f>
      </c>
      <c r="L140" s="8">
        <f>SUMIFS('Data nguồn'!H:H, 'Data nguồn'!D:D, $D140, 'Data nguồn'!F:F, $B$1, 'Data nguồn'!C:C, L$3)</f>
      </c>
      <c r="M140" s="8">
        <f>SUMIFS('Data nguồn'!H:H, 'Data nguồn'!D:D, $D140, 'Data nguồn'!F:F, $B$1, 'Data nguồn'!C:C, M$3)</f>
      </c>
      <c r="N140" s="8">
        <f>SUMIFS('Data nguồn'!H:H, 'Data nguồn'!D:D, $D140, 'Data nguồn'!F:F, $B$1, 'Data nguồn'!C:C, N$3)</f>
      </c>
      <c r="O140" s="8">
        <f>SUMIFS('Data nguồn'!H:H, 'Data nguồn'!D:D, $D140, 'Data nguồn'!F:F, $B$1, 'Data nguồn'!C:C, O$3)</f>
      </c>
      <c r="P140" s="8">
        <f>SUMIFS('Data nguồn'!H:H, 'Data nguồn'!D:D, $D140, 'Data nguồn'!F:F, $B$1, 'Data nguồn'!C:C, P$3)</f>
      </c>
      <c r="Q140" s="8">
        <f>SUMIFS('Data nguồn'!H:H, 'Data nguồn'!D:D, $D140, 'Data nguồn'!F:F, $B$1, 'Data nguồn'!C:C, Q$3)</f>
      </c>
      <c r="R140" s="8">
        <f>SUMIFS('Data nguồn'!H:H, 'Data nguồn'!D:D, $D140, 'Data nguồn'!F:F, $B$1, 'Data nguồn'!C:C, R$3)</f>
      </c>
      <c r="S140" s="8">
        <f>SUMIFS('Data nguồn'!H:H, 'Data nguồn'!D:D, $D140, 'Data nguồn'!F:F, $B$1, 'Data nguồn'!C:C, S$3)</f>
      </c>
      <c r="T140" s="8">
        <f>SUMIFS('Data nguồn'!H:H, 'Data nguồn'!D:D, $D140, 'Data nguồn'!F:F, $B$1, 'Data nguồn'!C:C, T$3)</f>
      </c>
      <c r="V140" s="8">
        <f>SUM(E140:P140)</f>
      </c>
      <c r="W140" s="8">
        <f>SUM(Q140:T140)</f>
      </c>
      <c r="X140" s="8">
        <f>AVERAGE(R140:T140)</f>
      </c>
      <c r="Y140" s="8">
        <f>AVERAGE(O140:T140)</f>
      </c>
      <c r="Z140" s="8">
        <f>AVERAGE(L140:T140)</f>
      </c>
      <c r="AA140" s="4">
        <f>IFERROR((X140*2)/(Y140+Z140), 0)</f>
      </c>
      <c r="AB140" s="4">
        <f>IFERROR(W140/SUM(E140:H140), 0)</f>
      </c>
      <c r="AC140" s="4">
        <f>IFERROR(W140/SUM(E140:H140), 0)</f>
      </c>
      <c r="AD140" s="4">
        <f>IFERROR(T140/H140, 0)</f>
      </c>
    </row>
    <row r="141" ht="20" customHeight="1" spans="1:30" x14ac:dyDescent="0.25">
      <c r="A141">
        <v>138</v>
      </c>
      <c r="B141" t="s">
        <v>304</v>
      </c>
      <c r="C141" t="s">
        <v>366</v>
      </c>
      <c r="D141" s="2" t="s">
        <v>304</v>
      </c>
      <c r="E141" s="8">
        <f>SUMIFS('Data nguồn'!H:H, 'Data nguồn'!D:D, $D141, 'Data nguồn'!F:F, $B$1, 'Data nguồn'!C:C, E$3)</f>
      </c>
      <c r="F141" s="8">
        <f>SUMIFS('Data nguồn'!H:H, 'Data nguồn'!D:D, $D141, 'Data nguồn'!F:F, $B$1, 'Data nguồn'!C:C, F$3)</f>
      </c>
      <c r="G141" s="8">
        <f>SUMIFS('Data nguồn'!H:H, 'Data nguồn'!D:D, $D141, 'Data nguồn'!F:F, $B$1, 'Data nguồn'!C:C, G$3)</f>
      </c>
      <c r="H141" s="8">
        <f>SUMIFS('Data nguồn'!H:H, 'Data nguồn'!D:D, $D141, 'Data nguồn'!F:F, $B$1, 'Data nguồn'!C:C, H$3)</f>
      </c>
      <c r="I141" s="8">
        <f>SUMIFS('Data nguồn'!H:H, 'Data nguồn'!D:D, $D141, 'Data nguồn'!F:F, $B$1, 'Data nguồn'!C:C, I$3)</f>
      </c>
      <c r="J141" s="8">
        <f>SUMIFS('Data nguồn'!H:H, 'Data nguồn'!D:D, $D141, 'Data nguồn'!F:F, $B$1, 'Data nguồn'!C:C, J$3)</f>
      </c>
      <c r="K141" s="8">
        <f>SUMIFS('Data nguồn'!H:H, 'Data nguồn'!D:D, $D141, 'Data nguồn'!F:F, $B$1, 'Data nguồn'!C:C, K$3)</f>
      </c>
      <c r="L141" s="8">
        <f>SUMIFS('Data nguồn'!H:H, 'Data nguồn'!D:D, $D141, 'Data nguồn'!F:F, $B$1, 'Data nguồn'!C:C, L$3)</f>
      </c>
      <c r="M141" s="8">
        <f>SUMIFS('Data nguồn'!H:H, 'Data nguồn'!D:D, $D141, 'Data nguồn'!F:F, $B$1, 'Data nguồn'!C:C, M$3)</f>
      </c>
      <c r="N141" s="8">
        <f>SUMIFS('Data nguồn'!H:H, 'Data nguồn'!D:D, $D141, 'Data nguồn'!F:F, $B$1, 'Data nguồn'!C:C, N$3)</f>
      </c>
      <c r="O141" s="8">
        <f>SUMIFS('Data nguồn'!H:H, 'Data nguồn'!D:D, $D141, 'Data nguồn'!F:F, $B$1, 'Data nguồn'!C:C, O$3)</f>
      </c>
      <c r="P141" s="8">
        <f>SUMIFS('Data nguồn'!H:H, 'Data nguồn'!D:D, $D141, 'Data nguồn'!F:F, $B$1, 'Data nguồn'!C:C, P$3)</f>
      </c>
      <c r="Q141" s="8">
        <f>SUMIFS('Data nguồn'!H:H, 'Data nguồn'!D:D, $D141, 'Data nguồn'!F:F, $B$1, 'Data nguồn'!C:C, Q$3)</f>
      </c>
      <c r="R141" s="8">
        <f>SUMIFS('Data nguồn'!H:H, 'Data nguồn'!D:D, $D141, 'Data nguồn'!F:F, $B$1, 'Data nguồn'!C:C, R$3)</f>
      </c>
      <c r="S141" s="8">
        <f>SUMIFS('Data nguồn'!H:H, 'Data nguồn'!D:D, $D141, 'Data nguồn'!F:F, $B$1, 'Data nguồn'!C:C, S$3)</f>
      </c>
      <c r="T141" s="8">
        <f>SUMIFS('Data nguồn'!H:H, 'Data nguồn'!D:D, $D141, 'Data nguồn'!F:F, $B$1, 'Data nguồn'!C:C, T$3)</f>
      </c>
      <c r="V141" s="8">
        <f>SUM(E141:P141)</f>
      </c>
      <c r="W141" s="8">
        <f>SUM(Q141:T141)</f>
      </c>
      <c r="X141" s="8">
        <f>AVERAGE(R141:T141)</f>
      </c>
      <c r="Y141" s="8">
        <f>AVERAGE(O141:T141)</f>
      </c>
      <c r="Z141" s="8">
        <f>AVERAGE(L141:T141)</f>
      </c>
      <c r="AA141" s="4">
        <f>IFERROR((X141*2)/(Y141+Z141), 0)</f>
      </c>
      <c r="AB141" s="4">
        <f>IFERROR(W141/SUM(E141:H141), 0)</f>
      </c>
      <c r="AC141" s="4">
        <f>IFERROR(W141/SUM(E141:H141), 0)</f>
      </c>
      <c r="AD141" s="4">
        <f>IFERROR(T141/H141, 0)</f>
      </c>
    </row>
    <row r="142" ht="20" customHeight="1" spans="1:30" x14ac:dyDescent="0.25">
      <c r="A142">
        <v>139</v>
      </c>
      <c r="B142" t="s">
        <v>305</v>
      </c>
      <c r="C142" t="s">
        <v>366</v>
      </c>
      <c r="D142" s="2" t="s">
        <v>305</v>
      </c>
      <c r="E142" s="8">
        <f>SUMIFS('Data nguồn'!H:H, 'Data nguồn'!D:D, $D142, 'Data nguồn'!F:F, $B$1, 'Data nguồn'!C:C, E$3)</f>
      </c>
      <c r="F142" s="8">
        <f>SUMIFS('Data nguồn'!H:H, 'Data nguồn'!D:D, $D142, 'Data nguồn'!F:F, $B$1, 'Data nguồn'!C:C, F$3)</f>
      </c>
      <c r="G142" s="8">
        <f>SUMIFS('Data nguồn'!H:H, 'Data nguồn'!D:D, $D142, 'Data nguồn'!F:F, $B$1, 'Data nguồn'!C:C, G$3)</f>
      </c>
      <c r="H142" s="8">
        <f>SUMIFS('Data nguồn'!H:H, 'Data nguồn'!D:D, $D142, 'Data nguồn'!F:F, $B$1, 'Data nguồn'!C:C, H$3)</f>
      </c>
      <c r="I142" s="8">
        <f>SUMIFS('Data nguồn'!H:H, 'Data nguồn'!D:D, $D142, 'Data nguồn'!F:F, $B$1, 'Data nguồn'!C:C, I$3)</f>
      </c>
      <c r="J142" s="8">
        <f>SUMIFS('Data nguồn'!H:H, 'Data nguồn'!D:D, $D142, 'Data nguồn'!F:F, $B$1, 'Data nguồn'!C:C, J$3)</f>
      </c>
      <c r="K142" s="8">
        <f>SUMIFS('Data nguồn'!H:H, 'Data nguồn'!D:D, $D142, 'Data nguồn'!F:F, $B$1, 'Data nguồn'!C:C, K$3)</f>
      </c>
      <c r="L142" s="8">
        <f>SUMIFS('Data nguồn'!H:H, 'Data nguồn'!D:D, $D142, 'Data nguồn'!F:F, $B$1, 'Data nguồn'!C:C, L$3)</f>
      </c>
      <c r="M142" s="8">
        <f>SUMIFS('Data nguồn'!H:H, 'Data nguồn'!D:D, $D142, 'Data nguồn'!F:F, $B$1, 'Data nguồn'!C:C, M$3)</f>
      </c>
      <c r="N142" s="8">
        <f>SUMIFS('Data nguồn'!H:H, 'Data nguồn'!D:D, $D142, 'Data nguồn'!F:F, $B$1, 'Data nguồn'!C:C, N$3)</f>
      </c>
      <c r="O142" s="8">
        <f>SUMIFS('Data nguồn'!H:H, 'Data nguồn'!D:D, $D142, 'Data nguồn'!F:F, $B$1, 'Data nguồn'!C:C, O$3)</f>
      </c>
      <c r="P142" s="8">
        <f>SUMIFS('Data nguồn'!H:H, 'Data nguồn'!D:D, $D142, 'Data nguồn'!F:F, $B$1, 'Data nguồn'!C:C, P$3)</f>
      </c>
      <c r="Q142" s="8">
        <f>SUMIFS('Data nguồn'!H:H, 'Data nguồn'!D:D, $D142, 'Data nguồn'!F:F, $B$1, 'Data nguồn'!C:C, Q$3)</f>
      </c>
      <c r="R142" s="8">
        <f>SUMIFS('Data nguồn'!H:H, 'Data nguồn'!D:D, $D142, 'Data nguồn'!F:F, $B$1, 'Data nguồn'!C:C, R$3)</f>
      </c>
      <c r="S142" s="8">
        <f>SUMIFS('Data nguồn'!H:H, 'Data nguồn'!D:D, $D142, 'Data nguồn'!F:F, $B$1, 'Data nguồn'!C:C, S$3)</f>
      </c>
      <c r="T142" s="8">
        <f>SUMIFS('Data nguồn'!H:H, 'Data nguồn'!D:D, $D142, 'Data nguồn'!F:F, $B$1, 'Data nguồn'!C:C, T$3)</f>
      </c>
      <c r="V142" s="8">
        <f>SUM(E142:P142)</f>
      </c>
      <c r="W142" s="8">
        <f>SUM(Q142:T142)</f>
      </c>
      <c r="X142" s="8">
        <f>AVERAGE(R142:T142)</f>
      </c>
      <c r="Y142" s="8">
        <f>AVERAGE(O142:T142)</f>
      </c>
      <c r="Z142" s="8">
        <f>AVERAGE(L142:T142)</f>
      </c>
      <c r="AA142" s="4">
        <f>IFERROR((X142*2)/(Y142+Z142), 0)</f>
      </c>
      <c r="AB142" s="4">
        <f>IFERROR(W142/SUM(E142:H142), 0)</f>
      </c>
      <c r="AC142" s="4">
        <f>IFERROR(W142/SUM(E142:H142), 0)</f>
      </c>
      <c r="AD142" s="4">
        <f>IFERROR(T142/H142, 0)</f>
      </c>
    </row>
    <row r="143" ht="20" customHeight="1" spans="1:30" x14ac:dyDescent="0.25">
      <c r="A143">
        <v>140</v>
      </c>
      <c r="B143" t="s">
        <v>306</v>
      </c>
      <c r="C143" t="s">
        <v>366</v>
      </c>
      <c r="D143" s="2" t="s">
        <v>306</v>
      </c>
      <c r="E143" s="8">
        <f>SUMIFS('Data nguồn'!H:H, 'Data nguồn'!D:D, $D143, 'Data nguồn'!F:F, $B$1, 'Data nguồn'!C:C, E$3)</f>
      </c>
      <c r="F143" s="8">
        <f>SUMIFS('Data nguồn'!H:H, 'Data nguồn'!D:D, $D143, 'Data nguồn'!F:F, $B$1, 'Data nguồn'!C:C, F$3)</f>
      </c>
      <c r="G143" s="8">
        <f>SUMIFS('Data nguồn'!H:H, 'Data nguồn'!D:D, $D143, 'Data nguồn'!F:F, $B$1, 'Data nguồn'!C:C, G$3)</f>
      </c>
      <c r="H143" s="8">
        <f>SUMIFS('Data nguồn'!H:H, 'Data nguồn'!D:D, $D143, 'Data nguồn'!F:F, $B$1, 'Data nguồn'!C:C, H$3)</f>
      </c>
      <c r="I143" s="8">
        <f>SUMIFS('Data nguồn'!H:H, 'Data nguồn'!D:D, $D143, 'Data nguồn'!F:F, $B$1, 'Data nguồn'!C:C, I$3)</f>
      </c>
      <c r="J143" s="8">
        <f>SUMIFS('Data nguồn'!H:H, 'Data nguồn'!D:D, $D143, 'Data nguồn'!F:F, $B$1, 'Data nguồn'!C:C, J$3)</f>
      </c>
      <c r="K143" s="8">
        <f>SUMIFS('Data nguồn'!H:H, 'Data nguồn'!D:D, $D143, 'Data nguồn'!F:F, $B$1, 'Data nguồn'!C:C, K$3)</f>
      </c>
      <c r="L143" s="8">
        <f>SUMIFS('Data nguồn'!H:H, 'Data nguồn'!D:D, $D143, 'Data nguồn'!F:F, $B$1, 'Data nguồn'!C:C, L$3)</f>
      </c>
      <c r="M143" s="8">
        <f>SUMIFS('Data nguồn'!H:H, 'Data nguồn'!D:D, $D143, 'Data nguồn'!F:F, $B$1, 'Data nguồn'!C:C, M$3)</f>
      </c>
      <c r="N143" s="8">
        <f>SUMIFS('Data nguồn'!H:H, 'Data nguồn'!D:D, $D143, 'Data nguồn'!F:F, $B$1, 'Data nguồn'!C:C, N$3)</f>
      </c>
      <c r="O143" s="8">
        <f>SUMIFS('Data nguồn'!H:H, 'Data nguồn'!D:D, $D143, 'Data nguồn'!F:F, $B$1, 'Data nguồn'!C:C, O$3)</f>
      </c>
      <c r="P143" s="8">
        <f>SUMIFS('Data nguồn'!H:H, 'Data nguồn'!D:D, $D143, 'Data nguồn'!F:F, $B$1, 'Data nguồn'!C:C, P$3)</f>
      </c>
      <c r="Q143" s="8">
        <f>SUMIFS('Data nguồn'!H:H, 'Data nguồn'!D:D, $D143, 'Data nguồn'!F:F, $B$1, 'Data nguồn'!C:C, Q$3)</f>
      </c>
      <c r="R143" s="8">
        <f>SUMIFS('Data nguồn'!H:H, 'Data nguồn'!D:D, $D143, 'Data nguồn'!F:F, $B$1, 'Data nguồn'!C:C, R$3)</f>
      </c>
      <c r="S143" s="8">
        <f>SUMIFS('Data nguồn'!H:H, 'Data nguồn'!D:D, $D143, 'Data nguồn'!F:F, $B$1, 'Data nguồn'!C:C, S$3)</f>
      </c>
      <c r="T143" s="8">
        <f>SUMIFS('Data nguồn'!H:H, 'Data nguồn'!D:D, $D143, 'Data nguồn'!F:F, $B$1, 'Data nguồn'!C:C, T$3)</f>
      </c>
      <c r="V143" s="8">
        <f>SUM(E143:P143)</f>
      </c>
      <c r="W143" s="8">
        <f>SUM(Q143:T143)</f>
      </c>
      <c r="X143" s="8">
        <f>AVERAGE(R143:T143)</f>
      </c>
      <c r="Y143" s="8">
        <f>AVERAGE(O143:T143)</f>
      </c>
      <c r="Z143" s="8">
        <f>AVERAGE(L143:T143)</f>
      </c>
      <c r="AA143" s="4">
        <f>IFERROR((X143*2)/(Y143+Z143), 0)</f>
      </c>
      <c r="AB143" s="4">
        <f>IFERROR(W143/SUM(E143:H143), 0)</f>
      </c>
      <c r="AC143" s="4">
        <f>IFERROR(W143/SUM(E143:H143), 0)</f>
      </c>
      <c r="AD143" s="4">
        <f>IFERROR(T143/H143, 0)</f>
      </c>
    </row>
    <row r="144" ht="20" customHeight="1" spans="1:30" x14ac:dyDescent="0.25">
      <c r="A144">
        <v>141</v>
      </c>
      <c r="B144" t="s">
        <v>307</v>
      </c>
      <c r="C144" t="s">
        <v>367</v>
      </c>
      <c r="D144" s="2" t="s">
        <v>307</v>
      </c>
      <c r="E144" s="8">
        <f>SUMIFS('Data nguồn'!H:H, 'Data nguồn'!D:D, $D144, 'Data nguồn'!F:F, $B$1, 'Data nguồn'!C:C, E$3)</f>
      </c>
      <c r="F144" s="8">
        <f>SUMIFS('Data nguồn'!H:H, 'Data nguồn'!D:D, $D144, 'Data nguồn'!F:F, $B$1, 'Data nguồn'!C:C, F$3)</f>
      </c>
      <c r="G144" s="8">
        <f>SUMIFS('Data nguồn'!H:H, 'Data nguồn'!D:D, $D144, 'Data nguồn'!F:F, $B$1, 'Data nguồn'!C:C, G$3)</f>
      </c>
      <c r="H144" s="8">
        <f>SUMIFS('Data nguồn'!H:H, 'Data nguồn'!D:D, $D144, 'Data nguồn'!F:F, $B$1, 'Data nguồn'!C:C, H$3)</f>
      </c>
      <c r="I144" s="8">
        <f>SUMIFS('Data nguồn'!H:H, 'Data nguồn'!D:D, $D144, 'Data nguồn'!F:F, $B$1, 'Data nguồn'!C:C, I$3)</f>
      </c>
      <c r="J144" s="8">
        <f>SUMIFS('Data nguồn'!H:H, 'Data nguồn'!D:D, $D144, 'Data nguồn'!F:F, $B$1, 'Data nguồn'!C:C, J$3)</f>
      </c>
      <c r="K144" s="8">
        <f>SUMIFS('Data nguồn'!H:H, 'Data nguồn'!D:D, $D144, 'Data nguồn'!F:F, $B$1, 'Data nguồn'!C:C, K$3)</f>
      </c>
      <c r="L144" s="8">
        <f>SUMIFS('Data nguồn'!H:H, 'Data nguồn'!D:D, $D144, 'Data nguồn'!F:F, $B$1, 'Data nguồn'!C:C, L$3)</f>
      </c>
      <c r="M144" s="8">
        <f>SUMIFS('Data nguồn'!H:H, 'Data nguồn'!D:D, $D144, 'Data nguồn'!F:F, $B$1, 'Data nguồn'!C:C, M$3)</f>
      </c>
      <c r="N144" s="8">
        <f>SUMIFS('Data nguồn'!H:H, 'Data nguồn'!D:D, $D144, 'Data nguồn'!F:F, $B$1, 'Data nguồn'!C:C, N$3)</f>
      </c>
      <c r="O144" s="8">
        <f>SUMIFS('Data nguồn'!H:H, 'Data nguồn'!D:D, $D144, 'Data nguồn'!F:F, $B$1, 'Data nguồn'!C:C, O$3)</f>
      </c>
      <c r="P144" s="8">
        <f>SUMIFS('Data nguồn'!H:H, 'Data nguồn'!D:D, $D144, 'Data nguồn'!F:F, $B$1, 'Data nguồn'!C:C, P$3)</f>
      </c>
      <c r="Q144" s="8">
        <f>SUMIFS('Data nguồn'!H:H, 'Data nguồn'!D:D, $D144, 'Data nguồn'!F:F, $B$1, 'Data nguồn'!C:C, Q$3)</f>
      </c>
      <c r="R144" s="8">
        <f>SUMIFS('Data nguồn'!H:H, 'Data nguồn'!D:D, $D144, 'Data nguồn'!F:F, $B$1, 'Data nguồn'!C:C, R$3)</f>
      </c>
      <c r="S144" s="8">
        <f>SUMIFS('Data nguồn'!H:H, 'Data nguồn'!D:D, $D144, 'Data nguồn'!F:F, $B$1, 'Data nguồn'!C:C, S$3)</f>
      </c>
      <c r="T144" s="8">
        <f>SUMIFS('Data nguồn'!H:H, 'Data nguồn'!D:D, $D144, 'Data nguồn'!F:F, $B$1, 'Data nguồn'!C:C, T$3)</f>
      </c>
      <c r="V144" s="8">
        <f>SUM(E144:P144)</f>
      </c>
      <c r="W144" s="8">
        <f>SUM(Q144:T144)</f>
      </c>
      <c r="X144" s="8">
        <f>AVERAGE(R144:T144)</f>
      </c>
      <c r="Y144" s="8">
        <f>AVERAGE(O144:T144)</f>
      </c>
      <c r="Z144" s="8">
        <f>AVERAGE(L144:T144)</f>
      </c>
      <c r="AA144" s="4">
        <f>IFERROR((X144*2)/(Y144+Z144), 0)</f>
      </c>
      <c r="AB144" s="4">
        <f>IFERROR(W144/SUM(E144:H144), 0)</f>
      </c>
      <c r="AC144" s="4">
        <f>IFERROR(W144/SUM(E144:H144), 0)</f>
      </c>
      <c r="AD144" s="4">
        <f>IFERROR(T144/H144, 0)</f>
      </c>
    </row>
    <row r="145" ht="20" customHeight="1" spans="1:30" x14ac:dyDescent="0.25">
      <c r="A145">
        <v>142</v>
      </c>
      <c r="B145" t="s">
        <v>308</v>
      </c>
      <c r="C145" t="s">
        <v>366</v>
      </c>
      <c r="D145" s="2" t="s">
        <v>308</v>
      </c>
      <c r="E145" s="8">
        <f>SUMIFS('Data nguồn'!H:H, 'Data nguồn'!D:D, $D145, 'Data nguồn'!F:F, $B$1, 'Data nguồn'!C:C, E$3)</f>
      </c>
      <c r="F145" s="8">
        <f>SUMIFS('Data nguồn'!H:H, 'Data nguồn'!D:D, $D145, 'Data nguồn'!F:F, $B$1, 'Data nguồn'!C:C, F$3)</f>
      </c>
      <c r="G145" s="8">
        <f>SUMIFS('Data nguồn'!H:H, 'Data nguồn'!D:D, $D145, 'Data nguồn'!F:F, $B$1, 'Data nguồn'!C:C, G$3)</f>
      </c>
      <c r="H145" s="8">
        <f>SUMIFS('Data nguồn'!H:H, 'Data nguồn'!D:D, $D145, 'Data nguồn'!F:F, $B$1, 'Data nguồn'!C:C, H$3)</f>
      </c>
      <c r="I145" s="8">
        <f>SUMIFS('Data nguồn'!H:H, 'Data nguồn'!D:D, $D145, 'Data nguồn'!F:F, $B$1, 'Data nguồn'!C:C, I$3)</f>
      </c>
      <c r="J145" s="8">
        <f>SUMIFS('Data nguồn'!H:H, 'Data nguồn'!D:D, $D145, 'Data nguồn'!F:F, $B$1, 'Data nguồn'!C:C, J$3)</f>
      </c>
      <c r="K145" s="8">
        <f>SUMIFS('Data nguồn'!H:H, 'Data nguồn'!D:D, $D145, 'Data nguồn'!F:F, $B$1, 'Data nguồn'!C:C, K$3)</f>
      </c>
      <c r="L145" s="8">
        <f>SUMIFS('Data nguồn'!H:H, 'Data nguồn'!D:D, $D145, 'Data nguồn'!F:F, $B$1, 'Data nguồn'!C:C, L$3)</f>
      </c>
      <c r="M145" s="8">
        <f>SUMIFS('Data nguồn'!H:H, 'Data nguồn'!D:D, $D145, 'Data nguồn'!F:F, $B$1, 'Data nguồn'!C:C, M$3)</f>
      </c>
      <c r="N145" s="8">
        <f>SUMIFS('Data nguồn'!H:H, 'Data nguồn'!D:D, $D145, 'Data nguồn'!F:F, $B$1, 'Data nguồn'!C:C, N$3)</f>
      </c>
      <c r="O145" s="8">
        <f>SUMIFS('Data nguồn'!H:H, 'Data nguồn'!D:D, $D145, 'Data nguồn'!F:F, $B$1, 'Data nguồn'!C:C, O$3)</f>
      </c>
      <c r="P145" s="8">
        <f>SUMIFS('Data nguồn'!H:H, 'Data nguồn'!D:D, $D145, 'Data nguồn'!F:F, $B$1, 'Data nguồn'!C:C, P$3)</f>
      </c>
      <c r="Q145" s="8">
        <f>SUMIFS('Data nguồn'!H:H, 'Data nguồn'!D:D, $D145, 'Data nguồn'!F:F, $B$1, 'Data nguồn'!C:C, Q$3)</f>
      </c>
      <c r="R145" s="8">
        <f>SUMIFS('Data nguồn'!H:H, 'Data nguồn'!D:D, $D145, 'Data nguồn'!F:F, $B$1, 'Data nguồn'!C:C, R$3)</f>
      </c>
      <c r="S145" s="8">
        <f>SUMIFS('Data nguồn'!H:H, 'Data nguồn'!D:D, $D145, 'Data nguồn'!F:F, $B$1, 'Data nguồn'!C:C, S$3)</f>
      </c>
      <c r="T145" s="8">
        <f>SUMIFS('Data nguồn'!H:H, 'Data nguồn'!D:D, $D145, 'Data nguồn'!F:F, $B$1, 'Data nguồn'!C:C, T$3)</f>
      </c>
      <c r="V145" s="8">
        <f>SUM(E145:P145)</f>
      </c>
      <c r="W145" s="8">
        <f>SUM(Q145:T145)</f>
      </c>
      <c r="X145" s="8">
        <f>AVERAGE(R145:T145)</f>
      </c>
      <c r="Y145" s="8">
        <f>AVERAGE(O145:T145)</f>
      </c>
      <c r="Z145" s="8">
        <f>AVERAGE(L145:T145)</f>
      </c>
      <c r="AA145" s="4">
        <f>IFERROR((X145*2)/(Y145+Z145), 0)</f>
      </c>
      <c r="AB145" s="4">
        <f>IFERROR(W145/SUM(E145:H145), 0)</f>
      </c>
      <c r="AC145" s="4">
        <f>IFERROR(W145/SUM(E145:H145), 0)</f>
      </c>
      <c r="AD145" s="4">
        <f>IFERROR(T145/H145, 0)</f>
      </c>
    </row>
    <row r="146" ht="20" customHeight="1" spans="1:30" x14ac:dyDescent="0.25">
      <c r="A146">
        <v>143</v>
      </c>
      <c r="B146" t="s">
        <v>309</v>
      </c>
      <c r="C146" t="s">
        <v>367</v>
      </c>
      <c r="D146" s="2" t="s">
        <v>309</v>
      </c>
      <c r="E146" s="8">
        <f>SUMIFS('Data nguồn'!H:H, 'Data nguồn'!D:D, $D146, 'Data nguồn'!F:F, $B$1, 'Data nguồn'!C:C, E$3)</f>
      </c>
      <c r="F146" s="8">
        <f>SUMIFS('Data nguồn'!H:H, 'Data nguồn'!D:D, $D146, 'Data nguồn'!F:F, $B$1, 'Data nguồn'!C:C, F$3)</f>
      </c>
      <c r="G146" s="8">
        <f>SUMIFS('Data nguồn'!H:H, 'Data nguồn'!D:D, $D146, 'Data nguồn'!F:F, $B$1, 'Data nguồn'!C:C, G$3)</f>
      </c>
      <c r="H146" s="8">
        <f>SUMIFS('Data nguồn'!H:H, 'Data nguồn'!D:D, $D146, 'Data nguồn'!F:F, $B$1, 'Data nguồn'!C:C, H$3)</f>
      </c>
      <c r="I146" s="8">
        <f>SUMIFS('Data nguồn'!H:H, 'Data nguồn'!D:D, $D146, 'Data nguồn'!F:F, $B$1, 'Data nguồn'!C:C, I$3)</f>
      </c>
      <c r="J146" s="8">
        <f>SUMIFS('Data nguồn'!H:H, 'Data nguồn'!D:D, $D146, 'Data nguồn'!F:F, $B$1, 'Data nguồn'!C:C, J$3)</f>
      </c>
      <c r="K146" s="8">
        <f>SUMIFS('Data nguồn'!H:H, 'Data nguồn'!D:D, $D146, 'Data nguồn'!F:F, $B$1, 'Data nguồn'!C:C, K$3)</f>
      </c>
      <c r="L146" s="8">
        <f>SUMIFS('Data nguồn'!H:H, 'Data nguồn'!D:D, $D146, 'Data nguồn'!F:F, $B$1, 'Data nguồn'!C:C, L$3)</f>
      </c>
      <c r="M146" s="8">
        <f>SUMIFS('Data nguồn'!H:H, 'Data nguồn'!D:D, $D146, 'Data nguồn'!F:F, $B$1, 'Data nguồn'!C:C, M$3)</f>
      </c>
      <c r="N146" s="8">
        <f>SUMIFS('Data nguồn'!H:H, 'Data nguồn'!D:D, $D146, 'Data nguồn'!F:F, $B$1, 'Data nguồn'!C:C, N$3)</f>
      </c>
      <c r="O146" s="8">
        <f>SUMIFS('Data nguồn'!H:H, 'Data nguồn'!D:D, $D146, 'Data nguồn'!F:F, $B$1, 'Data nguồn'!C:C, O$3)</f>
      </c>
      <c r="P146" s="8">
        <f>SUMIFS('Data nguồn'!H:H, 'Data nguồn'!D:D, $D146, 'Data nguồn'!F:F, $B$1, 'Data nguồn'!C:C, P$3)</f>
      </c>
      <c r="Q146" s="8">
        <f>SUMIFS('Data nguồn'!H:H, 'Data nguồn'!D:D, $D146, 'Data nguồn'!F:F, $B$1, 'Data nguồn'!C:C, Q$3)</f>
      </c>
      <c r="R146" s="8">
        <f>SUMIFS('Data nguồn'!H:H, 'Data nguồn'!D:D, $D146, 'Data nguồn'!F:F, $B$1, 'Data nguồn'!C:C, R$3)</f>
      </c>
      <c r="S146" s="8">
        <f>SUMIFS('Data nguồn'!H:H, 'Data nguồn'!D:D, $D146, 'Data nguồn'!F:F, $B$1, 'Data nguồn'!C:C, S$3)</f>
      </c>
      <c r="T146" s="8">
        <f>SUMIFS('Data nguồn'!H:H, 'Data nguồn'!D:D, $D146, 'Data nguồn'!F:F, $B$1, 'Data nguồn'!C:C, T$3)</f>
      </c>
      <c r="V146" s="8">
        <f>SUM(E146:P146)</f>
      </c>
      <c r="W146" s="8">
        <f>SUM(Q146:T146)</f>
      </c>
      <c r="X146" s="8">
        <f>AVERAGE(R146:T146)</f>
      </c>
      <c r="Y146" s="8">
        <f>AVERAGE(O146:T146)</f>
      </c>
      <c r="Z146" s="8">
        <f>AVERAGE(L146:T146)</f>
      </c>
      <c r="AA146" s="4">
        <f>IFERROR((X146*2)/(Y146+Z146), 0)</f>
      </c>
      <c r="AB146" s="4">
        <f>IFERROR(W146/SUM(E146:H146), 0)</f>
      </c>
      <c r="AC146" s="4">
        <f>IFERROR(W146/SUM(E146:H146), 0)</f>
      </c>
      <c r="AD146" s="4">
        <f>IFERROR(T146/H146, 0)</f>
      </c>
    </row>
    <row r="147" ht="20" customHeight="1" spans="1:30" x14ac:dyDescent="0.25">
      <c r="A147">
        <v>144</v>
      </c>
      <c r="B147" t="s">
        <v>310</v>
      </c>
      <c r="C147" t="s">
        <v>369</v>
      </c>
      <c r="D147" s="2" t="s">
        <v>310</v>
      </c>
      <c r="E147" s="8">
        <f>SUMIFS('Data nguồn'!H:H, 'Data nguồn'!D:D, $D147, 'Data nguồn'!F:F, $B$1, 'Data nguồn'!C:C, E$3)</f>
      </c>
      <c r="F147" s="8">
        <f>SUMIFS('Data nguồn'!H:H, 'Data nguồn'!D:D, $D147, 'Data nguồn'!F:F, $B$1, 'Data nguồn'!C:C, F$3)</f>
      </c>
      <c r="G147" s="8">
        <f>SUMIFS('Data nguồn'!H:H, 'Data nguồn'!D:D, $D147, 'Data nguồn'!F:F, $B$1, 'Data nguồn'!C:C, G$3)</f>
      </c>
      <c r="H147" s="8">
        <f>SUMIFS('Data nguồn'!H:H, 'Data nguồn'!D:D, $D147, 'Data nguồn'!F:F, $B$1, 'Data nguồn'!C:C, H$3)</f>
      </c>
      <c r="I147" s="8">
        <f>SUMIFS('Data nguồn'!H:H, 'Data nguồn'!D:D, $D147, 'Data nguồn'!F:F, $B$1, 'Data nguồn'!C:C, I$3)</f>
      </c>
      <c r="J147" s="8">
        <f>SUMIFS('Data nguồn'!H:H, 'Data nguồn'!D:D, $D147, 'Data nguồn'!F:F, $B$1, 'Data nguồn'!C:C, J$3)</f>
      </c>
      <c r="K147" s="8">
        <f>SUMIFS('Data nguồn'!H:H, 'Data nguồn'!D:D, $D147, 'Data nguồn'!F:F, $B$1, 'Data nguồn'!C:C, K$3)</f>
      </c>
      <c r="L147" s="8">
        <f>SUMIFS('Data nguồn'!H:H, 'Data nguồn'!D:D, $D147, 'Data nguồn'!F:F, $B$1, 'Data nguồn'!C:C, L$3)</f>
      </c>
      <c r="M147" s="8">
        <f>SUMIFS('Data nguồn'!H:H, 'Data nguồn'!D:D, $D147, 'Data nguồn'!F:F, $B$1, 'Data nguồn'!C:C, M$3)</f>
      </c>
      <c r="N147" s="8">
        <f>SUMIFS('Data nguồn'!H:H, 'Data nguồn'!D:D, $D147, 'Data nguồn'!F:F, $B$1, 'Data nguồn'!C:C, N$3)</f>
      </c>
      <c r="O147" s="8">
        <f>SUMIFS('Data nguồn'!H:H, 'Data nguồn'!D:D, $D147, 'Data nguồn'!F:F, $B$1, 'Data nguồn'!C:C, O$3)</f>
      </c>
      <c r="P147" s="8">
        <f>SUMIFS('Data nguồn'!H:H, 'Data nguồn'!D:D, $D147, 'Data nguồn'!F:F, $B$1, 'Data nguồn'!C:C, P$3)</f>
      </c>
      <c r="Q147" s="8">
        <f>SUMIFS('Data nguồn'!H:H, 'Data nguồn'!D:D, $D147, 'Data nguồn'!F:F, $B$1, 'Data nguồn'!C:C, Q$3)</f>
      </c>
      <c r="R147" s="8">
        <f>SUMIFS('Data nguồn'!H:H, 'Data nguồn'!D:D, $D147, 'Data nguồn'!F:F, $B$1, 'Data nguồn'!C:C, R$3)</f>
      </c>
      <c r="S147" s="8">
        <f>SUMIFS('Data nguồn'!H:H, 'Data nguồn'!D:D, $D147, 'Data nguồn'!F:F, $B$1, 'Data nguồn'!C:C, S$3)</f>
      </c>
      <c r="T147" s="8">
        <f>SUMIFS('Data nguồn'!H:H, 'Data nguồn'!D:D, $D147, 'Data nguồn'!F:F, $B$1, 'Data nguồn'!C:C, T$3)</f>
      </c>
      <c r="V147" s="8">
        <f>SUM(E147:P147)</f>
      </c>
      <c r="W147" s="8">
        <f>SUM(Q147:T147)</f>
      </c>
      <c r="X147" s="8">
        <f>AVERAGE(R147:T147)</f>
      </c>
      <c r="Y147" s="8">
        <f>AVERAGE(O147:T147)</f>
      </c>
      <c r="Z147" s="8">
        <f>AVERAGE(L147:T147)</f>
      </c>
      <c r="AA147" s="4">
        <f>IFERROR((X147*2)/(Y147+Z147), 0)</f>
      </c>
      <c r="AB147" s="4">
        <f>IFERROR(W147/SUM(E147:H147), 0)</f>
      </c>
      <c r="AC147" s="4">
        <f>IFERROR(W147/SUM(E147:H147), 0)</f>
      </c>
      <c r="AD147" s="4">
        <f>IFERROR(T147/H147, 0)</f>
      </c>
    </row>
    <row r="148" ht="20" customHeight="1" spans="1:30" x14ac:dyDescent="0.25">
      <c r="A148">
        <v>145</v>
      </c>
      <c r="B148" t="s">
        <v>311</v>
      </c>
      <c r="C148" t="s">
        <v>369</v>
      </c>
      <c r="D148" s="2" t="s">
        <v>311</v>
      </c>
      <c r="E148" s="8">
        <f>SUMIFS('Data nguồn'!H:H, 'Data nguồn'!D:D, $D148, 'Data nguồn'!F:F, $B$1, 'Data nguồn'!C:C, E$3)</f>
      </c>
      <c r="F148" s="8">
        <f>SUMIFS('Data nguồn'!H:H, 'Data nguồn'!D:D, $D148, 'Data nguồn'!F:F, $B$1, 'Data nguồn'!C:C, F$3)</f>
      </c>
      <c r="G148" s="8">
        <f>SUMIFS('Data nguồn'!H:H, 'Data nguồn'!D:D, $D148, 'Data nguồn'!F:F, $B$1, 'Data nguồn'!C:C, G$3)</f>
      </c>
      <c r="H148" s="8">
        <f>SUMIFS('Data nguồn'!H:H, 'Data nguồn'!D:D, $D148, 'Data nguồn'!F:F, $B$1, 'Data nguồn'!C:C, H$3)</f>
      </c>
      <c r="I148" s="8">
        <f>SUMIFS('Data nguồn'!H:H, 'Data nguồn'!D:D, $D148, 'Data nguồn'!F:F, $B$1, 'Data nguồn'!C:C, I$3)</f>
      </c>
      <c r="J148" s="8">
        <f>SUMIFS('Data nguồn'!H:H, 'Data nguồn'!D:D, $D148, 'Data nguồn'!F:F, $B$1, 'Data nguồn'!C:C, J$3)</f>
      </c>
      <c r="K148" s="8">
        <f>SUMIFS('Data nguồn'!H:H, 'Data nguồn'!D:D, $D148, 'Data nguồn'!F:F, $B$1, 'Data nguồn'!C:C, K$3)</f>
      </c>
      <c r="L148" s="8">
        <f>SUMIFS('Data nguồn'!H:H, 'Data nguồn'!D:D, $D148, 'Data nguồn'!F:F, $B$1, 'Data nguồn'!C:C, L$3)</f>
      </c>
      <c r="M148" s="8">
        <f>SUMIFS('Data nguồn'!H:H, 'Data nguồn'!D:D, $D148, 'Data nguồn'!F:F, $B$1, 'Data nguồn'!C:C, M$3)</f>
      </c>
      <c r="N148" s="8">
        <f>SUMIFS('Data nguồn'!H:H, 'Data nguồn'!D:D, $D148, 'Data nguồn'!F:F, $B$1, 'Data nguồn'!C:C, N$3)</f>
      </c>
      <c r="O148" s="8">
        <f>SUMIFS('Data nguồn'!H:H, 'Data nguồn'!D:D, $D148, 'Data nguồn'!F:F, $B$1, 'Data nguồn'!C:C, O$3)</f>
      </c>
      <c r="P148" s="8">
        <f>SUMIFS('Data nguồn'!H:H, 'Data nguồn'!D:D, $D148, 'Data nguồn'!F:F, $B$1, 'Data nguồn'!C:C, P$3)</f>
      </c>
      <c r="Q148" s="8">
        <f>SUMIFS('Data nguồn'!H:H, 'Data nguồn'!D:D, $D148, 'Data nguồn'!F:F, $B$1, 'Data nguồn'!C:C, Q$3)</f>
      </c>
      <c r="R148" s="8">
        <f>SUMIFS('Data nguồn'!H:H, 'Data nguồn'!D:D, $D148, 'Data nguồn'!F:F, $B$1, 'Data nguồn'!C:C, R$3)</f>
      </c>
      <c r="S148" s="8">
        <f>SUMIFS('Data nguồn'!H:H, 'Data nguồn'!D:D, $D148, 'Data nguồn'!F:F, $B$1, 'Data nguồn'!C:C, S$3)</f>
      </c>
      <c r="T148" s="8">
        <f>SUMIFS('Data nguồn'!H:H, 'Data nguồn'!D:D, $D148, 'Data nguồn'!F:F, $B$1, 'Data nguồn'!C:C, T$3)</f>
      </c>
      <c r="V148" s="8">
        <f>SUM(E148:P148)</f>
      </c>
      <c r="W148" s="8">
        <f>SUM(Q148:T148)</f>
      </c>
      <c r="X148" s="8">
        <f>AVERAGE(R148:T148)</f>
      </c>
      <c r="Y148" s="8">
        <f>AVERAGE(O148:T148)</f>
      </c>
      <c r="Z148" s="8">
        <f>AVERAGE(L148:T148)</f>
      </c>
      <c r="AA148" s="4">
        <f>IFERROR((X148*2)/(Y148+Z148), 0)</f>
      </c>
      <c r="AB148" s="4">
        <f>IFERROR(W148/SUM(E148:H148), 0)</f>
      </c>
      <c r="AC148" s="4">
        <f>IFERROR(W148/SUM(E148:H148), 0)</f>
      </c>
      <c r="AD148" s="4">
        <f>IFERROR(T148/H148, 0)</f>
      </c>
    </row>
    <row r="149" ht="20" customHeight="1" spans="1:30" x14ac:dyDescent="0.25">
      <c r="A149">
        <v>146</v>
      </c>
      <c r="B149" t="s">
        <v>312</v>
      </c>
      <c r="C149" t="s">
        <v>369</v>
      </c>
      <c r="D149" s="2" t="s">
        <v>312</v>
      </c>
      <c r="E149" s="8">
        <f>SUMIFS('Data nguồn'!H:H, 'Data nguồn'!D:D, $D149, 'Data nguồn'!F:F, $B$1, 'Data nguồn'!C:C, E$3)</f>
      </c>
      <c r="F149" s="8">
        <f>SUMIFS('Data nguồn'!H:H, 'Data nguồn'!D:D, $D149, 'Data nguồn'!F:F, $B$1, 'Data nguồn'!C:C, F$3)</f>
      </c>
      <c r="G149" s="8">
        <f>SUMIFS('Data nguồn'!H:H, 'Data nguồn'!D:D, $D149, 'Data nguồn'!F:F, $B$1, 'Data nguồn'!C:C, G$3)</f>
      </c>
      <c r="H149" s="8">
        <f>SUMIFS('Data nguồn'!H:H, 'Data nguồn'!D:D, $D149, 'Data nguồn'!F:F, $B$1, 'Data nguồn'!C:C, H$3)</f>
      </c>
      <c r="I149" s="8">
        <f>SUMIFS('Data nguồn'!H:H, 'Data nguồn'!D:D, $D149, 'Data nguồn'!F:F, $B$1, 'Data nguồn'!C:C, I$3)</f>
      </c>
      <c r="J149" s="8">
        <f>SUMIFS('Data nguồn'!H:H, 'Data nguồn'!D:D, $D149, 'Data nguồn'!F:F, $B$1, 'Data nguồn'!C:C, J$3)</f>
      </c>
      <c r="K149" s="8">
        <f>SUMIFS('Data nguồn'!H:H, 'Data nguồn'!D:D, $D149, 'Data nguồn'!F:F, $B$1, 'Data nguồn'!C:C, K$3)</f>
      </c>
      <c r="L149" s="8">
        <f>SUMIFS('Data nguồn'!H:H, 'Data nguồn'!D:D, $D149, 'Data nguồn'!F:F, $B$1, 'Data nguồn'!C:C, L$3)</f>
      </c>
      <c r="M149" s="8">
        <f>SUMIFS('Data nguồn'!H:H, 'Data nguồn'!D:D, $D149, 'Data nguồn'!F:F, $B$1, 'Data nguồn'!C:C, M$3)</f>
      </c>
      <c r="N149" s="8">
        <f>SUMIFS('Data nguồn'!H:H, 'Data nguồn'!D:D, $D149, 'Data nguồn'!F:F, $B$1, 'Data nguồn'!C:C, N$3)</f>
      </c>
      <c r="O149" s="8">
        <f>SUMIFS('Data nguồn'!H:H, 'Data nguồn'!D:D, $D149, 'Data nguồn'!F:F, $B$1, 'Data nguồn'!C:C, O$3)</f>
      </c>
      <c r="P149" s="8">
        <f>SUMIFS('Data nguồn'!H:H, 'Data nguồn'!D:D, $D149, 'Data nguồn'!F:F, $B$1, 'Data nguồn'!C:C, P$3)</f>
      </c>
      <c r="Q149" s="8">
        <f>SUMIFS('Data nguồn'!H:H, 'Data nguồn'!D:D, $D149, 'Data nguồn'!F:F, $B$1, 'Data nguồn'!C:C, Q$3)</f>
      </c>
      <c r="R149" s="8">
        <f>SUMIFS('Data nguồn'!H:H, 'Data nguồn'!D:D, $D149, 'Data nguồn'!F:F, $B$1, 'Data nguồn'!C:C, R$3)</f>
      </c>
      <c r="S149" s="8">
        <f>SUMIFS('Data nguồn'!H:H, 'Data nguồn'!D:D, $D149, 'Data nguồn'!F:F, $B$1, 'Data nguồn'!C:C, S$3)</f>
      </c>
      <c r="T149" s="8">
        <f>SUMIFS('Data nguồn'!H:H, 'Data nguồn'!D:D, $D149, 'Data nguồn'!F:F, $B$1, 'Data nguồn'!C:C, T$3)</f>
      </c>
      <c r="V149" s="8">
        <f>SUM(E149:P149)</f>
      </c>
      <c r="W149" s="8">
        <f>SUM(Q149:T149)</f>
      </c>
      <c r="X149" s="8">
        <f>AVERAGE(R149:T149)</f>
      </c>
      <c r="Y149" s="8">
        <f>AVERAGE(O149:T149)</f>
      </c>
      <c r="Z149" s="8">
        <f>AVERAGE(L149:T149)</f>
      </c>
      <c r="AA149" s="4">
        <f>IFERROR((X149*2)/(Y149+Z149), 0)</f>
      </c>
      <c r="AB149" s="4">
        <f>IFERROR(W149/SUM(E149:H149), 0)</f>
      </c>
      <c r="AC149" s="4">
        <f>IFERROR(W149/SUM(E149:H149), 0)</f>
      </c>
      <c r="AD149" s="4">
        <f>IFERROR(T149/H149, 0)</f>
      </c>
    </row>
    <row r="150" ht="20" customHeight="1" spans="1:30" x14ac:dyDescent="0.25">
      <c r="A150">
        <v>147</v>
      </c>
      <c r="B150" t="s">
        <v>313</v>
      </c>
      <c r="C150" t="s">
        <v>369</v>
      </c>
      <c r="D150" s="2" t="s">
        <v>313</v>
      </c>
      <c r="E150" s="8">
        <f>SUMIFS('Data nguồn'!H:H, 'Data nguồn'!D:D, $D150, 'Data nguồn'!F:F, $B$1, 'Data nguồn'!C:C, E$3)</f>
      </c>
      <c r="F150" s="8">
        <f>SUMIFS('Data nguồn'!H:H, 'Data nguồn'!D:D, $D150, 'Data nguồn'!F:F, $B$1, 'Data nguồn'!C:C, F$3)</f>
      </c>
      <c r="G150" s="8">
        <f>SUMIFS('Data nguồn'!H:H, 'Data nguồn'!D:D, $D150, 'Data nguồn'!F:F, $B$1, 'Data nguồn'!C:C, G$3)</f>
      </c>
      <c r="H150" s="8">
        <f>SUMIFS('Data nguồn'!H:H, 'Data nguồn'!D:D, $D150, 'Data nguồn'!F:F, $B$1, 'Data nguồn'!C:C, H$3)</f>
      </c>
      <c r="I150" s="8">
        <f>SUMIFS('Data nguồn'!H:H, 'Data nguồn'!D:D, $D150, 'Data nguồn'!F:F, $B$1, 'Data nguồn'!C:C, I$3)</f>
      </c>
      <c r="J150" s="8">
        <f>SUMIFS('Data nguồn'!H:H, 'Data nguồn'!D:D, $D150, 'Data nguồn'!F:F, $B$1, 'Data nguồn'!C:C, J$3)</f>
      </c>
      <c r="K150" s="8">
        <f>SUMIFS('Data nguồn'!H:H, 'Data nguồn'!D:D, $D150, 'Data nguồn'!F:F, $B$1, 'Data nguồn'!C:C, K$3)</f>
      </c>
      <c r="L150" s="8">
        <f>SUMIFS('Data nguồn'!H:H, 'Data nguồn'!D:D, $D150, 'Data nguồn'!F:F, $B$1, 'Data nguồn'!C:C, L$3)</f>
      </c>
      <c r="M150" s="8">
        <f>SUMIFS('Data nguồn'!H:H, 'Data nguồn'!D:D, $D150, 'Data nguồn'!F:F, $B$1, 'Data nguồn'!C:C, M$3)</f>
      </c>
      <c r="N150" s="8">
        <f>SUMIFS('Data nguồn'!H:H, 'Data nguồn'!D:D, $D150, 'Data nguồn'!F:F, $B$1, 'Data nguồn'!C:C, N$3)</f>
      </c>
      <c r="O150" s="8">
        <f>SUMIFS('Data nguồn'!H:H, 'Data nguồn'!D:D, $D150, 'Data nguồn'!F:F, $B$1, 'Data nguồn'!C:C, O$3)</f>
      </c>
      <c r="P150" s="8">
        <f>SUMIFS('Data nguồn'!H:H, 'Data nguồn'!D:D, $D150, 'Data nguồn'!F:F, $B$1, 'Data nguồn'!C:C, P$3)</f>
      </c>
      <c r="Q150" s="8">
        <f>SUMIFS('Data nguồn'!H:H, 'Data nguồn'!D:D, $D150, 'Data nguồn'!F:F, $B$1, 'Data nguồn'!C:C, Q$3)</f>
      </c>
      <c r="R150" s="8">
        <f>SUMIFS('Data nguồn'!H:H, 'Data nguồn'!D:D, $D150, 'Data nguồn'!F:F, $B$1, 'Data nguồn'!C:C, R$3)</f>
      </c>
      <c r="S150" s="8">
        <f>SUMIFS('Data nguồn'!H:H, 'Data nguồn'!D:D, $D150, 'Data nguồn'!F:F, $B$1, 'Data nguồn'!C:C, S$3)</f>
      </c>
      <c r="T150" s="8">
        <f>SUMIFS('Data nguồn'!H:H, 'Data nguồn'!D:D, $D150, 'Data nguồn'!F:F, $B$1, 'Data nguồn'!C:C, T$3)</f>
      </c>
      <c r="V150" s="8">
        <f>SUM(E150:P150)</f>
      </c>
      <c r="W150" s="8">
        <f>SUM(Q150:T150)</f>
      </c>
      <c r="X150" s="8">
        <f>AVERAGE(R150:T150)</f>
      </c>
      <c r="Y150" s="8">
        <f>AVERAGE(O150:T150)</f>
      </c>
      <c r="Z150" s="8">
        <f>AVERAGE(L150:T150)</f>
      </c>
      <c r="AA150" s="4">
        <f>IFERROR((X150*2)/(Y150+Z150), 0)</f>
      </c>
      <c r="AB150" s="4">
        <f>IFERROR(W150/SUM(E150:H150), 0)</f>
      </c>
      <c r="AC150" s="4">
        <f>IFERROR(W150/SUM(E150:H150), 0)</f>
      </c>
      <c r="AD150" s="4">
        <f>IFERROR(T150/H150, 0)</f>
      </c>
    </row>
    <row r="151" ht="20" customHeight="1" spans="1:30" x14ac:dyDescent="0.25">
      <c r="A151">
        <v>148</v>
      </c>
      <c r="B151" t="s">
        <v>314</v>
      </c>
      <c r="C151" t="s">
        <v>369</v>
      </c>
      <c r="D151" s="2" t="s">
        <v>314</v>
      </c>
      <c r="E151" s="8">
        <f>SUMIFS('Data nguồn'!H:H, 'Data nguồn'!D:D, $D151, 'Data nguồn'!F:F, $B$1, 'Data nguồn'!C:C, E$3)</f>
      </c>
      <c r="F151" s="8">
        <f>SUMIFS('Data nguồn'!H:H, 'Data nguồn'!D:D, $D151, 'Data nguồn'!F:F, $B$1, 'Data nguồn'!C:C, F$3)</f>
      </c>
      <c r="G151" s="8">
        <f>SUMIFS('Data nguồn'!H:H, 'Data nguồn'!D:D, $D151, 'Data nguồn'!F:F, $B$1, 'Data nguồn'!C:C, G$3)</f>
      </c>
      <c r="H151" s="8">
        <f>SUMIFS('Data nguồn'!H:H, 'Data nguồn'!D:D, $D151, 'Data nguồn'!F:F, $B$1, 'Data nguồn'!C:C, H$3)</f>
      </c>
      <c r="I151" s="8">
        <f>SUMIFS('Data nguồn'!H:H, 'Data nguồn'!D:D, $D151, 'Data nguồn'!F:F, $B$1, 'Data nguồn'!C:C, I$3)</f>
      </c>
      <c r="J151" s="8">
        <f>SUMIFS('Data nguồn'!H:H, 'Data nguồn'!D:D, $D151, 'Data nguồn'!F:F, $B$1, 'Data nguồn'!C:C, J$3)</f>
      </c>
      <c r="K151" s="8">
        <f>SUMIFS('Data nguồn'!H:H, 'Data nguồn'!D:D, $D151, 'Data nguồn'!F:F, $B$1, 'Data nguồn'!C:C, K$3)</f>
      </c>
      <c r="L151" s="8">
        <f>SUMIFS('Data nguồn'!H:H, 'Data nguồn'!D:D, $D151, 'Data nguồn'!F:F, $B$1, 'Data nguồn'!C:C, L$3)</f>
      </c>
      <c r="M151" s="8">
        <f>SUMIFS('Data nguồn'!H:H, 'Data nguồn'!D:D, $D151, 'Data nguồn'!F:F, $B$1, 'Data nguồn'!C:C, M$3)</f>
      </c>
      <c r="N151" s="8">
        <f>SUMIFS('Data nguồn'!H:H, 'Data nguồn'!D:D, $D151, 'Data nguồn'!F:F, $B$1, 'Data nguồn'!C:C, N$3)</f>
      </c>
      <c r="O151" s="8">
        <f>SUMIFS('Data nguồn'!H:H, 'Data nguồn'!D:D, $D151, 'Data nguồn'!F:F, $B$1, 'Data nguồn'!C:C, O$3)</f>
      </c>
      <c r="P151" s="8">
        <f>SUMIFS('Data nguồn'!H:H, 'Data nguồn'!D:D, $D151, 'Data nguồn'!F:F, $B$1, 'Data nguồn'!C:C, P$3)</f>
      </c>
      <c r="Q151" s="8">
        <f>SUMIFS('Data nguồn'!H:H, 'Data nguồn'!D:D, $D151, 'Data nguồn'!F:F, $B$1, 'Data nguồn'!C:C, Q$3)</f>
      </c>
      <c r="R151" s="8">
        <f>SUMIFS('Data nguồn'!H:H, 'Data nguồn'!D:D, $D151, 'Data nguồn'!F:F, $B$1, 'Data nguồn'!C:C, R$3)</f>
      </c>
      <c r="S151" s="8">
        <f>SUMIFS('Data nguồn'!H:H, 'Data nguồn'!D:D, $D151, 'Data nguồn'!F:F, $B$1, 'Data nguồn'!C:C, S$3)</f>
      </c>
      <c r="T151" s="8">
        <f>SUMIFS('Data nguồn'!H:H, 'Data nguồn'!D:D, $D151, 'Data nguồn'!F:F, $B$1, 'Data nguồn'!C:C, T$3)</f>
      </c>
      <c r="V151" s="8">
        <f>SUM(E151:P151)</f>
      </c>
      <c r="W151" s="8">
        <f>SUM(Q151:T151)</f>
      </c>
      <c r="X151" s="8">
        <f>AVERAGE(R151:T151)</f>
      </c>
      <c r="Y151" s="8">
        <f>AVERAGE(O151:T151)</f>
      </c>
      <c r="Z151" s="8">
        <f>AVERAGE(L151:T151)</f>
      </c>
      <c r="AA151" s="4">
        <f>IFERROR((X151*2)/(Y151+Z151), 0)</f>
      </c>
      <c r="AB151" s="4">
        <f>IFERROR(W151/SUM(E151:H151), 0)</f>
      </c>
      <c r="AC151" s="4">
        <f>IFERROR(W151/SUM(E151:H151), 0)</f>
      </c>
      <c r="AD151" s="4">
        <f>IFERROR(T151/H151, 0)</f>
      </c>
    </row>
    <row r="152" ht="20" customHeight="1" spans="1:30" x14ac:dyDescent="0.25">
      <c r="A152">
        <v>149</v>
      </c>
      <c r="B152" t="s">
        <v>315</v>
      </c>
      <c r="C152" t="s">
        <v>363</v>
      </c>
      <c r="D152" s="2" t="s">
        <v>315</v>
      </c>
      <c r="E152" s="8">
        <f>SUMIFS('Data nguồn'!H:H, 'Data nguồn'!D:D, $D152, 'Data nguồn'!F:F, $B$1, 'Data nguồn'!C:C, E$3)</f>
      </c>
      <c r="F152" s="8">
        <f>SUMIFS('Data nguồn'!H:H, 'Data nguồn'!D:D, $D152, 'Data nguồn'!F:F, $B$1, 'Data nguồn'!C:C, F$3)</f>
      </c>
      <c r="G152" s="8">
        <f>SUMIFS('Data nguồn'!H:H, 'Data nguồn'!D:D, $D152, 'Data nguồn'!F:F, $B$1, 'Data nguồn'!C:C, G$3)</f>
      </c>
      <c r="H152" s="8">
        <f>SUMIFS('Data nguồn'!H:H, 'Data nguồn'!D:D, $D152, 'Data nguồn'!F:F, $B$1, 'Data nguồn'!C:C, H$3)</f>
      </c>
      <c r="I152" s="8">
        <f>SUMIFS('Data nguồn'!H:H, 'Data nguồn'!D:D, $D152, 'Data nguồn'!F:F, $B$1, 'Data nguồn'!C:C, I$3)</f>
      </c>
      <c r="J152" s="8">
        <f>SUMIFS('Data nguồn'!H:H, 'Data nguồn'!D:D, $D152, 'Data nguồn'!F:F, $B$1, 'Data nguồn'!C:C, J$3)</f>
      </c>
      <c r="K152" s="8">
        <f>SUMIFS('Data nguồn'!H:H, 'Data nguồn'!D:D, $D152, 'Data nguồn'!F:F, $B$1, 'Data nguồn'!C:C, K$3)</f>
      </c>
      <c r="L152" s="8">
        <f>SUMIFS('Data nguồn'!H:H, 'Data nguồn'!D:D, $D152, 'Data nguồn'!F:F, $B$1, 'Data nguồn'!C:C, L$3)</f>
      </c>
      <c r="M152" s="8">
        <f>SUMIFS('Data nguồn'!H:H, 'Data nguồn'!D:D, $D152, 'Data nguồn'!F:F, $B$1, 'Data nguồn'!C:C, M$3)</f>
      </c>
      <c r="N152" s="8">
        <f>SUMIFS('Data nguồn'!H:H, 'Data nguồn'!D:D, $D152, 'Data nguồn'!F:F, $B$1, 'Data nguồn'!C:C, N$3)</f>
      </c>
      <c r="O152" s="8">
        <f>SUMIFS('Data nguồn'!H:H, 'Data nguồn'!D:D, $D152, 'Data nguồn'!F:F, $B$1, 'Data nguồn'!C:C, O$3)</f>
      </c>
      <c r="P152" s="8">
        <f>SUMIFS('Data nguồn'!H:H, 'Data nguồn'!D:D, $D152, 'Data nguồn'!F:F, $B$1, 'Data nguồn'!C:C, P$3)</f>
      </c>
      <c r="Q152" s="8">
        <f>SUMIFS('Data nguồn'!H:H, 'Data nguồn'!D:D, $D152, 'Data nguồn'!F:F, $B$1, 'Data nguồn'!C:C, Q$3)</f>
      </c>
      <c r="R152" s="8">
        <f>SUMIFS('Data nguồn'!H:H, 'Data nguồn'!D:D, $D152, 'Data nguồn'!F:F, $B$1, 'Data nguồn'!C:C, R$3)</f>
      </c>
      <c r="S152" s="8">
        <f>SUMIFS('Data nguồn'!H:H, 'Data nguồn'!D:D, $D152, 'Data nguồn'!F:F, $B$1, 'Data nguồn'!C:C, S$3)</f>
      </c>
      <c r="T152" s="8">
        <f>SUMIFS('Data nguồn'!H:H, 'Data nguồn'!D:D, $D152, 'Data nguồn'!F:F, $B$1, 'Data nguồn'!C:C, T$3)</f>
      </c>
      <c r="V152" s="8">
        <f>SUM(E152:P152)</f>
      </c>
      <c r="W152" s="8">
        <f>SUM(Q152:T152)</f>
      </c>
      <c r="X152" s="8">
        <f>AVERAGE(R152:T152)</f>
      </c>
      <c r="Y152" s="8">
        <f>AVERAGE(O152:T152)</f>
      </c>
      <c r="Z152" s="8">
        <f>AVERAGE(L152:T152)</f>
      </c>
      <c r="AA152" s="4">
        <f>IFERROR((X152*2)/(Y152+Z152), 0)</f>
      </c>
      <c r="AB152" s="4">
        <f>IFERROR(W152/SUM(E152:H152), 0)</f>
      </c>
      <c r="AC152" s="4">
        <f>IFERROR(W152/SUM(E152:H152), 0)</f>
      </c>
      <c r="AD152" s="4">
        <f>IFERROR(T152/H152, 0)</f>
      </c>
    </row>
    <row r="153" ht="20" customHeight="1" spans="1:30" x14ac:dyDescent="0.25">
      <c r="A153">
        <v>150</v>
      </c>
      <c r="B153" t="s">
        <v>316</v>
      </c>
      <c r="C153" t="s">
        <v>363</v>
      </c>
      <c r="D153" s="2" t="s">
        <v>316</v>
      </c>
      <c r="E153" s="8">
        <f>SUMIFS('Data nguồn'!H:H, 'Data nguồn'!D:D, $D153, 'Data nguồn'!F:F, $B$1, 'Data nguồn'!C:C, E$3)</f>
      </c>
      <c r="F153" s="8">
        <f>SUMIFS('Data nguồn'!H:H, 'Data nguồn'!D:D, $D153, 'Data nguồn'!F:F, $B$1, 'Data nguồn'!C:C, F$3)</f>
      </c>
      <c r="G153" s="8">
        <f>SUMIFS('Data nguồn'!H:H, 'Data nguồn'!D:D, $D153, 'Data nguồn'!F:F, $B$1, 'Data nguồn'!C:C, G$3)</f>
      </c>
      <c r="H153" s="8">
        <f>SUMIFS('Data nguồn'!H:H, 'Data nguồn'!D:D, $D153, 'Data nguồn'!F:F, $B$1, 'Data nguồn'!C:C, H$3)</f>
      </c>
      <c r="I153" s="8">
        <f>SUMIFS('Data nguồn'!H:H, 'Data nguồn'!D:D, $D153, 'Data nguồn'!F:F, $B$1, 'Data nguồn'!C:C, I$3)</f>
      </c>
      <c r="J153" s="8">
        <f>SUMIFS('Data nguồn'!H:H, 'Data nguồn'!D:D, $D153, 'Data nguồn'!F:F, $B$1, 'Data nguồn'!C:C, J$3)</f>
      </c>
      <c r="K153" s="8">
        <f>SUMIFS('Data nguồn'!H:H, 'Data nguồn'!D:D, $D153, 'Data nguồn'!F:F, $B$1, 'Data nguồn'!C:C, K$3)</f>
      </c>
      <c r="L153" s="8">
        <f>SUMIFS('Data nguồn'!H:H, 'Data nguồn'!D:D, $D153, 'Data nguồn'!F:F, $B$1, 'Data nguồn'!C:C, L$3)</f>
      </c>
      <c r="M153" s="8">
        <f>SUMIFS('Data nguồn'!H:H, 'Data nguồn'!D:D, $D153, 'Data nguồn'!F:F, $B$1, 'Data nguồn'!C:C, M$3)</f>
      </c>
      <c r="N153" s="8">
        <f>SUMIFS('Data nguồn'!H:H, 'Data nguồn'!D:D, $D153, 'Data nguồn'!F:F, $B$1, 'Data nguồn'!C:C, N$3)</f>
      </c>
      <c r="O153" s="8">
        <f>SUMIFS('Data nguồn'!H:H, 'Data nguồn'!D:D, $D153, 'Data nguồn'!F:F, $B$1, 'Data nguồn'!C:C, O$3)</f>
      </c>
      <c r="P153" s="8">
        <f>SUMIFS('Data nguồn'!H:H, 'Data nguồn'!D:D, $D153, 'Data nguồn'!F:F, $B$1, 'Data nguồn'!C:C, P$3)</f>
      </c>
      <c r="Q153" s="8">
        <f>SUMIFS('Data nguồn'!H:H, 'Data nguồn'!D:D, $D153, 'Data nguồn'!F:F, $B$1, 'Data nguồn'!C:C, Q$3)</f>
      </c>
      <c r="R153" s="8">
        <f>SUMIFS('Data nguồn'!H:H, 'Data nguồn'!D:D, $D153, 'Data nguồn'!F:F, $B$1, 'Data nguồn'!C:C, R$3)</f>
      </c>
      <c r="S153" s="8">
        <f>SUMIFS('Data nguồn'!H:H, 'Data nguồn'!D:D, $D153, 'Data nguồn'!F:F, $B$1, 'Data nguồn'!C:C, S$3)</f>
      </c>
      <c r="T153" s="8">
        <f>SUMIFS('Data nguồn'!H:H, 'Data nguồn'!D:D, $D153, 'Data nguồn'!F:F, $B$1, 'Data nguồn'!C:C, T$3)</f>
      </c>
      <c r="V153" s="8">
        <f>SUM(E153:P153)</f>
      </c>
      <c r="W153" s="8">
        <f>SUM(Q153:T153)</f>
      </c>
      <c r="X153" s="8">
        <f>AVERAGE(R153:T153)</f>
      </c>
      <c r="Y153" s="8">
        <f>AVERAGE(O153:T153)</f>
      </c>
      <c r="Z153" s="8">
        <f>AVERAGE(L153:T153)</f>
      </c>
      <c r="AA153" s="4">
        <f>IFERROR((X153*2)/(Y153+Z153), 0)</f>
      </c>
      <c r="AB153" s="4">
        <f>IFERROR(W153/SUM(E153:H153), 0)</f>
      </c>
      <c r="AC153" s="4">
        <f>IFERROR(W153/SUM(E153:H153), 0)</f>
      </c>
      <c r="AD153" s="4">
        <f>IFERROR(T153/H153, 0)</f>
      </c>
    </row>
    <row r="154" ht="20" customHeight="1" spans="1:30" x14ac:dyDescent="0.25">
      <c r="A154">
        <v>151</v>
      </c>
      <c r="B154" t="s">
        <v>317</v>
      </c>
      <c r="C154" t="s">
        <v>363</v>
      </c>
      <c r="D154" s="2" t="s">
        <v>317</v>
      </c>
      <c r="E154" s="8">
        <f>SUMIFS('Data nguồn'!H:H, 'Data nguồn'!D:D, $D154, 'Data nguồn'!F:F, $B$1, 'Data nguồn'!C:C, E$3)</f>
      </c>
      <c r="F154" s="8">
        <f>SUMIFS('Data nguồn'!H:H, 'Data nguồn'!D:D, $D154, 'Data nguồn'!F:F, $B$1, 'Data nguồn'!C:C, F$3)</f>
      </c>
      <c r="G154" s="8">
        <f>SUMIFS('Data nguồn'!H:H, 'Data nguồn'!D:D, $D154, 'Data nguồn'!F:F, $B$1, 'Data nguồn'!C:C, G$3)</f>
      </c>
      <c r="H154" s="8">
        <f>SUMIFS('Data nguồn'!H:H, 'Data nguồn'!D:D, $D154, 'Data nguồn'!F:F, $B$1, 'Data nguồn'!C:C, H$3)</f>
      </c>
      <c r="I154" s="8">
        <f>SUMIFS('Data nguồn'!H:H, 'Data nguồn'!D:D, $D154, 'Data nguồn'!F:F, $B$1, 'Data nguồn'!C:C, I$3)</f>
      </c>
      <c r="J154" s="8">
        <f>SUMIFS('Data nguồn'!H:H, 'Data nguồn'!D:D, $D154, 'Data nguồn'!F:F, $B$1, 'Data nguồn'!C:C, J$3)</f>
      </c>
      <c r="K154" s="8">
        <f>SUMIFS('Data nguồn'!H:H, 'Data nguồn'!D:D, $D154, 'Data nguồn'!F:F, $B$1, 'Data nguồn'!C:C, K$3)</f>
      </c>
      <c r="L154" s="8">
        <f>SUMIFS('Data nguồn'!H:H, 'Data nguồn'!D:D, $D154, 'Data nguồn'!F:F, $B$1, 'Data nguồn'!C:C, L$3)</f>
      </c>
      <c r="M154" s="8">
        <f>SUMIFS('Data nguồn'!H:H, 'Data nguồn'!D:D, $D154, 'Data nguồn'!F:F, $B$1, 'Data nguồn'!C:C, M$3)</f>
      </c>
      <c r="N154" s="8">
        <f>SUMIFS('Data nguồn'!H:H, 'Data nguồn'!D:D, $D154, 'Data nguồn'!F:F, $B$1, 'Data nguồn'!C:C, N$3)</f>
      </c>
      <c r="O154" s="8">
        <f>SUMIFS('Data nguồn'!H:H, 'Data nguồn'!D:D, $D154, 'Data nguồn'!F:F, $B$1, 'Data nguồn'!C:C, O$3)</f>
      </c>
      <c r="P154" s="8">
        <f>SUMIFS('Data nguồn'!H:H, 'Data nguồn'!D:D, $D154, 'Data nguồn'!F:F, $B$1, 'Data nguồn'!C:C, P$3)</f>
      </c>
      <c r="Q154" s="8">
        <f>SUMIFS('Data nguồn'!H:H, 'Data nguồn'!D:D, $D154, 'Data nguồn'!F:F, $B$1, 'Data nguồn'!C:C, Q$3)</f>
      </c>
      <c r="R154" s="8">
        <f>SUMIFS('Data nguồn'!H:H, 'Data nguồn'!D:D, $D154, 'Data nguồn'!F:F, $B$1, 'Data nguồn'!C:C, R$3)</f>
      </c>
      <c r="S154" s="8">
        <f>SUMIFS('Data nguồn'!H:H, 'Data nguồn'!D:D, $D154, 'Data nguồn'!F:F, $B$1, 'Data nguồn'!C:C, S$3)</f>
      </c>
      <c r="T154" s="8">
        <f>SUMIFS('Data nguồn'!H:H, 'Data nguồn'!D:D, $D154, 'Data nguồn'!F:F, $B$1, 'Data nguồn'!C:C, T$3)</f>
      </c>
      <c r="V154" s="8">
        <f>SUM(E154:P154)</f>
      </c>
      <c r="W154" s="8">
        <f>SUM(Q154:T154)</f>
      </c>
      <c r="X154" s="8">
        <f>AVERAGE(R154:T154)</f>
      </c>
      <c r="Y154" s="8">
        <f>AVERAGE(O154:T154)</f>
      </c>
      <c r="Z154" s="8">
        <f>AVERAGE(L154:T154)</f>
      </c>
      <c r="AA154" s="4">
        <f>IFERROR((X154*2)/(Y154+Z154), 0)</f>
      </c>
      <c r="AB154" s="4">
        <f>IFERROR(W154/SUM(E154:H154), 0)</f>
      </c>
      <c r="AC154" s="4">
        <f>IFERROR(W154/SUM(E154:H154), 0)</f>
      </c>
      <c r="AD154" s="4">
        <f>IFERROR(T154/H154, 0)</f>
      </c>
    </row>
    <row r="155" ht="20" customHeight="1" spans="1:30" x14ac:dyDescent="0.25">
      <c r="A155">
        <v>152</v>
      </c>
      <c r="B155" t="s">
        <v>318</v>
      </c>
      <c r="C155" t="s">
        <v>363</v>
      </c>
      <c r="D155" s="2" t="s">
        <v>318</v>
      </c>
      <c r="E155" s="8">
        <f>SUMIFS('Data nguồn'!H:H, 'Data nguồn'!D:D, $D155, 'Data nguồn'!F:F, $B$1, 'Data nguồn'!C:C, E$3)</f>
      </c>
      <c r="F155" s="8">
        <f>SUMIFS('Data nguồn'!H:H, 'Data nguồn'!D:D, $D155, 'Data nguồn'!F:F, $B$1, 'Data nguồn'!C:C, F$3)</f>
      </c>
      <c r="G155" s="8">
        <f>SUMIFS('Data nguồn'!H:H, 'Data nguồn'!D:D, $D155, 'Data nguồn'!F:F, $B$1, 'Data nguồn'!C:C, G$3)</f>
      </c>
      <c r="H155" s="8">
        <f>SUMIFS('Data nguồn'!H:H, 'Data nguồn'!D:D, $D155, 'Data nguồn'!F:F, $B$1, 'Data nguồn'!C:C, H$3)</f>
      </c>
      <c r="I155" s="8">
        <f>SUMIFS('Data nguồn'!H:H, 'Data nguồn'!D:D, $D155, 'Data nguồn'!F:F, $B$1, 'Data nguồn'!C:C, I$3)</f>
      </c>
      <c r="J155" s="8">
        <f>SUMIFS('Data nguồn'!H:H, 'Data nguồn'!D:D, $D155, 'Data nguồn'!F:F, $B$1, 'Data nguồn'!C:C, J$3)</f>
      </c>
      <c r="K155" s="8">
        <f>SUMIFS('Data nguồn'!H:H, 'Data nguồn'!D:D, $D155, 'Data nguồn'!F:F, $B$1, 'Data nguồn'!C:C, K$3)</f>
      </c>
      <c r="L155" s="8">
        <f>SUMIFS('Data nguồn'!H:H, 'Data nguồn'!D:D, $D155, 'Data nguồn'!F:F, $B$1, 'Data nguồn'!C:C, L$3)</f>
      </c>
      <c r="M155" s="8">
        <f>SUMIFS('Data nguồn'!H:H, 'Data nguồn'!D:D, $D155, 'Data nguồn'!F:F, $B$1, 'Data nguồn'!C:C, M$3)</f>
      </c>
      <c r="N155" s="8">
        <f>SUMIFS('Data nguồn'!H:H, 'Data nguồn'!D:D, $D155, 'Data nguồn'!F:F, $B$1, 'Data nguồn'!C:C, N$3)</f>
      </c>
      <c r="O155" s="8">
        <f>SUMIFS('Data nguồn'!H:H, 'Data nguồn'!D:D, $D155, 'Data nguồn'!F:F, $B$1, 'Data nguồn'!C:C, O$3)</f>
      </c>
      <c r="P155" s="8">
        <f>SUMIFS('Data nguồn'!H:H, 'Data nguồn'!D:D, $D155, 'Data nguồn'!F:F, $B$1, 'Data nguồn'!C:C, P$3)</f>
      </c>
      <c r="Q155" s="8">
        <f>SUMIFS('Data nguồn'!H:H, 'Data nguồn'!D:D, $D155, 'Data nguồn'!F:F, $B$1, 'Data nguồn'!C:C, Q$3)</f>
      </c>
      <c r="R155" s="8">
        <f>SUMIFS('Data nguồn'!H:H, 'Data nguồn'!D:D, $D155, 'Data nguồn'!F:F, $B$1, 'Data nguồn'!C:C, R$3)</f>
      </c>
      <c r="S155" s="8">
        <f>SUMIFS('Data nguồn'!H:H, 'Data nguồn'!D:D, $D155, 'Data nguồn'!F:F, $B$1, 'Data nguồn'!C:C, S$3)</f>
      </c>
      <c r="T155" s="8">
        <f>SUMIFS('Data nguồn'!H:H, 'Data nguồn'!D:D, $D155, 'Data nguồn'!F:F, $B$1, 'Data nguồn'!C:C, T$3)</f>
      </c>
      <c r="V155" s="8">
        <f>SUM(E155:P155)</f>
      </c>
      <c r="W155" s="8">
        <f>SUM(Q155:T155)</f>
      </c>
      <c r="X155" s="8">
        <f>AVERAGE(R155:T155)</f>
      </c>
      <c r="Y155" s="8">
        <f>AVERAGE(O155:T155)</f>
      </c>
      <c r="Z155" s="8">
        <f>AVERAGE(L155:T155)</f>
      </c>
      <c r="AA155" s="4">
        <f>IFERROR((X155*2)/(Y155+Z155), 0)</f>
      </c>
      <c r="AB155" s="4">
        <f>IFERROR(W155/SUM(E155:H155), 0)</f>
      </c>
      <c r="AC155" s="4">
        <f>IFERROR(W155/SUM(E155:H155), 0)</f>
      </c>
      <c r="AD155" s="4">
        <f>IFERROR(T155/H155, 0)</f>
      </c>
    </row>
    <row r="156" ht="20" customHeight="1" spans="1:30" x14ac:dyDescent="0.25">
      <c r="A156">
        <v>153</v>
      </c>
      <c r="B156" t="s">
        <v>320</v>
      </c>
      <c r="C156" t="s">
        <v>363</v>
      </c>
      <c r="D156" s="2" t="s">
        <v>320</v>
      </c>
      <c r="E156" s="8">
        <f>SUMIFS('Data nguồn'!H:H, 'Data nguồn'!D:D, $D156, 'Data nguồn'!F:F, $B$1, 'Data nguồn'!C:C, E$3)</f>
      </c>
      <c r="F156" s="8">
        <f>SUMIFS('Data nguồn'!H:H, 'Data nguồn'!D:D, $D156, 'Data nguồn'!F:F, $B$1, 'Data nguồn'!C:C, F$3)</f>
      </c>
      <c r="G156" s="8">
        <f>SUMIFS('Data nguồn'!H:H, 'Data nguồn'!D:D, $D156, 'Data nguồn'!F:F, $B$1, 'Data nguồn'!C:C, G$3)</f>
      </c>
      <c r="H156" s="8">
        <f>SUMIFS('Data nguồn'!H:H, 'Data nguồn'!D:D, $D156, 'Data nguồn'!F:F, $B$1, 'Data nguồn'!C:C, H$3)</f>
      </c>
      <c r="I156" s="8">
        <f>SUMIFS('Data nguồn'!H:H, 'Data nguồn'!D:D, $D156, 'Data nguồn'!F:F, $B$1, 'Data nguồn'!C:C, I$3)</f>
      </c>
      <c r="J156" s="8">
        <f>SUMIFS('Data nguồn'!H:H, 'Data nguồn'!D:D, $D156, 'Data nguồn'!F:F, $B$1, 'Data nguồn'!C:C, J$3)</f>
      </c>
      <c r="K156" s="8">
        <f>SUMIFS('Data nguồn'!H:H, 'Data nguồn'!D:D, $D156, 'Data nguồn'!F:F, $B$1, 'Data nguồn'!C:C, K$3)</f>
      </c>
      <c r="L156" s="8">
        <f>SUMIFS('Data nguồn'!H:H, 'Data nguồn'!D:D, $D156, 'Data nguồn'!F:F, $B$1, 'Data nguồn'!C:C, L$3)</f>
      </c>
      <c r="M156" s="8">
        <f>SUMIFS('Data nguồn'!H:H, 'Data nguồn'!D:D, $D156, 'Data nguồn'!F:F, $B$1, 'Data nguồn'!C:C, M$3)</f>
      </c>
      <c r="N156" s="8">
        <f>SUMIFS('Data nguồn'!H:H, 'Data nguồn'!D:D, $D156, 'Data nguồn'!F:F, $B$1, 'Data nguồn'!C:C, N$3)</f>
      </c>
      <c r="O156" s="8">
        <f>SUMIFS('Data nguồn'!H:H, 'Data nguồn'!D:D, $D156, 'Data nguồn'!F:F, $B$1, 'Data nguồn'!C:C, O$3)</f>
      </c>
      <c r="P156" s="8">
        <f>SUMIFS('Data nguồn'!H:H, 'Data nguồn'!D:D, $D156, 'Data nguồn'!F:F, $B$1, 'Data nguồn'!C:C, P$3)</f>
      </c>
      <c r="Q156" s="8">
        <f>SUMIFS('Data nguồn'!H:H, 'Data nguồn'!D:D, $D156, 'Data nguồn'!F:F, $B$1, 'Data nguồn'!C:C, Q$3)</f>
      </c>
      <c r="R156" s="8">
        <f>SUMIFS('Data nguồn'!H:H, 'Data nguồn'!D:D, $D156, 'Data nguồn'!F:F, $B$1, 'Data nguồn'!C:C, R$3)</f>
      </c>
      <c r="S156" s="8">
        <f>SUMIFS('Data nguồn'!H:H, 'Data nguồn'!D:D, $D156, 'Data nguồn'!F:F, $B$1, 'Data nguồn'!C:C, S$3)</f>
      </c>
      <c r="T156" s="8">
        <f>SUMIFS('Data nguồn'!H:H, 'Data nguồn'!D:D, $D156, 'Data nguồn'!F:F, $B$1, 'Data nguồn'!C:C, T$3)</f>
      </c>
      <c r="V156" s="8">
        <f>SUM(E156:P156)</f>
      </c>
      <c r="W156" s="8">
        <f>SUM(Q156:T156)</f>
      </c>
      <c r="X156" s="8">
        <f>AVERAGE(R156:T156)</f>
      </c>
      <c r="Y156" s="8">
        <f>AVERAGE(O156:T156)</f>
      </c>
      <c r="Z156" s="8">
        <f>AVERAGE(L156:T156)</f>
      </c>
      <c r="AA156" s="4">
        <f>IFERROR((X156*2)/(Y156+Z156), 0)</f>
      </c>
      <c r="AB156" s="4">
        <f>IFERROR(W156/SUM(E156:H156), 0)</f>
      </c>
      <c r="AC156" s="4">
        <f>IFERROR(W156/SUM(E156:H156), 0)</f>
      </c>
      <c r="AD156" s="4">
        <f>IFERROR(T156/H156, 0)</f>
      </c>
    </row>
    <row r="157" ht="20" customHeight="1" spans="1:30" x14ac:dyDescent="0.25">
      <c r="A157">
        <v>154</v>
      </c>
      <c r="B157" t="s">
        <v>322</v>
      </c>
      <c r="C157" t="s">
        <v>366</v>
      </c>
      <c r="D157" s="2" t="s">
        <v>322</v>
      </c>
      <c r="E157" s="8">
        <f>SUMIFS('Data nguồn'!H:H, 'Data nguồn'!D:D, $D157, 'Data nguồn'!F:F, $B$1, 'Data nguồn'!C:C, E$3)</f>
      </c>
      <c r="F157" s="8">
        <f>SUMIFS('Data nguồn'!H:H, 'Data nguồn'!D:D, $D157, 'Data nguồn'!F:F, $B$1, 'Data nguồn'!C:C, F$3)</f>
      </c>
      <c r="G157" s="8">
        <f>SUMIFS('Data nguồn'!H:H, 'Data nguồn'!D:D, $D157, 'Data nguồn'!F:F, $B$1, 'Data nguồn'!C:C, G$3)</f>
      </c>
      <c r="H157" s="8">
        <f>SUMIFS('Data nguồn'!H:H, 'Data nguồn'!D:D, $D157, 'Data nguồn'!F:F, $B$1, 'Data nguồn'!C:C, H$3)</f>
      </c>
      <c r="I157" s="8">
        <f>SUMIFS('Data nguồn'!H:H, 'Data nguồn'!D:D, $D157, 'Data nguồn'!F:F, $B$1, 'Data nguồn'!C:C, I$3)</f>
      </c>
      <c r="J157" s="8">
        <f>SUMIFS('Data nguồn'!H:H, 'Data nguồn'!D:D, $D157, 'Data nguồn'!F:F, $B$1, 'Data nguồn'!C:C, J$3)</f>
      </c>
      <c r="K157" s="8">
        <f>SUMIFS('Data nguồn'!H:H, 'Data nguồn'!D:D, $D157, 'Data nguồn'!F:F, $B$1, 'Data nguồn'!C:C, K$3)</f>
      </c>
      <c r="L157" s="8">
        <f>SUMIFS('Data nguồn'!H:H, 'Data nguồn'!D:D, $D157, 'Data nguồn'!F:F, $B$1, 'Data nguồn'!C:C, L$3)</f>
      </c>
      <c r="M157" s="8">
        <f>SUMIFS('Data nguồn'!H:H, 'Data nguồn'!D:D, $D157, 'Data nguồn'!F:F, $B$1, 'Data nguồn'!C:C, M$3)</f>
      </c>
      <c r="N157" s="8">
        <f>SUMIFS('Data nguồn'!H:H, 'Data nguồn'!D:D, $D157, 'Data nguồn'!F:F, $B$1, 'Data nguồn'!C:C, N$3)</f>
      </c>
      <c r="O157" s="8">
        <f>SUMIFS('Data nguồn'!H:H, 'Data nguồn'!D:D, $D157, 'Data nguồn'!F:F, $B$1, 'Data nguồn'!C:C, O$3)</f>
      </c>
      <c r="P157" s="8">
        <f>SUMIFS('Data nguồn'!H:H, 'Data nguồn'!D:D, $D157, 'Data nguồn'!F:F, $B$1, 'Data nguồn'!C:C, P$3)</f>
      </c>
      <c r="Q157" s="8">
        <f>SUMIFS('Data nguồn'!H:H, 'Data nguồn'!D:D, $D157, 'Data nguồn'!F:F, $B$1, 'Data nguồn'!C:C, Q$3)</f>
      </c>
      <c r="R157" s="8">
        <f>SUMIFS('Data nguồn'!H:H, 'Data nguồn'!D:D, $D157, 'Data nguồn'!F:F, $B$1, 'Data nguồn'!C:C, R$3)</f>
      </c>
      <c r="S157" s="8">
        <f>SUMIFS('Data nguồn'!H:H, 'Data nguồn'!D:D, $D157, 'Data nguồn'!F:F, $B$1, 'Data nguồn'!C:C, S$3)</f>
      </c>
      <c r="T157" s="8">
        <f>SUMIFS('Data nguồn'!H:H, 'Data nguồn'!D:D, $D157, 'Data nguồn'!F:F, $B$1, 'Data nguồn'!C:C, T$3)</f>
      </c>
      <c r="V157" s="8">
        <f>SUM(E157:P157)</f>
      </c>
      <c r="W157" s="8">
        <f>SUM(Q157:T157)</f>
      </c>
      <c r="X157" s="8">
        <f>AVERAGE(R157:T157)</f>
      </c>
      <c r="Y157" s="8">
        <f>AVERAGE(O157:T157)</f>
      </c>
      <c r="Z157" s="8">
        <f>AVERAGE(L157:T157)</f>
      </c>
      <c r="AA157" s="4">
        <f>IFERROR((X157*2)/(Y157+Z157), 0)</f>
      </c>
      <c r="AB157" s="4">
        <f>IFERROR(W157/SUM(E157:H157), 0)</f>
      </c>
      <c r="AC157" s="4">
        <f>IFERROR(W157/SUM(E157:H157), 0)</f>
      </c>
      <c r="AD157" s="4">
        <f>IFERROR(T157/H157, 0)</f>
      </c>
    </row>
    <row r="158" ht="20" customHeight="1" spans="1:30" x14ac:dyDescent="0.25">
      <c r="A158">
        <v>155</v>
      </c>
      <c r="B158" t="s">
        <v>324</v>
      </c>
      <c r="C158" t="s">
        <v>363</v>
      </c>
      <c r="D158" s="2" t="s">
        <v>324</v>
      </c>
      <c r="E158" s="8">
        <f>SUMIFS('Data nguồn'!H:H, 'Data nguồn'!D:D, $D158, 'Data nguồn'!F:F, $B$1, 'Data nguồn'!C:C, E$3)</f>
      </c>
      <c r="F158" s="8">
        <f>SUMIFS('Data nguồn'!H:H, 'Data nguồn'!D:D, $D158, 'Data nguồn'!F:F, $B$1, 'Data nguồn'!C:C, F$3)</f>
      </c>
      <c r="G158" s="8">
        <f>SUMIFS('Data nguồn'!H:H, 'Data nguồn'!D:D, $D158, 'Data nguồn'!F:F, $B$1, 'Data nguồn'!C:C, G$3)</f>
      </c>
      <c r="H158" s="8">
        <f>SUMIFS('Data nguồn'!H:H, 'Data nguồn'!D:D, $D158, 'Data nguồn'!F:F, $B$1, 'Data nguồn'!C:C, H$3)</f>
      </c>
      <c r="I158" s="8">
        <f>SUMIFS('Data nguồn'!H:H, 'Data nguồn'!D:D, $D158, 'Data nguồn'!F:F, $B$1, 'Data nguồn'!C:C, I$3)</f>
      </c>
      <c r="J158" s="8">
        <f>SUMIFS('Data nguồn'!H:H, 'Data nguồn'!D:D, $D158, 'Data nguồn'!F:F, $B$1, 'Data nguồn'!C:C, J$3)</f>
      </c>
      <c r="K158" s="8">
        <f>SUMIFS('Data nguồn'!H:H, 'Data nguồn'!D:D, $D158, 'Data nguồn'!F:F, $B$1, 'Data nguồn'!C:C, K$3)</f>
      </c>
      <c r="L158" s="8">
        <f>SUMIFS('Data nguồn'!H:H, 'Data nguồn'!D:D, $D158, 'Data nguồn'!F:F, $B$1, 'Data nguồn'!C:C, L$3)</f>
      </c>
      <c r="M158" s="8">
        <f>SUMIFS('Data nguồn'!H:H, 'Data nguồn'!D:D, $D158, 'Data nguồn'!F:F, $B$1, 'Data nguồn'!C:C, M$3)</f>
      </c>
      <c r="N158" s="8">
        <f>SUMIFS('Data nguồn'!H:H, 'Data nguồn'!D:D, $D158, 'Data nguồn'!F:F, $B$1, 'Data nguồn'!C:C, N$3)</f>
      </c>
      <c r="O158" s="8">
        <f>SUMIFS('Data nguồn'!H:H, 'Data nguồn'!D:D, $D158, 'Data nguồn'!F:F, $B$1, 'Data nguồn'!C:C, O$3)</f>
      </c>
      <c r="P158" s="8">
        <f>SUMIFS('Data nguồn'!H:H, 'Data nguồn'!D:D, $D158, 'Data nguồn'!F:F, $B$1, 'Data nguồn'!C:C, P$3)</f>
      </c>
      <c r="Q158" s="8">
        <f>SUMIFS('Data nguồn'!H:H, 'Data nguồn'!D:D, $D158, 'Data nguồn'!F:F, $B$1, 'Data nguồn'!C:C, Q$3)</f>
      </c>
      <c r="R158" s="8">
        <f>SUMIFS('Data nguồn'!H:H, 'Data nguồn'!D:D, $D158, 'Data nguồn'!F:F, $B$1, 'Data nguồn'!C:C, R$3)</f>
      </c>
      <c r="S158" s="8">
        <f>SUMIFS('Data nguồn'!H:H, 'Data nguồn'!D:D, $D158, 'Data nguồn'!F:F, $B$1, 'Data nguồn'!C:C, S$3)</f>
      </c>
      <c r="T158" s="8">
        <f>SUMIFS('Data nguồn'!H:H, 'Data nguồn'!D:D, $D158, 'Data nguồn'!F:F, $B$1, 'Data nguồn'!C:C, T$3)</f>
      </c>
      <c r="V158" s="8">
        <f>SUM(E158:P158)</f>
      </c>
      <c r="W158" s="8">
        <f>SUM(Q158:T158)</f>
      </c>
      <c r="X158" s="8">
        <f>AVERAGE(R158:T158)</f>
      </c>
      <c r="Y158" s="8">
        <f>AVERAGE(O158:T158)</f>
      </c>
      <c r="Z158" s="8">
        <f>AVERAGE(L158:T158)</f>
      </c>
      <c r="AA158" s="4">
        <f>IFERROR((X158*2)/(Y158+Z158), 0)</f>
      </c>
      <c r="AB158" s="4">
        <f>IFERROR(W158/SUM(E158:H158), 0)</f>
      </c>
      <c r="AC158" s="4">
        <f>IFERROR(W158/SUM(E158:H158), 0)</f>
      </c>
      <c r="AD158" s="4">
        <f>IFERROR(T158/H158, 0)</f>
      </c>
    </row>
    <row r="159" ht="20" customHeight="1" spans="1:30" x14ac:dyDescent="0.25">
      <c r="A159">
        <v>156</v>
      </c>
      <c r="B159" t="s">
        <v>325</v>
      </c>
      <c r="C159" t="s">
        <v>367</v>
      </c>
      <c r="D159" s="2" t="s">
        <v>325</v>
      </c>
      <c r="E159" s="8">
        <f>SUMIFS('Data nguồn'!H:H, 'Data nguồn'!D:D, $D159, 'Data nguồn'!F:F, $B$1, 'Data nguồn'!C:C, E$3)</f>
      </c>
      <c r="F159" s="8">
        <f>SUMIFS('Data nguồn'!H:H, 'Data nguồn'!D:D, $D159, 'Data nguồn'!F:F, $B$1, 'Data nguồn'!C:C, F$3)</f>
      </c>
      <c r="G159" s="8">
        <f>SUMIFS('Data nguồn'!H:H, 'Data nguồn'!D:D, $D159, 'Data nguồn'!F:F, $B$1, 'Data nguồn'!C:C, G$3)</f>
      </c>
      <c r="H159" s="8">
        <f>SUMIFS('Data nguồn'!H:H, 'Data nguồn'!D:D, $D159, 'Data nguồn'!F:F, $B$1, 'Data nguồn'!C:C, H$3)</f>
      </c>
      <c r="I159" s="8">
        <f>SUMIFS('Data nguồn'!H:H, 'Data nguồn'!D:D, $D159, 'Data nguồn'!F:F, $B$1, 'Data nguồn'!C:C, I$3)</f>
      </c>
      <c r="J159" s="8">
        <f>SUMIFS('Data nguồn'!H:H, 'Data nguồn'!D:D, $D159, 'Data nguồn'!F:F, $B$1, 'Data nguồn'!C:C, J$3)</f>
      </c>
      <c r="K159" s="8">
        <f>SUMIFS('Data nguồn'!H:H, 'Data nguồn'!D:D, $D159, 'Data nguồn'!F:F, $B$1, 'Data nguồn'!C:C, K$3)</f>
      </c>
      <c r="L159" s="8">
        <f>SUMIFS('Data nguồn'!H:H, 'Data nguồn'!D:D, $D159, 'Data nguồn'!F:F, $B$1, 'Data nguồn'!C:C, L$3)</f>
      </c>
      <c r="M159" s="8">
        <f>SUMIFS('Data nguồn'!H:H, 'Data nguồn'!D:D, $D159, 'Data nguồn'!F:F, $B$1, 'Data nguồn'!C:C, M$3)</f>
      </c>
      <c r="N159" s="8">
        <f>SUMIFS('Data nguồn'!H:H, 'Data nguồn'!D:D, $D159, 'Data nguồn'!F:F, $B$1, 'Data nguồn'!C:C, N$3)</f>
      </c>
      <c r="O159" s="8">
        <f>SUMIFS('Data nguồn'!H:H, 'Data nguồn'!D:D, $D159, 'Data nguồn'!F:F, $B$1, 'Data nguồn'!C:C, O$3)</f>
      </c>
      <c r="P159" s="8">
        <f>SUMIFS('Data nguồn'!H:H, 'Data nguồn'!D:D, $D159, 'Data nguồn'!F:F, $B$1, 'Data nguồn'!C:C, P$3)</f>
      </c>
      <c r="Q159" s="8">
        <f>SUMIFS('Data nguồn'!H:H, 'Data nguồn'!D:D, $D159, 'Data nguồn'!F:F, $B$1, 'Data nguồn'!C:C, Q$3)</f>
      </c>
      <c r="R159" s="8">
        <f>SUMIFS('Data nguồn'!H:H, 'Data nguồn'!D:D, $D159, 'Data nguồn'!F:F, $B$1, 'Data nguồn'!C:C, R$3)</f>
      </c>
      <c r="S159" s="8">
        <f>SUMIFS('Data nguồn'!H:H, 'Data nguồn'!D:D, $D159, 'Data nguồn'!F:F, $B$1, 'Data nguồn'!C:C, S$3)</f>
      </c>
      <c r="T159" s="8">
        <f>SUMIFS('Data nguồn'!H:H, 'Data nguồn'!D:D, $D159, 'Data nguồn'!F:F, $B$1, 'Data nguồn'!C:C, T$3)</f>
      </c>
      <c r="V159" s="8">
        <f>SUM(E159:P159)</f>
      </c>
      <c r="W159" s="8">
        <f>SUM(Q159:T159)</f>
      </c>
      <c r="X159" s="8">
        <f>AVERAGE(R159:T159)</f>
      </c>
      <c r="Y159" s="8">
        <f>AVERAGE(O159:T159)</f>
      </c>
      <c r="Z159" s="8">
        <f>AVERAGE(L159:T159)</f>
      </c>
      <c r="AA159" s="4">
        <f>IFERROR((X159*2)/(Y159+Z159), 0)</f>
      </c>
      <c r="AB159" s="4">
        <f>IFERROR(W159/SUM(E159:H159), 0)</f>
      </c>
      <c r="AC159" s="4">
        <f>IFERROR(W159/SUM(E159:H159), 0)</f>
      </c>
      <c r="AD159" s="4">
        <f>IFERROR(T159/H159, 0)</f>
      </c>
    </row>
    <row r="160" ht="20" customHeight="1" spans="1:30" x14ac:dyDescent="0.25">
      <c r="A160">
        <v>157</v>
      </c>
      <c r="B160" t="s">
        <v>327</v>
      </c>
      <c r="C160" t="s">
        <v>365</v>
      </c>
      <c r="D160" s="2" t="s">
        <v>327</v>
      </c>
      <c r="E160" s="8">
        <f>SUMIFS('Data nguồn'!H:H, 'Data nguồn'!D:D, $D160, 'Data nguồn'!F:F, $B$1, 'Data nguồn'!C:C, E$3)</f>
      </c>
      <c r="F160" s="8">
        <f>SUMIFS('Data nguồn'!H:H, 'Data nguồn'!D:D, $D160, 'Data nguồn'!F:F, $B$1, 'Data nguồn'!C:C, F$3)</f>
      </c>
      <c r="G160" s="8">
        <f>SUMIFS('Data nguồn'!H:H, 'Data nguồn'!D:D, $D160, 'Data nguồn'!F:F, $B$1, 'Data nguồn'!C:C, G$3)</f>
      </c>
      <c r="H160" s="8">
        <f>SUMIFS('Data nguồn'!H:H, 'Data nguồn'!D:D, $D160, 'Data nguồn'!F:F, $B$1, 'Data nguồn'!C:C, H$3)</f>
      </c>
      <c r="I160" s="8">
        <f>SUMIFS('Data nguồn'!H:H, 'Data nguồn'!D:D, $D160, 'Data nguồn'!F:F, $B$1, 'Data nguồn'!C:C, I$3)</f>
      </c>
      <c r="J160" s="8">
        <f>SUMIFS('Data nguồn'!H:H, 'Data nguồn'!D:D, $D160, 'Data nguồn'!F:F, $B$1, 'Data nguồn'!C:C, J$3)</f>
      </c>
      <c r="K160" s="8">
        <f>SUMIFS('Data nguồn'!H:H, 'Data nguồn'!D:D, $D160, 'Data nguồn'!F:F, $B$1, 'Data nguồn'!C:C, K$3)</f>
      </c>
      <c r="L160" s="8">
        <f>SUMIFS('Data nguồn'!H:H, 'Data nguồn'!D:D, $D160, 'Data nguồn'!F:F, $B$1, 'Data nguồn'!C:C, L$3)</f>
      </c>
      <c r="M160" s="8">
        <f>SUMIFS('Data nguồn'!H:H, 'Data nguồn'!D:D, $D160, 'Data nguồn'!F:F, $B$1, 'Data nguồn'!C:C, M$3)</f>
      </c>
      <c r="N160" s="8">
        <f>SUMIFS('Data nguồn'!H:H, 'Data nguồn'!D:D, $D160, 'Data nguồn'!F:F, $B$1, 'Data nguồn'!C:C, N$3)</f>
      </c>
      <c r="O160" s="8">
        <f>SUMIFS('Data nguồn'!H:H, 'Data nguồn'!D:D, $D160, 'Data nguồn'!F:F, $B$1, 'Data nguồn'!C:C, O$3)</f>
      </c>
      <c r="P160" s="8">
        <f>SUMIFS('Data nguồn'!H:H, 'Data nguồn'!D:D, $D160, 'Data nguồn'!F:F, $B$1, 'Data nguồn'!C:C, P$3)</f>
      </c>
      <c r="Q160" s="8">
        <f>SUMIFS('Data nguồn'!H:H, 'Data nguồn'!D:D, $D160, 'Data nguồn'!F:F, $B$1, 'Data nguồn'!C:C, Q$3)</f>
      </c>
      <c r="R160" s="8">
        <f>SUMIFS('Data nguồn'!H:H, 'Data nguồn'!D:D, $D160, 'Data nguồn'!F:F, $B$1, 'Data nguồn'!C:C, R$3)</f>
      </c>
      <c r="S160" s="8">
        <f>SUMIFS('Data nguồn'!H:H, 'Data nguồn'!D:D, $D160, 'Data nguồn'!F:F, $B$1, 'Data nguồn'!C:C, S$3)</f>
      </c>
      <c r="T160" s="8">
        <f>SUMIFS('Data nguồn'!H:H, 'Data nguồn'!D:D, $D160, 'Data nguồn'!F:F, $B$1, 'Data nguồn'!C:C, T$3)</f>
      </c>
      <c r="V160" s="8">
        <f>SUM(E160:P160)</f>
      </c>
      <c r="W160" s="8">
        <f>SUM(Q160:T160)</f>
      </c>
      <c r="X160" s="8">
        <f>AVERAGE(R160:T160)</f>
      </c>
      <c r="Y160" s="8">
        <f>AVERAGE(O160:T160)</f>
      </c>
      <c r="Z160" s="8">
        <f>AVERAGE(L160:T160)</f>
      </c>
      <c r="AA160" s="4">
        <f>IFERROR((X160*2)/(Y160+Z160), 0)</f>
      </c>
      <c r="AB160" s="4">
        <f>IFERROR(W160/SUM(E160:H160), 0)</f>
      </c>
      <c r="AC160" s="4">
        <f>IFERROR(W160/SUM(E160:H160), 0)</f>
      </c>
      <c r="AD160" s="4">
        <f>IFERROR(T160/H160, 0)</f>
      </c>
    </row>
    <row r="161" ht="20" customHeight="1" spans="1:30" x14ac:dyDescent="0.25">
      <c r="A161">
        <v>158</v>
      </c>
      <c r="B161" t="s">
        <v>329</v>
      </c>
      <c r="C161" t="s">
        <v>363</v>
      </c>
      <c r="D161" s="2" t="s">
        <v>329</v>
      </c>
      <c r="E161" s="8">
        <f>SUMIFS('Data nguồn'!H:H, 'Data nguồn'!D:D, $D161, 'Data nguồn'!F:F, $B$1, 'Data nguồn'!C:C, E$3)</f>
      </c>
      <c r="F161" s="8">
        <f>SUMIFS('Data nguồn'!H:H, 'Data nguồn'!D:D, $D161, 'Data nguồn'!F:F, $B$1, 'Data nguồn'!C:C, F$3)</f>
      </c>
      <c r="G161" s="8">
        <f>SUMIFS('Data nguồn'!H:H, 'Data nguồn'!D:D, $D161, 'Data nguồn'!F:F, $B$1, 'Data nguồn'!C:C, G$3)</f>
      </c>
      <c r="H161" s="8">
        <f>SUMIFS('Data nguồn'!H:H, 'Data nguồn'!D:D, $D161, 'Data nguồn'!F:F, $B$1, 'Data nguồn'!C:C, H$3)</f>
      </c>
      <c r="I161" s="8">
        <f>SUMIFS('Data nguồn'!H:H, 'Data nguồn'!D:D, $D161, 'Data nguồn'!F:F, $B$1, 'Data nguồn'!C:C, I$3)</f>
      </c>
      <c r="J161" s="8">
        <f>SUMIFS('Data nguồn'!H:H, 'Data nguồn'!D:D, $D161, 'Data nguồn'!F:F, $B$1, 'Data nguồn'!C:C, J$3)</f>
      </c>
      <c r="K161" s="8">
        <f>SUMIFS('Data nguồn'!H:H, 'Data nguồn'!D:D, $D161, 'Data nguồn'!F:F, $B$1, 'Data nguồn'!C:C, K$3)</f>
      </c>
      <c r="L161" s="8">
        <f>SUMIFS('Data nguồn'!H:H, 'Data nguồn'!D:D, $D161, 'Data nguồn'!F:F, $B$1, 'Data nguồn'!C:C, L$3)</f>
      </c>
      <c r="M161" s="8">
        <f>SUMIFS('Data nguồn'!H:H, 'Data nguồn'!D:D, $D161, 'Data nguồn'!F:F, $B$1, 'Data nguồn'!C:C, M$3)</f>
      </c>
      <c r="N161" s="8">
        <f>SUMIFS('Data nguồn'!H:H, 'Data nguồn'!D:D, $D161, 'Data nguồn'!F:F, $B$1, 'Data nguồn'!C:C, N$3)</f>
      </c>
      <c r="O161" s="8">
        <f>SUMIFS('Data nguồn'!H:H, 'Data nguồn'!D:D, $D161, 'Data nguồn'!F:F, $B$1, 'Data nguồn'!C:C, O$3)</f>
      </c>
      <c r="P161" s="8">
        <f>SUMIFS('Data nguồn'!H:H, 'Data nguồn'!D:D, $D161, 'Data nguồn'!F:F, $B$1, 'Data nguồn'!C:C, P$3)</f>
      </c>
      <c r="Q161" s="8">
        <f>SUMIFS('Data nguồn'!H:H, 'Data nguồn'!D:D, $D161, 'Data nguồn'!F:F, $B$1, 'Data nguồn'!C:C, Q$3)</f>
      </c>
      <c r="R161" s="8">
        <f>SUMIFS('Data nguồn'!H:H, 'Data nguồn'!D:D, $D161, 'Data nguồn'!F:F, $B$1, 'Data nguồn'!C:C, R$3)</f>
      </c>
      <c r="S161" s="8">
        <f>SUMIFS('Data nguồn'!H:H, 'Data nguồn'!D:D, $D161, 'Data nguồn'!F:F, $B$1, 'Data nguồn'!C:C, S$3)</f>
      </c>
      <c r="T161" s="8">
        <f>SUMIFS('Data nguồn'!H:H, 'Data nguồn'!D:D, $D161, 'Data nguồn'!F:F, $B$1, 'Data nguồn'!C:C, T$3)</f>
      </c>
      <c r="V161" s="8">
        <f>SUM(E161:P161)</f>
      </c>
      <c r="W161" s="8">
        <f>SUM(Q161:T161)</f>
      </c>
      <c r="X161" s="8">
        <f>AVERAGE(R161:T161)</f>
      </c>
      <c r="Y161" s="8">
        <f>AVERAGE(O161:T161)</f>
      </c>
      <c r="Z161" s="8">
        <f>AVERAGE(L161:T161)</f>
      </c>
      <c r="AA161" s="4">
        <f>IFERROR((X161*2)/(Y161+Z161), 0)</f>
      </c>
      <c r="AB161" s="4">
        <f>IFERROR(W161/SUM(E161:H161), 0)</f>
      </c>
      <c r="AC161" s="4">
        <f>IFERROR(W161/SUM(E161:H161), 0)</f>
      </c>
      <c r="AD161" s="4">
        <f>IFERROR(T161/H161, 0)</f>
      </c>
    </row>
    <row r="162" ht="20" customHeight="1" spans="1:30" x14ac:dyDescent="0.25">
      <c r="A162">
        <v>159</v>
      </c>
      <c r="B162" t="s">
        <v>330</v>
      </c>
      <c r="C162" t="s">
        <v>363</v>
      </c>
      <c r="D162" s="2" t="s">
        <v>330</v>
      </c>
      <c r="E162" s="8">
        <f>SUMIFS('Data nguồn'!H:H, 'Data nguồn'!D:D, $D162, 'Data nguồn'!F:F, $B$1, 'Data nguồn'!C:C, E$3)</f>
      </c>
      <c r="F162" s="8">
        <f>SUMIFS('Data nguồn'!H:H, 'Data nguồn'!D:D, $D162, 'Data nguồn'!F:F, $B$1, 'Data nguồn'!C:C, F$3)</f>
      </c>
      <c r="G162" s="8">
        <f>SUMIFS('Data nguồn'!H:H, 'Data nguồn'!D:D, $D162, 'Data nguồn'!F:F, $B$1, 'Data nguồn'!C:C, G$3)</f>
      </c>
      <c r="H162" s="8">
        <f>SUMIFS('Data nguồn'!H:H, 'Data nguồn'!D:D, $D162, 'Data nguồn'!F:F, $B$1, 'Data nguồn'!C:C, H$3)</f>
      </c>
      <c r="I162" s="8">
        <f>SUMIFS('Data nguồn'!H:H, 'Data nguồn'!D:D, $D162, 'Data nguồn'!F:F, $B$1, 'Data nguồn'!C:C, I$3)</f>
      </c>
      <c r="J162" s="8">
        <f>SUMIFS('Data nguồn'!H:H, 'Data nguồn'!D:D, $D162, 'Data nguồn'!F:F, $B$1, 'Data nguồn'!C:C, J$3)</f>
      </c>
      <c r="K162" s="8">
        <f>SUMIFS('Data nguồn'!H:H, 'Data nguồn'!D:D, $D162, 'Data nguồn'!F:F, $B$1, 'Data nguồn'!C:C, K$3)</f>
      </c>
      <c r="L162" s="8">
        <f>SUMIFS('Data nguồn'!H:H, 'Data nguồn'!D:D, $D162, 'Data nguồn'!F:F, $B$1, 'Data nguồn'!C:C, L$3)</f>
      </c>
      <c r="M162" s="8">
        <f>SUMIFS('Data nguồn'!H:H, 'Data nguồn'!D:D, $D162, 'Data nguồn'!F:F, $B$1, 'Data nguồn'!C:C, M$3)</f>
      </c>
      <c r="N162" s="8">
        <f>SUMIFS('Data nguồn'!H:H, 'Data nguồn'!D:D, $D162, 'Data nguồn'!F:F, $B$1, 'Data nguồn'!C:C, N$3)</f>
      </c>
      <c r="O162" s="8">
        <f>SUMIFS('Data nguồn'!H:H, 'Data nguồn'!D:D, $D162, 'Data nguồn'!F:F, $B$1, 'Data nguồn'!C:C, O$3)</f>
      </c>
      <c r="P162" s="8">
        <f>SUMIFS('Data nguồn'!H:H, 'Data nguồn'!D:D, $D162, 'Data nguồn'!F:F, $B$1, 'Data nguồn'!C:C, P$3)</f>
      </c>
      <c r="Q162" s="8">
        <f>SUMIFS('Data nguồn'!H:H, 'Data nguồn'!D:D, $D162, 'Data nguồn'!F:F, $B$1, 'Data nguồn'!C:C, Q$3)</f>
      </c>
      <c r="R162" s="8">
        <f>SUMIFS('Data nguồn'!H:H, 'Data nguồn'!D:D, $D162, 'Data nguồn'!F:F, $B$1, 'Data nguồn'!C:C, R$3)</f>
      </c>
      <c r="S162" s="8">
        <f>SUMIFS('Data nguồn'!H:H, 'Data nguồn'!D:D, $D162, 'Data nguồn'!F:F, $B$1, 'Data nguồn'!C:C, S$3)</f>
      </c>
      <c r="T162" s="8">
        <f>SUMIFS('Data nguồn'!H:H, 'Data nguồn'!D:D, $D162, 'Data nguồn'!F:F, $B$1, 'Data nguồn'!C:C, T$3)</f>
      </c>
      <c r="V162" s="8">
        <f>SUM(E162:P162)</f>
      </c>
      <c r="W162" s="8">
        <f>SUM(Q162:T162)</f>
      </c>
      <c r="X162" s="8">
        <f>AVERAGE(R162:T162)</f>
      </c>
      <c r="Y162" s="8">
        <f>AVERAGE(O162:T162)</f>
      </c>
      <c r="Z162" s="8">
        <f>AVERAGE(L162:T162)</f>
      </c>
      <c r="AA162" s="4">
        <f>IFERROR((X162*2)/(Y162+Z162), 0)</f>
      </c>
      <c r="AB162" s="4">
        <f>IFERROR(W162/SUM(E162:H162), 0)</f>
      </c>
      <c r="AC162" s="4">
        <f>IFERROR(W162/SUM(E162:H162), 0)</f>
      </c>
      <c r="AD162" s="4">
        <f>IFERROR(T162/H162, 0)</f>
      </c>
    </row>
    <row r="163" ht="20" customHeight="1" spans="1:30" x14ac:dyDescent="0.25">
      <c r="A163">
        <v>160</v>
      </c>
      <c r="B163" t="s">
        <v>331</v>
      </c>
      <c r="C163" t="s">
        <v>368</v>
      </c>
      <c r="D163" s="2" t="s">
        <v>331</v>
      </c>
      <c r="E163" s="8">
        <f>SUMIFS('Data nguồn'!H:H, 'Data nguồn'!D:D, $D163, 'Data nguồn'!F:F, $B$1, 'Data nguồn'!C:C, E$3)</f>
      </c>
      <c r="F163" s="8">
        <f>SUMIFS('Data nguồn'!H:H, 'Data nguồn'!D:D, $D163, 'Data nguồn'!F:F, $B$1, 'Data nguồn'!C:C, F$3)</f>
      </c>
      <c r="G163" s="8">
        <f>SUMIFS('Data nguồn'!H:H, 'Data nguồn'!D:D, $D163, 'Data nguồn'!F:F, $B$1, 'Data nguồn'!C:C, G$3)</f>
      </c>
      <c r="H163" s="8">
        <f>SUMIFS('Data nguồn'!H:H, 'Data nguồn'!D:D, $D163, 'Data nguồn'!F:F, $B$1, 'Data nguồn'!C:C, H$3)</f>
      </c>
      <c r="I163" s="8">
        <f>SUMIFS('Data nguồn'!H:H, 'Data nguồn'!D:D, $D163, 'Data nguồn'!F:F, $B$1, 'Data nguồn'!C:C, I$3)</f>
      </c>
      <c r="J163" s="8">
        <f>SUMIFS('Data nguồn'!H:H, 'Data nguồn'!D:D, $D163, 'Data nguồn'!F:F, $B$1, 'Data nguồn'!C:C, J$3)</f>
      </c>
      <c r="K163" s="8">
        <f>SUMIFS('Data nguồn'!H:H, 'Data nguồn'!D:D, $D163, 'Data nguồn'!F:F, $B$1, 'Data nguồn'!C:C, K$3)</f>
      </c>
      <c r="L163" s="8">
        <f>SUMIFS('Data nguồn'!H:H, 'Data nguồn'!D:D, $D163, 'Data nguồn'!F:F, $B$1, 'Data nguồn'!C:C, L$3)</f>
      </c>
      <c r="M163" s="8">
        <f>SUMIFS('Data nguồn'!H:H, 'Data nguồn'!D:D, $D163, 'Data nguồn'!F:F, $B$1, 'Data nguồn'!C:C, M$3)</f>
      </c>
      <c r="N163" s="8">
        <f>SUMIFS('Data nguồn'!H:H, 'Data nguồn'!D:D, $D163, 'Data nguồn'!F:F, $B$1, 'Data nguồn'!C:C, N$3)</f>
      </c>
      <c r="O163" s="8">
        <f>SUMIFS('Data nguồn'!H:H, 'Data nguồn'!D:D, $D163, 'Data nguồn'!F:F, $B$1, 'Data nguồn'!C:C, O$3)</f>
      </c>
      <c r="P163" s="8">
        <f>SUMIFS('Data nguồn'!H:H, 'Data nguồn'!D:D, $D163, 'Data nguồn'!F:F, $B$1, 'Data nguồn'!C:C, P$3)</f>
      </c>
      <c r="Q163" s="8">
        <f>SUMIFS('Data nguồn'!H:H, 'Data nguồn'!D:D, $D163, 'Data nguồn'!F:F, $B$1, 'Data nguồn'!C:C, Q$3)</f>
      </c>
      <c r="R163" s="8">
        <f>SUMIFS('Data nguồn'!H:H, 'Data nguồn'!D:D, $D163, 'Data nguồn'!F:F, $B$1, 'Data nguồn'!C:C, R$3)</f>
      </c>
      <c r="S163" s="8">
        <f>SUMIFS('Data nguồn'!H:H, 'Data nguồn'!D:D, $D163, 'Data nguồn'!F:F, $B$1, 'Data nguồn'!C:C, S$3)</f>
      </c>
      <c r="T163" s="8">
        <f>SUMIFS('Data nguồn'!H:H, 'Data nguồn'!D:D, $D163, 'Data nguồn'!F:F, $B$1, 'Data nguồn'!C:C, T$3)</f>
      </c>
      <c r="V163" s="8">
        <f>SUM(E163:P163)</f>
      </c>
      <c r="W163" s="8">
        <f>SUM(Q163:T163)</f>
      </c>
      <c r="X163" s="8">
        <f>AVERAGE(R163:T163)</f>
      </c>
      <c r="Y163" s="8">
        <f>AVERAGE(O163:T163)</f>
      </c>
      <c r="Z163" s="8">
        <f>AVERAGE(L163:T163)</f>
      </c>
      <c r="AA163" s="4">
        <f>IFERROR((X163*2)/(Y163+Z163), 0)</f>
      </c>
      <c r="AB163" s="4">
        <f>IFERROR(W163/SUM(E163:H163), 0)</f>
      </c>
      <c r="AC163" s="4">
        <f>IFERROR(W163/SUM(E163:H163), 0)</f>
      </c>
      <c r="AD163" s="4">
        <f>IFERROR(T163/H163, 0)</f>
      </c>
    </row>
    <row r="164" ht="20" customHeight="1" spans="1:30" x14ac:dyDescent="0.25">
      <c r="A164">
        <v>161</v>
      </c>
      <c r="B164" t="s">
        <v>332</v>
      </c>
      <c r="C164" t="s">
        <v>367</v>
      </c>
      <c r="D164" s="2" t="s">
        <v>332</v>
      </c>
      <c r="E164" s="8">
        <f>SUMIFS('Data nguồn'!H:H, 'Data nguồn'!D:D, $D164, 'Data nguồn'!F:F, $B$1, 'Data nguồn'!C:C, E$3)</f>
      </c>
      <c r="F164" s="8">
        <f>SUMIFS('Data nguồn'!H:H, 'Data nguồn'!D:D, $D164, 'Data nguồn'!F:F, $B$1, 'Data nguồn'!C:C, F$3)</f>
      </c>
      <c r="G164" s="8">
        <f>SUMIFS('Data nguồn'!H:H, 'Data nguồn'!D:D, $D164, 'Data nguồn'!F:F, $B$1, 'Data nguồn'!C:C, G$3)</f>
      </c>
      <c r="H164" s="8">
        <f>SUMIFS('Data nguồn'!H:H, 'Data nguồn'!D:D, $D164, 'Data nguồn'!F:F, $B$1, 'Data nguồn'!C:C, H$3)</f>
      </c>
      <c r="I164" s="8">
        <f>SUMIFS('Data nguồn'!H:H, 'Data nguồn'!D:D, $D164, 'Data nguồn'!F:F, $B$1, 'Data nguồn'!C:C, I$3)</f>
      </c>
      <c r="J164" s="8">
        <f>SUMIFS('Data nguồn'!H:H, 'Data nguồn'!D:D, $D164, 'Data nguồn'!F:F, $B$1, 'Data nguồn'!C:C, J$3)</f>
      </c>
      <c r="K164" s="8">
        <f>SUMIFS('Data nguồn'!H:H, 'Data nguồn'!D:D, $D164, 'Data nguồn'!F:F, $B$1, 'Data nguồn'!C:C, K$3)</f>
      </c>
      <c r="L164" s="8">
        <f>SUMIFS('Data nguồn'!H:H, 'Data nguồn'!D:D, $D164, 'Data nguồn'!F:F, $B$1, 'Data nguồn'!C:C, L$3)</f>
      </c>
      <c r="M164" s="8">
        <f>SUMIFS('Data nguồn'!H:H, 'Data nguồn'!D:D, $D164, 'Data nguồn'!F:F, $B$1, 'Data nguồn'!C:C, M$3)</f>
      </c>
      <c r="N164" s="8">
        <f>SUMIFS('Data nguồn'!H:H, 'Data nguồn'!D:D, $D164, 'Data nguồn'!F:F, $B$1, 'Data nguồn'!C:C, N$3)</f>
      </c>
      <c r="O164" s="8">
        <f>SUMIFS('Data nguồn'!H:H, 'Data nguồn'!D:D, $D164, 'Data nguồn'!F:F, $B$1, 'Data nguồn'!C:C, O$3)</f>
      </c>
      <c r="P164" s="8">
        <f>SUMIFS('Data nguồn'!H:H, 'Data nguồn'!D:D, $D164, 'Data nguồn'!F:F, $B$1, 'Data nguồn'!C:C, P$3)</f>
      </c>
      <c r="Q164" s="8">
        <f>SUMIFS('Data nguồn'!H:H, 'Data nguồn'!D:D, $D164, 'Data nguồn'!F:F, $B$1, 'Data nguồn'!C:C, Q$3)</f>
      </c>
      <c r="R164" s="8">
        <f>SUMIFS('Data nguồn'!H:H, 'Data nguồn'!D:D, $D164, 'Data nguồn'!F:F, $B$1, 'Data nguồn'!C:C, R$3)</f>
      </c>
      <c r="S164" s="8">
        <f>SUMIFS('Data nguồn'!H:H, 'Data nguồn'!D:D, $D164, 'Data nguồn'!F:F, $B$1, 'Data nguồn'!C:C, S$3)</f>
      </c>
      <c r="T164" s="8">
        <f>SUMIFS('Data nguồn'!H:H, 'Data nguồn'!D:D, $D164, 'Data nguồn'!F:F, $B$1, 'Data nguồn'!C:C, T$3)</f>
      </c>
      <c r="V164" s="8">
        <f>SUM(E164:P164)</f>
      </c>
      <c r="W164" s="8">
        <f>SUM(Q164:T164)</f>
      </c>
      <c r="X164" s="8">
        <f>AVERAGE(R164:T164)</f>
      </c>
      <c r="Y164" s="8">
        <f>AVERAGE(O164:T164)</f>
      </c>
      <c r="Z164" s="8">
        <f>AVERAGE(L164:T164)</f>
      </c>
      <c r="AA164" s="4">
        <f>IFERROR((X164*2)/(Y164+Z164), 0)</f>
      </c>
      <c r="AB164" s="4">
        <f>IFERROR(W164/SUM(E164:H164), 0)</f>
      </c>
      <c r="AC164" s="4">
        <f>IFERROR(W164/SUM(E164:H164), 0)</f>
      </c>
      <c r="AD164" s="4">
        <f>IFERROR(T164/H164, 0)</f>
      </c>
    </row>
    <row r="165" ht="20" customHeight="1" spans="1:30" x14ac:dyDescent="0.25">
      <c r="A165">
        <v>162</v>
      </c>
      <c r="B165" t="s">
        <v>334</v>
      </c>
      <c r="C165" t="s">
        <v>365</v>
      </c>
      <c r="D165" s="2" t="s">
        <v>334</v>
      </c>
      <c r="E165" s="8">
        <f>SUMIFS('Data nguồn'!H:H, 'Data nguồn'!D:D, $D165, 'Data nguồn'!F:F, $B$1, 'Data nguồn'!C:C, E$3)</f>
      </c>
      <c r="F165" s="8">
        <f>SUMIFS('Data nguồn'!H:H, 'Data nguồn'!D:D, $D165, 'Data nguồn'!F:F, $B$1, 'Data nguồn'!C:C, F$3)</f>
      </c>
      <c r="G165" s="8">
        <f>SUMIFS('Data nguồn'!H:H, 'Data nguồn'!D:D, $D165, 'Data nguồn'!F:F, $B$1, 'Data nguồn'!C:C, G$3)</f>
      </c>
      <c r="H165" s="8">
        <f>SUMIFS('Data nguồn'!H:H, 'Data nguồn'!D:D, $D165, 'Data nguồn'!F:F, $B$1, 'Data nguồn'!C:C, H$3)</f>
      </c>
      <c r="I165" s="8">
        <f>SUMIFS('Data nguồn'!H:H, 'Data nguồn'!D:D, $D165, 'Data nguồn'!F:F, $B$1, 'Data nguồn'!C:C, I$3)</f>
      </c>
      <c r="J165" s="8">
        <f>SUMIFS('Data nguồn'!H:H, 'Data nguồn'!D:D, $D165, 'Data nguồn'!F:F, $B$1, 'Data nguồn'!C:C, J$3)</f>
      </c>
      <c r="K165" s="8">
        <f>SUMIFS('Data nguồn'!H:H, 'Data nguồn'!D:D, $D165, 'Data nguồn'!F:F, $B$1, 'Data nguồn'!C:C, K$3)</f>
      </c>
      <c r="L165" s="8">
        <f>SUMIFS('Data nguồn'!H:H, 'Data nguồn'!D:D, $D165, 'Data nguồn'!F:F, $B$1, 'Data nguồn'!C:C, L$3)</f>
      </c>
      <c r="M165" s="8">
        <f>SUMIFS('Data nguồn'!H:H, 'Data nguồn'!D:D, $D165, 'Data nguồn'!F:F, $B$1, 'Data nguồn'!C:C, M$3)</f>
      </c>
      <c r="N165" s="8">
        <f>SUMIFS('Data nguồn'!H:H, 'Data nguồn'!D:D, $D165, 'Data nguồn'!F:F, $B$1, 'Data nguồn'!C:C, N$3)</f>
      </c>
      <c r="O165" s="8">
        <f>SUMIFS('Data nguồn'!H:H, 'Data nguồn'!D:D, $D165, 'Data nguồn'!F:F, $B$1, 'Data nguồn'!C:C, O$3)</f>
      </c>
      <c r="P165" s="8">
        <f>SUMIFS('Data nguồn'!H:H, 'Data nguồn'!D:D, $D165, 'Data nguồn'!F:F, $B$1, 'Data nguồn'!C:C, P$3)</f>
      </c>
      <c r="Q165" s="8">
        <f>SUMIFS('Data nguồn'!H:H, 'Data nguồn'!D:D, $D165, 'Data nguồn'!F:F, $B$1, 'Data nguồn'!C:C, Q$3)</f>
      </c>
      <c r="R165" s="8">
        <f>SUMIFS('Data nguồn'!H:H, 'Data nguồn'!D:D, $D165, 'Data nguồn'!F:F, $B$1, 'Data nguồn'!C:C, R$3)</f>
      </c>
      <c r="S165" s="8">
        <f>SUMIFS('Data nguồn'!H:H, 'Data nguồn'!D:D, $D165, 'Data nguồn'!F:F, $B$1, 'Data nguồn'!C:C, S$3)</f>
      </c>
      <c r="T165" s="8">
        <f>SUMIFS('Data nguồn'!H:H, 'Data nguồn'!D:D, $D165, 'Data nguồn'!F:F, $B$1, 'Data nguồn'!C:C, T$3)</f>
      </c>
      <c r="V165" s="8">
        <f>SUM(E165:P165)</f>
      </c>
      <c r="W165" s="8">
        <f>SUM(Q165:T165)</f>
      </c>
      <c r="X165" s="8">
        <f>AVERAGE(R165:T165)</f>
      </c>
      <c r="Y165" s="8">
        <f>AVERAGE(O165:T165)</f>
      </c>
      <c r="Z165" s="8">
        <f>AVERAGE(L165:T165)</f>
      </c>
      <c r="AA165" s="4">
        <f>IFERROR((X165*2)/(Y165+Z165), 0)</f>
      </c>
      <c r="AB165" s="4">
        <f>IFERROR(W165/SUM(E165:H165), 0)</f>
      </c>
      <c r="AC165" s="4">
        <f>IFERROR(W165/SUM(E165:H165), 0)</f>
      </c>
      <c r="AD165" s="4">
        <f>IFERROR(T165/H165, 0)</f>
      </c>
    </row>
    <row r="166" ht="20" customHeight="1" spans="1:30" x14ac:dyDescent="0.25">
      <c r="A166">
        <v>163</v>
      </c>
      <c r="B166" t="s">
        <v>336</v>
      </c>
      <c r="C166" t="s">
        <v>367</v>
      </c>
      <c r="D166" s="2" t="s">
        <v>336</v>
      </c>
      <c r="E166" s="8">
        <f>SUMIFS('Data nguồn'!H:H, 'Data nguồn'!D:D, $D166, 'Data nguồn'!F:F, $B$1, 'Data nguồn'!C:C, E$3)</f>
      </c>
      <c r="F166" s="8">
        <f>SUMIFS('Data nguồn'!H:H, 'Data nguồn'!D:D, $D166, 'Data nguồn'!F:F, $B$1, 'Data nguồn'!C:C, F$3)</f>
      </c>
      <c r="G166" s="8">
        <f>SUMIFS('Data nguồn'!H:H, 'Data nguồn'!D:D, $D166, 'Data nguồn'!F:F, $B$1, 'Data nguồn'!C:C, G$3)</f>
      </c>
      <c r="H166" s="8">
        <f>SUMIFS('Data nguồn'!H:H, 'Data nguồn'!D:D, $D166, 'Data nguồn'!F:F, $B$1, 'Data nguồn'!C:C, H$3)</f>
      </c>
      <c r="I166" s="8">
        <f>SUMIFS('Data nguồn'!H:H, 'Data nguồn'!D:D, $D166, 'Data nguồn'!F:F, $B$1, 'Data nguồn'!C:C, I$3)</f>
      </c>
      <c r="J166" s="8">
        <f>SUMIFS('Data nguồn'!H:H, 'Data nguồn'!D:D, $D166, 'Data nguồn'!F:F, $B$1, 'Data nguồn'!C:C, J$3)</f>
      </c>
      <c r="K166" s="8">
        <f>SUMIFS('Data nguồn'!H:H, 'Data nguồn'!D:D, $D166, 'Data nguồn'!F:F, $B$1, 'Data nguồn'!C:C, K$3)</f>
      </c>
      <c r="L166" s="8">
        <f>SUMIFS('Data nguồn'!H:H, 'Data nguồn'!D:D, $D166, 'Data nguồn'!F:F, $B$1, 'Data nguồn'!C:C, L$3)</f>
      </c>
      <c r="M166" s="8">
        <f>SUMIFS('Data nguồn'!H:H, 'Data nguồn'!D:D, $D166, 'Data nguồn'!F:F, $B$1, 'Data nguồn'!C:C, M$3)</f>
      </c>
      <c r="N166" s="8">
        <f>SUMIFS('Data nguồn'!H:H, 'Data nguồn'!D:D, $D166, 'Data nguồn'!F:F, $B$1, 'Data nguồn'!C:C, N$3)</f>
      </c>
      <c r="O166" s="8">
        <f>SUMIFS('Data nguồn'!H:H, 'Data nguồn'!D:D, $D166, 'Data nguồn'!F:F, $B$1, 'Data nguồn'!C:C, O$3)</f>
      </c>
      <c r="P166" s="8">
        <f>SUMIFS('Data nguồn'!H:H, 'Data nguồn'!D:D, $D166, 'Data nguồn'!F:F, $B$1, 'Data nguồn'!C:C, P$3)</f>
      </c>
      <c r="Q166" s="8">
        <f>SUMIFS('Data nguồn'!H:H, 'Data nguồn'!D:D, $D166, 'Data nguồn'!F:F, $B$1, 'Data nguồn'!C:C, Q$3)</f>
      </c>
      <c r="R166" s="8">
        <f>SUMIFS('Data nguồn'!H:H, 'Data nguồn'!D:D, $D166, 'Data nguồn'!F:F, $B$1, 'Data nguồn'!C:C, R$3)</f>
      </c>
      <c r="S166" s="8">
        <f>SUMIFS('Data nguồn'!H:H, 'Data nguồn'!D:D, $D166, 'Data nguồn'!F:F, $B$1, 'Data nguồn'!C:C, S$3)</f>
      </c>
      <c r="T166" s="8">
        <f>SUMIFS('Data nguồn'!H:H, 'Data nguồn'!D:D, $D166, 'Data nguồn'!F:F, $B$1, 'Data nguồn'!C:C, T$3)</f>
      </c>
      <c r="V166" s="8">
        <f>SUM(E166:P166)</f>
      </c>
      <c r="W166" s="8">
        <f>SUM(Q166:T166)</f>
      </c>
      <c r="X166" s="8">
        <f>AVERAGE(R166:T166)</f>
      </c>
      <c r="Y166" s="8">
        <f>AVERAGE(O166:T166)</f>
      </c>
      <c r="Z166" s="8">
        <f>AVERAGE(L166:T166)</f>
      </c>
      <c r="AA166" s="4">
        <f>IFERROR((X166*2)/(Y166+Z166), 0)</f>
      </c>
      <c r="AB166" s="4">
        <f>IFERROR(W166/SUM(E166:H166), 0)</f>
      </c>
      <c r="AC166" s="4">
        <f>IFERROR(W166/SUM(E166:H166), 0)</f>
      </c>
      <c r="AD166" s="4">
        <f>IFERROR(T166/H166, 0)</f>
      </c>
    </row>
    <row r="167" ht="20" customHeight="1" spans="1:30" x14ac:dyDescent="0.25">
      <c r="A167">
        <v>164</v>
      </c>
      <c r="B167" t="s">
        <v>337</v>
      </c>
      <c r="C167" t="s">
        <v>363</v>
      </c>
      <c r="D167" s="2" t="s">
        <v>337</v>
      </c>
      <c r="E167" s="8">
        <f>SUMIFS('Data nguồn'!H:H, 'Data nguồn'!D:D, $D167, 'Data nguồn'!F:F, $B$1, 'Data nguồn'!C:C, E$3)</f>
      </c>
      <c r="F167" s="8">
        <f>SUMIFS('Data nguồn'!H:H, 'Data nguồn'!D:D, $D167, 'Data nguồn'!F:F, $B$1, 'Data nguồn'!C:C, F$3)</f>
      </c>
      <c r="G167" s="8">
        <f>SUMIFS('Data nguồn'!H:H, 'Data nguồn'!D:D, $D167, 'Data nguồn'!F:F, $B$1, 'Data nguồn'!C:C, G$3)</f>
      </c>
      <c r="H167" s="8">
        <f>SUMIFS('Data nguồn'!H:H, 'Data nguồn'!D:D, $D167, 'Data nguồn'!F:F, $B$1, 'Data nguồn'!C:C, H$3)</f>
      </c>
      <c r="I167" s="8">
        <f>SUMIFS('Data nguồn'!H:H, 'Data nguồn'!D:D, $D167, 'Data nguồn'!F:F, $B$1, 'Data nguồn'!C:C, I$3)</f>
      </c>
      <c r="J167" s="8">
        <f>SUMIFS('Data nguồn'!H:H, 'Data nguồn'!D:D, $D167, 'Data nguồn'!F:F, $B$1, 'Data nguồn'!C:C, J$3)</f>
      </c>
      <c r="K167" s="8">
        <f>SUMIFS('Data nguồn'!H:H, 'Data nguồn'!D:D, $D167, 'Data nguồn'!F:F, $B$1, 'Data nguồn'!C:C, K$3)</f>
      </c>
      <c r="L167" s="8">
        <f>SUMIFS('Data nguồn'!H:H, 'Data nguồn'!D:D, $D167, 'Data nguồn'!F:F, $B$1, 'Data nguồn'!C:C, L$3)</f>
      </c>
      <c r="M167" s="8">
        <f>SUMIFS('Data nguồn'!H:H, 'Data nguồn'!D:D, $D167, 'Data nguồn'!F:F, $B$1, 'Data nguồn'!C:C, M$3)</f>
      </c>
      <c r="N167" s="8">
        <f>SUMIFS('Data nguồn'!H:H, 'Data nguồn'!D:D, $D167, 'Data nguồn'!F:F, $B$1, 'Data nguồn'!C:C, N$3)</f>
      </c>
      <c r="O167" s="8">
        <f>SUMIFS('Data nguồn'!H:H, 'Data nguồn'!D:D, $D167, 'Data nguồn'!F:F, $B$1, 'Data nguồn'!C:C, O$3)</f>
      </c>
      <c r="P167" s="8">
        <f>SUMIFS('Data nguồn'!H:H, 'Data nguồn'!D:D, $D167, 'Data nguồn'!F:F, $B$1, 'Data nguồn'!C:C, P$3)</f>
      </c>
      <c r="Q167" s="8">
        <f>SUMIFS('Data nguồn'!H:H, 'Data nguồn'!D:D, $D167, 'Data nguồn'!F:F, $B$1, 'Data nguồn'!C:C, Q$3)</f>
      </c>
      <c r="R167" s="8">
        <f>SUMIFS('Data nguồn'!H:H, 'Data nguồn'!D:D, $D167, 'Data nguồn'!F:F, $B$1, 'Data nguồn'!C:C, R$3)</f>
      </c>
      <c r="S167" s="8">
        <f>SUMIFS('Data nguồn'!H:H, 'Data nguồn'!D:D, $D167, 'Data nguồn'!F:F, $B$1, 'Data nguồn'!C:C, S$3)</f>
      </c>
      <c r="T167" s="8">
        <f>SUMIFS('Data nguồn'!H:H, 'Data nguồn'!D:D, $D167, 'Data nguồn'!F:F, $B$1, 'Data nguồn'!C:C, T$3)</f>
      </c>
      <c r="V167" s="8">
        <f>SUM(E167:P167)</f>
      </c>
      <c r="W167" s="8">
        <f>SUM(Q167:T167)</f>
      </c>
      <c r="X167" s="8">
        <f>AVERAGE(R167:T167)</f>
      </c>
      <c r="Y167" s="8">
        <f>AVERAGE(O167:T167)</f>
      </c>
      <c r="Z167" s="8">
        <f>AVERAGE(L167:T167)</f>
      </c>
      <c r="AA167" s="4">
        <f>IFERROR((X167*2)/(Y167+Z167), 0)</f>
      </c>
      <c r="AB167" s="4">
        <f>IFERROR(W167/SUM(E167:H167), 0)</f>
      </c>
      <c r="AC167" s="4">
        <f>IFERROR(W167/SUM(E167:H167), 0)</f>
      </c>
      <c r="AD167" s="4">
        <f>IFERROR(T167/H167, 0)</f>
      </c>
    </row>
    <row r="168" ht="20" customHeight="1" spans="1:30" x14ac:dyDescent="0.25">
      <c r="A168">
        <v>165</v>
      </c>
      <c r="B168" t="s">
        <v>338</v>
      </c>
      <c r="C168" t="s">
        <v>370</v>
      </c>
      <c r="D168" s="2" t="s">
        <v>338</v>
      </c>
      <c r="E168" s="8">
        <f>SUMIFS('Data nguồn'!H:H, 'Data nguồn'!D:D, $D168, 'Data nguồn'!F:F, $B$1, 'Data nguồn'!C:C, E$3)</f>
      </c>
      <c r="F168" s="8">
        <f>SUMIFS('Data nguồn'!H:H, 'Data nguồn'!D:D, $D168, 'Data nguồn'!F:F, $B$1, 'Data nguồn'!C:C, F$3)</f>
      </c>
      <c r="G168" s="8">
        <f>SUMIFS('Data nguồn'!H:H, 'Data nguồn'!D:D, $D168, 'Data nguồn'!F:F, $B$1, 'Data nguồn'!C:C, G$3)</f>
      </c>
      <c r="H168" s="8">
        <f>SUMIFS('Data nguồn'!H:H, 'Data nguồn'!D:D, $D168, 'Data nguồn'!F:F, $B$1, 'Data nguồn'!C:C, H$3)</f>
      </c>
      <c r="I168" s="8">
        <f>SUMIFS('Data nguồn'!H:H, 'Data nguồn'!D:D, $D168, 'Data nguồn'!F:F, $B$1, 'Data nguồn'!C:C, I$3)</f>
      </c>
      <c r="J168" s="8">
        <f>SUMIFS('Data nguồn'!H:H, 'Data nguồn'!D:D, $D168, 'Data nguồn'!F:F, $B$1, 'Data nguồn'!C:C, J$3)</f>
      </c>
      <c r="K168" s="8">
        <f>SUMIFS('Data nguồn'!H:H, 'Data nguồn'!D:D, $D168, 'Data nguồn'!F:F, $B$1, 'Data nguồn'!C:C, K$3)</f>
      </c>
      <c r="L168" s="8">
        <f>SUMIFS('Data nguồn'!H:H, 'Data nguồn'!D:D, $D168, 'Data nguồn'!F:F, $B$1, 'Data nguồn'!C:C, L$3)</f>
      </c>
      <c r="M168" s="8">
        <f>SUMIFS('Data nguồn'!H:H, 'Data nguồn'!D:D, $D168, 'Data nguồn'!F:F, $B$1, 'Data nguồn'!C:C, M$3)</f>
      </c>
      <c r="N168" s="8">
        <f>SUMIFS('Data nguồn'!H:H, 'Data nguồn'!D:D, $D168, 'Data nguồn'!F:F, $B$1, 'Data nguồn'!C:C, N$3)</f>
      </c>
      <c r="O168" s="8">
        <f>SUMIFS('Data nguồn'!H:H, 'Data nguồn'!D:D, $D168, 'Data nguồn'!F:F, $B$1, 'Data nguồn'!C:C, O$3)</f>
      </c>
      <c r="P168" s="8">
        <f>SUMIFS('Data nguồn'!H:H, 'Data nguồn'!D:D, $D168, 'Data nguồn'!F:F, $B$1, 'Data nguồn'!C:C, P$3)</f>
      </c>
      <c r="Q168" s="8">
        <f>SUMIFS('Data nguồn'!H:H, 'Data nguồn'!D:D, $D168, 'Data nguồn'!F:F, $B$1, 'Data nguồn'!C:C, Q$3)</f>
      </c>
      <c r="R168" s="8">
        <f>SUMIFS('Data nguồn'!H:H, 'Data nguồn'!D:D, $D168, 'Data nguồn'!F:F, $B$1, 'Data nguồn'!C:C, R$3)</f>
      </c>
      <c r="S168" s="8">
        <f>SUMIFS('Data nguồn'!H:H, 'Data nguồn'!D:D, $D168, 'Data nguồn'!F:F, $B$1, 'Data nguồn'!C:C, S$3)</f>
      </c>
      <c r="T168" s="8">
        <f>SUMIFS('Data nguồn'!H:H, 'Data nguồn'!D:D, $D168, 'Data nguồn'!F:F, $B$1, 'Data nguồn'!C:C, T$3)</f>
      </c>
      <c r="V168" s="8">
        <f>SUM(E168:P168)</f>
      </c>
      <c r="W168" s="8">
        <f>SUM(Q168:T168)</f>
      </c>
      <c r="X168" s="8">
        <f>AVERAGE(R168:T168)</f>
      </c>
      <c r="Y168" s="8">
        <f>AVERAGE(O168:T168)</f>
      </c>
      <c r="Z168" s="8">
        <f>AVERAGE(L168:T168)</f>
      </c>
      <c r="AA168" s="4">
        <f>IFERROR((X168*2)/(Y168+Z168), 0)</f>
      </c>
      <c r="AB168" s="4">
        <f>IFERROR(W168/SUM(E168:H168), 0)</f>
      </c>
      <c r="AC168" s="4">
        <f>IFERROR(W168/SUM(E168:H168), 0)</f>
      </c>
      <c r="AD168" s="4">
        <f>IFERROR(T168/H168, 0)</f>
      </c>
    </row>
    <row r="169" ht="22" customHeight="1" spans="4:30" x14ac:dyDescent="0.25">
      <c r="D169" s="5" t="s">
        <v>397</v>
      </c>
      <c r="E169" s="9">
        <f>SUM(E4:E168)</f>
      </c>
      <c r="F169" s="9">
        <f>SUM(F4:F168)</f>
      </c>
      <c r="G169" s="9">
        <f>SUM(G4:G168)</f>
      </c>
      <c r="H169" s="9">
        <f>SUM(H4:H168)</f>
      </c>
      <c r="I169" s="9">
        <f>SUM(I4:I168)</f>
      </c>
      <c r="J169" s="9">
        <f>SUM(J4:J168)</f>
      </c>
      <c r="K169" s="9">
        <f>SUM(K4:K168)</f>
      </c>
      <c r="L169" s="9">
        <f>SUM(L4:L168)</f>
      </c>
      <c r="M169" s="9">
        <f>SUM(M4:M168)</f>
      </c>
      <c r="N169" s="9">
        <f>SUM(N4:N168)</f>
      </c>
      <c r="O169" s="9">
        <f>SUM(O4:O168)</f>
      </c>
      <c r="P169" s="9">
        <f>SUM(P4:P168)</f>
      </c>
      <c r="Q169" s="9">
        <f>SUM(Q4:Q168)</f>
      </c>
      <c r="R169" s="9">
        <f>SUM(R4:R168)</f>
      </c>
      <c r="S169" s="9">
        <f>SUM(S4:S168)</f>
      </c>
      <c r="T169" s="9">
        <f>SUM(T4:T168)</f>
      </c>
      <c r="V169" s="9">
        <f>SUM(V4:V168)</f>
      </c>
      <c r="W169" s="9">
        <f>SUM(W4:W168)</f>
      </c>
      <c r="X169" s="9">
        <f>SUM(X4:X168)</f>
      </c>
      <c r="Y169" s="9">
        <f>SUM(Y4:Y168)</f>
      </c>
      <c r="Z169" s="9">
        <f>SUM(Z4:Z168)</f>
      </c>
      <c r="AA169" s="7">
        <f>IFERROR((X169*2)/(Y169+Z169), 0)</f>
      </c>
      <c r="AB169" s="7">
        <f>IFERROR(W169/SUM(E169:H169), 0)</f>
      </c>
      <c r="AC169" s="7">
        <f>IFERROR(W169/SUM(E169:H169), 0)</f>
      </c>
      <c r="AD169" s="7">
        <f>IFERROR(T169/H169, 0)</f>
      </c>
    </row>
  </sheetData>
  <dataValidations count="1">
    <dataValidation type="list" allowBlank="1" sqref="B1">
      <formula1>Config!$B$2:$B$49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style="12" customWidth="1"/>
    <col min="3" max="3" width="10" customWidth="1"/>
    <col min="4" max="4" width="48" customWidth="1"/>
    <col min="5" max="5" width="10" customWidth="1"/>
    <col min="6" max="6" width="48" customWidth="1"/>
    <col min="7" max="7" width="11" style="13" customWidth="1"/>
    <col min="8" max="8" width="15" style="14" customWidth="1"/>
    <col min="9" max="10" width="21" style="13" customWidth="1"/>
  </cols>
  <sheetData>
    <row r="1" ht="24" customHeight="1" spans="1:10" x14ac:dyDescent="0.25">
      <c r="A1" s="1" t="s">
        <v>409</v>
      </c>
      <c r="B1" s="15" t="s">
        <v>410</v>
      </c>
      <c r="C1" s="1" t="s">
        <v>411</v>
      </c>
      <c r="D1" s="1" t="s">
        <v>412</v>
      </c>
      <c r="E1" s="1" t="s">
        <v>339</v>
      </c>
      <c r="F1" s="1" t="s">
        <v>413</v>
      </c>
      <c r="G1" s="16" t="s">
        <v>414</v>
      </c>
      <c r="H1" s="17" t="s">
        <v>415</v>
      </c>
      <c r="I1" s="16" t="s">
        <v>416</v>
      </c>
      <c r="J1" s="16" t="s">
        <v>417</v>
      </c>
    </row>
    <row r="2" spans="1:10" x14ac:dyDescent="0.25">
      <c r="A2" s="2">
        <v>2</v>
      </c>
      <c r="B2" s="18">
        <v>45747.708287037036</v>
      </c>
      <c r="C2" s="2" t="s">
        <v>354</v>
      </c>
      <c r="D2" s="2" t="s">
        <v>122</v>
      </c>
      <c r="E2" s="2" t="s">
        <v>370</v>
      </c>
      <c r="F2" s="2" t="s">
        <v>33</v>
      </c>
      <c r="G2" s="3">
        <v>485000</v>
      </c>
      <c r="H2" s="8">
        <v>4</v>
      </c>
      <c r="I2" s="3">
        <v>1377400</v>
      </c>
      <c r="J2" s="3">
        <v>1377400</v>
      </c>
    </row>
    <row r="3" spans="1:10" x14ac:dyDescent="0.25">
      <c r="A3" s="2">
        <v>3</v>
      </c>
      <c r="B3" s="18">
        <v>45747.708287037036</v>
      </c>
      <c r="C3" s="2" t="s">
        <v>354</v>
      </c>
      <c r="D3" s="2" t="s">
        <v>122</v>
      </c>
      <c r="E3" s="2" t="s">
        <v>370</v>
      </c>
      <c r="F3" s="2" t="s">
        <v>59</v>
      </c>
      <c r="G3" s="3">
        <v>475000</v>
      </c>
      <c r="H3" s="8">
        <v>4</v>
      </c>
      <c r="I3" s="3">
        <v>1349000</v>
      </c>
      <c r="J3" s="3">
        <v>1349000</v>
      </c>
    </row>
    <row r="4" spans="1:10" x14ac:dyDescent="0.25">
      <c r="A4" s="2">
        <v>4</v>
      </c>
      <c r="B4" s="18">
        <v>45750.708287037036</v>
      </c>
      <c r="C4" s="2" t="s">
        <v>355</v>
      </c>
      <c r="D4" s="2" t="s">
        <v>302</v>
      </c>
      <c r="E4" s="2" t="s">
        <v>364</v>
      </c>
      <c r="F4" s="2" t="s">
        <v>29</v>
      </c>
      <c r="G4" s="3">
        <v>590000</v>
      </c>
      <c r="H4" s="8">
        <v>5</v>
      </c>
      <c r="I4" s="3">
        <v>1563500</v>
      </c>
      <c r="J4" s="3">
        <v>1532230</v>
      </c>
    </row>
    <row r="5" spans="1:10" x14ac:dyDescent="0.25">
      <c r="A5" s="2">
        <v>5</v>
      </c>
      <c r="B5" s="18">
        <v>45750.708287037036</v>
      </c>
      <c r="C5" s="2" t="s">
        <v>355</v>
      </c>
      <c r="D5" s="2" t="s">
        <v>302</v>
      </c>
      <c r="E5" s="2" t="s">
        <v>364</v>
      </c>
      <c r="F5" s="2" t="s">
        <v>19</v>
      </c>
      <c r="G5" s="3">
        <v>590000</v>
      </c>
      <c r="H5" s="8">
        <v>15</v>
      </c>
      <c r="I5" s="3">
        <v>4690500</v>
      </c>
      <c r="J5" s="3">
        <v>4596690</v>
      </c>
    </row>
    <row r="6" spans="1:10" x14ac:dyDescent="0.25">
      <c r="A6" s="2">
        <v>6</v>
      </c>
      <c r="B6" s="18">
        <v>45750.708287037036</v>
      </c>
      <c r="C6" s="2" t="s">
        <v>355</v>
      </c>
      <c r="D6" s="2" t="s">
        <v>302</v>
      </c>
      <c r="E6" s="2" t="s">
        <v>364</v>
      </c>
      <c r="F6" s="2" t="s">
        <v>33</v>
      </c>
      <c r="G6" s="3">
        <v>485000</v>
      </c>
      <c r="H6" s="8">
        <v>5</v>
      </c>
      <c r="I6" s="3">
        <v>1285250</v>
      </c>
      <c r="J6" s="3">
        <v>1259545</v>
      </c>
    </row>
    <row r="7" spans="1:10" x14ac:dyDescent="0.25">
      <c r="A7" s="2">
        <v>7</v>
      </c>
      <c r="B7" s="18">
        <v>45750.708287037036</v>
      </c>
      <c r="C7" s="2" t="s">
        <v>355</v>
      </c>
      <c r="D7" s="2" t="s">
        <v>302</v>
      </c>
      <c r="E7" s="2" t="s">
        <v>364</v>
      </c>
      <c r="F7" s="2" t="s">
        <v>59</v>
      </c>
      <c r="G7" s="3">
        <v>475000</v>
      </c>
      <c r="H7" s="8">
        <v>5</v>
      </c>
      <c r="I7" s="3">
        <v>1258750</v>
      </c>
      <c r="J7" s="3">
        <v>1233575</v>
      </c>
    </row>
    <row r="8" spans="1:10" x14ac:dyDescent="0.25">
      <c r="A8" s="2">
        <v>8</v>
      </c>
      <c r="B8" s="18">
        <v>45750.708287037036</v>
      </c>
      <c r="C8" s="2" t="s">
        <v>355</v>
      </c>
      <c r="D8" s="2" t="s">
        <v>302</v>
      </c>
      <c r="E8" s="2" t="s">
        <v>364</v>
      </c>
      <c r="F8" s="2" t="s">
        <v>35</v>
      </c>
      <c r="G8" s="3">
        <v>525000</v>
      </c>
      <c r="H8" s="8">
        <v>1</v>
      </c>
      <c r="I8" s="3">
        <v>278250</v>
      </c>
      <c r="J8" s="3">
        <v>272685</v>
      </c>
    </row>
    <row r="9" spans="1:10" x14ac:dyDescent="0.25">
      <c r="A9" s="2">
        <v>9</v>
      </c>
      <c r="B9" s="18">
        <v>45750.708287037036</v>
      </c>
      <c r="C9" s="2" t="s">
        <v>355</v>
      </c>
      <c r="D9" s="2" t="s">
        <v>302</v>
      </c>
      <c r="E9" s="2" t="s">
        <v>364</v>
      </c>
      <c r="F9" s="2" t="s">
        <v>83</v>
      </c>
      <c r="G9" s="3">
        <v>790000</v>
      </c>
      <c r="H9" s="8">
        <v>2</v>
      </c>
      <c r="I9" s="3">
        <v>837400</v>
      </c>
      <c r="J9" s="3">
        <v>820652</v>
      </c>
    </row>
    <row r="10" spans="1:10" x14ac:dyDescent="0.25">
      <c r="A10" s="2">
        <v>10</v>
      </c>
      <c r="B10" s="18">
        <v>45750.708287037036</v>
      </c>
      <c r="C10" s="2" t="s">
        <v>355</v>
      </c>
      <c r="D10" s="2" t="s">
        <v>302</v>
      </c>
      <c r="E10" s="2" t="s">
        <v>364</v>
      </c>
      <c r="F10" s="2" t="s">
        <v>61</v>
      </c>
      <c r="G10" s="3">
        <v>890000</v>
      </c>
      <c r="H10" s="8">
        <v>1</v>
      </c>
      <c r="I10" s="3">
        <v>471700</v>
      </c>
      <c r="J10" s="3">
        <v>462266</v>
      </c>
    </row>
    <row r="11" spans="1:10" x14ac:dyDescent="0.25">
      <c r="A11" s="2">
        <v>11</v>
      </c>
      <c r="B11" s="18">
        <v>45751.708287037036</v>
      </c>
      <c r="C11" s="2" t="s">
        <v>355</v>
      </c>
      <c r="D11" s="2" t="s">
        <v>122</v>
      </c>
      <c r="E11" s="2" t="s">
        <v>370</v>
      </c>
      <c r="F11" s="2" t="s">
        <v>33</v>
      </c>
      <c r="G11" s="3">
        <v>485000</v>
      </c>
      <c r="H11" s="8">
        <v>60</v>
      </c>
      <c r="I11" s="3">
        <v>20661000</v>
      </c>
      <c r="J11" s="3">
        <v>20661000</v>
      </c>
    </row>
    <row r="12" spans="1:10" x14ac:dyDescent="0.25">
      <c r="A12" s="2">
        <v>12</v>
      </c>
      <c r="B12" s="18">
        <v>45751.708287037036</v>
      </c>
      <c r="C12" s="2" t="s">
        <v>355</v>
      </c>
      <c r="D12" s="2" t="s">
        <v>122</v>
      </c>
      <c r="E12" s="2" t="s">
        <v>370</v>
      </c>
      <c r="F12" s="2" t="s">
        <v>59</v>
      </c>
      <c r="G12" s="3">
        <v>475000</v>
      </c>
      <c r="H12" s="8">
        <v>60</v>
      </c>
      <c r="I12" s="3">
        <v>20235000</v>
      </c>
      <c r="J12" s="3">
        <v>20235000</v>
      </c>
    </row>
    <row r="13" spans="1:10" x14ac:dyDescent="0.25">
      <c r="A13" s="2">
        <v>13</v>
      </c>
      <c r="B13" s="18">
        <v>45751.708287037036</v>
      </c>
      <c r="C13" s="2" t="s">
        <v>355</v>
      </c>
      <c r="D13" s="2" t="s">
        <v>303</v>
      </c>
      <c r="E13" s="2" t="s">
        <v>366</v>
      </c>
      <c r="F13" s="2" t="s">
        <v>33</v>
      </c>
      <c r="G13" s="3">
        <v>485000</v>
      </c>
      <c r="H13" s="8">
        <v>20</v>
      </c>
      <c r="I13" s="3">
        <v>4750000.081</v>
      </c>
      <c r="J13" s="3">
        <v>4750000.081</v>
      </c>
    </row>
    <row r="14" spans="1:10" x14ac:dyDescent="0.25">
      <c r="A14" s="2">
        <v>14</v>
      </c>
      <c r="B14" s="18">
        <v>45754.708287037036</v>
      </c>
      <c r="C14" s="2" t="s">
        <v>355</v>
      </c>
      <c r="D14" s="2" t="s">
        <v>66</v>
      </c>
      <c r="E14" s="2" t="s">
        <v>365</v>
      </c>
      <c r="F14" s="2" t="s">
        <v>83</v>
      </c>
      <c r="G14" s="3">
        <v>790000</v>
      </c>
      <c r="H14" s="8">
        <v>1</v>
      </c>
      <c r="I14" s="3">
        <v>553000</v>
      </c>
      <c r="J14" s="3">
        <v>553000</v>
      </c>
    </row>
    <row r="15" spans="1:10" x14ac:dyDescent="0.25">
      <c r="A15" s="2">
        <v>15</v>
      </c>
      <c r="B15" s="18">
        <v>45756.708287037036</v>
      </c>
      <c r="C15" s="2" t="s">
        <v>355</v>
      </c>
      <c r="D15" s="2" t="s">
        <v>303</v>
      </c>
      <c r="E15" s="2" t="s">
        <v>366</v>
      </c>
      <c r="F15" s="2" t="s">
        <v>33</v>
      </c>
      <c r="G15" s="3">
        <v>485000</v>
      </c>
      <c r="H15" s="8">
        <v>20</v>
      </c>
      <c r="I15" s="3">
        <v>4750000.081</v>
      </c>
      <c r="J15" s="3">
        <v>4750000.081</v>
      </c>
    </row>
    <row r="16" spans="1:10" x14ac:dyDescent="0.25">
      <c r="A16" s="2">
        <v>16</v>
      </c>
      <c r="B16" s="18">
        <v>45756.708287037036</v>
      </c>
      <c r="C16" s="2" t="s">
        <v>355</v>
      </c>
      <c r="D16" s="2" t="s">
        <v>338</v>
      </c>
      <c r="E16" s="2" t="s">
        <v>370</v>
      </c>
      <c r="F16" s="2" t="s">
        <v>27</v>
      </c>
      <c r="G16" s="3">
        <v>935000</v>
      </c>
      <c r="H16" s="8">
        <v>1</v>
      </c>
      <c r="I16" s="3">
        <v>516750.00019500003</v>
      </c>
      <c r="J16" s="3">
        <v>516750.00019500003</v>
      </c>
    </row>
    <row r="17" spans="1:10" x14ac:dyDescent="0.25">
      <c r="A17" s="2">
        <v>17</v>
      </c>
      <c r="B17" s="18">
        <v>45756.708287037036</v>
      </c>
      <c r="C17" s="2" t="s">
        <v>355</v>
      </c>
      <c r="D17" s="2" t="s">
        <v>338</v>
      </c>
      <c r="E17" s="2" t="s">
        <v>370</v>
      </c>
      <c r="F17" s="2" t="s">
        <v>19</v>
      </c>
      <c r="G17" s="3">
        <v>590000</v>
      </c>
      <c r="H17" s="8">
        <v>3</v>
      </c>
      <c r="I17" s="3">
        <v>1035450</v>
      </c>
      <c r="J17" s="3">
        <v>1035450</v>
      </c>
    </row>
    <row r="18" spans="1:10" x14ac:dyDescent="0.25">
      <c r="A18" s="2">
        <v>18</v>
      </c>
      <c r="B18" s="18">
        <v>45756.708287037036</v>
      </c>
      <c r="C18" s="2" t="s">
        <v>355</v>
      </c>
      <c r="D18" s="2" t="s">
        <v>338</v>
      </c>
      <c r="E18" s="2" t="s">
        <v>370</v>
      </c>
      <c r="F18" s="2" t="s">
        <v>61</v>
      </c>
      <c r="G18" s="3">
        <v>890000</v>
      </c>
      <c r="H18" s="8">
        <v>3</v>
      </c>
      <c r="I18" s="3">
        <v>1476150.00123</v>
      </c>
      <c r="J18" s="3">
        <v>1476150.00123</v>
      </c>
    </row>
    <row r="19" spans="1:10" x14ac:dyDescent="0.25">
      <c r="A19" s="2">
        <v>19</v>
      </c>
      <c r="B19" s="18">
        <v>45756.708287037036</v>
      </c>
      <c r="C19" s="2" t="s">
        <v>355</v>
      </c>
      <c r="D19" s="2" t="s">
        <v>338</v>
      </c>
      <c r="E19" s="2" t="s">
        <v>370</v>
      </c>
      <c r="F19" s="2" t="s">
        <v>85</v>
      </c>
      <c r="G19" s="3">
        <v>480000</v>
      </c>
      <c r="H19" s="8">
        <v>4</v>
      </c>
      <c r="I19" s="3">
        <v>1060800</v>
      </c>
      <c r="J19" s="3">
        <v>1060800</v>
      </c>
    </row>
    <row r="20" spans="1:10" x14ac:dyDescent="0.25">
      <c r="A20" s="2">
        <v>20</v>
      </c>
      <c r="B20" s="18">
        <v>45756.708287037036</v>
      </c>
      <c r="C20" s="2" t="s">
        <v>355</v>
      </c>
      <c r="D20" s="2" t="s">
        <v>338</v>
      </c>
      <c r="E20" s="2" t="s">
        <v>370</v>
      </c>
      <c r="F20" s="2" t="s">
        <v>35</v>
      </c>
      <c r="G20" s="3">
        <v>525000</v>
      </c>
      <c r="H20" s="8">
        <v>1</v>
      </c>
      <c r="I20" s="3">
        <v>290550.225</v>
      </c>
      <c r="J20" s="3">
        <v>290550.225</v>
      </c>
    </row>
    <row r="21" spans="1:10" x14ac:dyDescent="0.25">
      <c r="A21" s="2">
        <v>21</v>
      </c>
      <c r="B21" s="18">
        <v>45756.708287037036</v>
      </c>
      <c r="C21" s="2" t="s">
        <v>355</v>
      </c>
      <c r="D21" s="2" t="s">
        <v>338</v>
      </c>
      <c r="E21" s="2" t="s">
        <v>370</v>
      </c>
      <c r="F21" s="2" t="s">
        <v>33</v>
      </c>
      <c r="G21" s="3">
        <v>485000</v>
      </c>
      <c r="H21" s="8">
        <v>1</v>
      </c>
      <c r="I21" s="3">
        <v>268450.41000000003</v>
      </c>
      <c r="J21" s="3">
        <v>268450.41000000003</v>
      </c>
    </row>
    <row r="22" spans="1:10" x14ac:dyDescent="0.25">
      <c r="A22" s="2">
        <v>22</v>
      </c>
      <c r="B22" s="18">
        <v>45756.708287037036</v>
      </c>
      <c r="C22" s="2" t="s">
        <v>355</v>
      </c>
      <c r="D22" s="2" t="s">
        <v>338</v>
      </c>
      <c r="E22" s="2" t="s">
        <v>370</v>
      </c>
      <c r="F22" s="2" t="s">
        <v>59</v>
      </c>
      <c r="G22" s="3">
        <v>475000</v>
      </c>
      <c r="H22" s="8">
        <v>2</v>
      </c>
      <c r="I22" s="3">
        <v>525200.85</v>
      </c>
      <c r="J22" s="3">
        <v>525200.85</v>
      </c>
    </row>
    <row r="23" spans="1:10" x14ac:dyDescent="0.25">
      <c r="A23" s="2">
        <v>23</v>
      </c>
      <c r="B23" s="18">
        <v>45756.708287037036</v>
      </c>
      <c r="C23" s="2" t="s">
        <v>355</v>
      </c>
      <c r="D23" s="2" t="s">
        <v>338</v>
      </c>
      <c r="E23" s="2" t="s">
        <v>370</v>
      </c>
      <c r="F23" s="2" t="s">
        <v>19</v>
      </c>
      <c r="G23" s="3">
        <v>590000</v>
      </c>
      <c r="H23" s="8">
        <v>1</v>
      </c>
      <c r="I23" s="3">
        <v>306800</v>
      </c>
      <c r="J23" s="3">
        <v>306800</v>
      </c>
    </row>
    <row r="24" spans="1:10" x14ac:dyDescent="0.25">
      <c r="A24" s="2">
        <v>24</v>
      </c>
      <c r="B24" s="18">
        <v>45757.708287037036</v>
      </c>
      <c r="C24" s="2" t="s">
        <v>355</v>
      </c>
      <c r="D24" s="2" t="s">
        <v>267</v>
      </c>
      <c r="E24" s="2" t="s">
        <v>371</v>
      </c>
      <c r="F24" s="2" t="s">
        <v>25</v>
      </c>
      <c r="G24" s="3">
        <v>890000</v>
      </c>
      <c r="H24" s="8">
        <v>3018</v>
      </c>
      <c r="I24" s="3">
        <v>1208708999.9999998</v>
      </c>
      <c r="J24" s="3">
        <v>1208708999.9999998</v>
      </c>
    </row>
    <row r="25" spans="1:10" x14ac:dyDescent="0.25">
      <c r="A25" s="2">
        <v>25</v>
      </c>
      <c r="B25" s="18">
        <v>45757.708287037036</v>
      </c>
      <c r="C25" s="2" t="s">
        <v>355</v>
      </c>
      <c r="D25" s="2" t="s">
        <v>268</v>
      </c>
      <c r="E25" s="2" t="s">
        <v>371</v>
      </c>
      <c r="F25" s="2" t="s">
        <v>25</v>
      </c>
      <c r="G25" s="3">
        <v>890000</v>
      </c>
      <c r="H25" s="8">
        <v>982</v>
      </c>
      <c r="I25" s="3">
        <v>393290999.99999994</v>
      </c>
      <c r="J25" s="3">
        <v>393290999.99999994</v>
      </c>
    </row>
    <row r="26" spans="1:10" x14ac:dyDescent="0.25">
      <c r="A26" s="2">
        <v>26</v>
      </c>
      <c r="B26" s="18">
        <v>45757.708287037036</v>
      </c>
      <c r="C26" s="2" t="s">
        <v>355</v>
      </c>
      <c r="D26" s="2" t="s">
        <v>74</v>
      </c>
      <c r="E26" s="2" t="s">
        <v>369</v>
      </c>
      <c r="F26" s="2" t="s">
        <v>85</v>
      </c>
      <c r="G26" s="3">
        <v>480000</v>
      </c>
      <c r="H26" s="8">
        <v>11</v>
      </c>
      <c r="I26" s="3">
        <v>2640000</v>
      </c>
      <c r="J26" s="3">
        <v>2428800</v>
      </c>
    </row>
    <row r="27" spans="1:10" x14ac:dyDescent="0.25">
      <c r="A27" s="2">
        <v>27</v>
      </c>
      <c r="B27" s="18">
        <v>45757.708287037036</v>
      </c>
      <c r="C27" s="2" t="s">
        <v>355</v>
      </c>
      <c r="D27" s="2" t="s">
        <v>74</v>
      </c>
      <c r="E27" s="2" t="s">
        <v>369</v>
      </c>
      <c r="F27" s="2" t="s">
        <v>19</v>
      </c>
      <c r="G27" s="3">
        <v>590000</v>
      </c>
      <c r="H27" s="8">
        <v>2</v>
      </c>
      <c r="I27" s="3">
        <v>590000</v>
      </c>
      <c r="J27" s="3">
        <v>542800</v>
      </c>
    </row>
    <row r="28" spans="1:10" x14ac:dyDescent="0.25">
      <c r="A28" s="2">
        <v>28</v>
      </c>
      <c r="B28" s="18">
        <v>45757.708287037036</v>
      </c>
      <c r="C28" s="2" t="s">
        <v>355</v>
      </c>
      <c r="D28" s="2" t="s">
        <v>74</v>
      </c>
      <c r="E28" s="2" t="s">
        <v>369</v>
      </c>
      <c r="F28" s="2" t="s">
        <v>29</v>
      </c>
      <c r="G28" s="3">
        <v>590000</v>
      </c>
      <c r="H28" s="8">
        <v>4</v>
      </c>
      <c r="I28" s="3">
        <v>1180000</v>
      </c>
      <c r="J28" s="3">
        <v>1085600</v>
      </c>
    </row>
    <row r="29" spans="1:10" x14ac:dyDescent="0.25">
      <c r="A29" s="2">
        <v>29</v>
      </c>
      <c r="B29" s="18">
        <v>45757.708287037036</v>
      </c>
      <c r="C29" s="2" t="s">
        <v>355</v>
      </c>
      <c r="D29" s="2" t="s">
        <v>74</v>
      </c>
      <c r="E29" s="2" t="s">
        <v>369</v>
      </c>
      <c r="F29" s="2" t="s">
        <v>63</v>
      </c>
      <c r="G29" s="3">
        <v>550000</v>
      </c>
      <c r="H29" s="8">
        <v>5</v>
      </c>
      <c r="I29" s="3">
        <v>1375000</v>
      </c>
      <c r="J29" s="3">
        <v>1265000</v>
      </c>
    </row>
    <row r="30" spans="1:10" x14ac:dyDescent="0.25">
      <c r="A30" s="2">
        <v>30</v>
      </c>
      <c r="B30" s="18">
        <v>45757.708287037036</v>
      </c>
      <c r="C30" s="2" t="s">
        <v>355</v>
      </c>
      <c r="D30" s="2" t="s">
        <v>74</v>
      </c>
      <c r="E30" s="2" t="s">
        <v>369</v>
      </c>
      <c r="F30" s="2" t="s">
        <v>59</v>
      </c>
      <c r="G30" s="3">
        <v>475000</v>
      </c>
      <c r="H30" s="8">
        <v>3</v>
      </c>
      <c r="I30" s="3">
        <v>712500</v>
      </c>
      <c r="J30" s="3">
        <v>655500</v>
      </c>
    </row>
    <row r="31" spans="1:10" x14ac:dyDescent="0.25">
      <c r="A31" s="2">
        <v>31</v>
      </c>
      <c r="B31" s="18">
        <v>45757.708287037036</v>
      </c>
      <c r="C31" s="2" t="s">
        <v>355</v>
      </c>
      <c r="D31" s="2" t="s">
        <v>74</v>
      </c>
      <c r="E31" s="2" t="s">
        <v>369</v>
      </c>
      <c r="F31" s="2" t="s">
        <v>33</v>
      </c>
      <c r="G31" s="3">
        <v>485000</v>
      </c>
      <c r="H31" s="8">
        <v>20</v>
      </c>
      <c r="I31" s="3">
        <v>4850000</v>
      </c>
      <c r="J31" s="3">
        <v>4462000</v>
      </c>
    </row>
    <row r="32" spans="1:10" x14ac:dyDescent="0.25">
      <c r="A32" s="2">
        <v>32</v>
      </c>
      <c r="B32" s="18">
        <v>45757.708287037036</v>
      </c>
      <c r="C32" s="2" t="s">
        <v>355</v>
      </c>
      <c r="D32" s="2" t="s">
        <v>74</v>
      </c>
      <c r="E32" s="2" t="s">
        <v>369</v>
      </c>
      <c r="F32" s="2" t="s">
        <v>49</v>
      </c>
      <c r="G32" s="3">
        <v>200000</v>
      </c>
      <c r="H32" s="8">
        <v>24</v>
      </c>
      <c r="I32" s="3">
        <v>0</v>
      </c>
      <c r="J32" s="3">
        <v>0</v>
      </c>
    </row>
    <row r="33" spans="1:10" x14ac:dyDescent="0.25">
      <c r="A33" s="2">
        <v>33</v>
      </c>
      <c r="B33" s="18">
        <v>45757.708287037036</v>
      </c>
      <c r="C33" s="2" t="s">
        <v>355</v>
      </c>
      <c r="D33" s="2" t="s">
        <v>74</v>
      </c>
      <c r="E33" s="2" t="s">
        <v>369</v>
      </c>
      <c r="F33" s="2" t="s">
        <v>89</v>
      </c>
      <c r="G33" s="3">
        <v>390000</v>
      </c>
      <c r="H33" s="8">
        <v>15</v>
      </c>
      <c r="I33" s="3">
        <v>0</v>
      </c>
      <c r="J33" s="3">
        <v>0</v>
      </c>
    </row>
    <row r="34" spans="1:10" x14ac:dyDescent="0.25">
      <c r="A34" s="2">
        <v>34</v>
      </c>
      <c r="B34" s="18">
        <v>45760.708287037036</v>
      </c>
      <c r="C34" s="2" t="s">
        <v>355</v>
      </c>
      <c r="D34" s="2" t="s">
        <v>113</v>
      </c>
      <c r="E34" s="2" t="s">
        <v>370</v>
      </c>
      <c r="F34" s="2" t="s">
        <v>19</v>
      </c>
      <c r="G34" s="3">
        <v>590000</v>
      </c>
      <c r="H34" s="8">
        <v>2</v>
      </c>
      <c r="I34" s="3">
        <v>849600</v>
      </c>
      <c r="J34" s="3">
        <v>849600</v>
      </c>
    </row>
    <row r="35" spans="1:10" x14ac:dyDescent="0.25">
      <c r="A35" s="2">
        <v>35</v>
      </c>
      <c r="B35" s="18">
        <v>45760.708287037036</v>
      </c>
      <c r="C35" s="2" t="s">
        <v>355</v>
      </c>
      <c r="D35" s="2" t="s">
        <v>113</v>
      </c>
      <c r="E35" s="2" t="s">
        <v>370</v>
      </c>
      <c r="F35" s="2" t="s">
        <v>85</v>
      </c>
      <c r="G35" s="3">
        <v>480000</v>
      </c>
      <c r="H35" s="8">
        <v>2</v>
      </c>
      <c r="I35" s="3">
        <v>691200</v>
      </c>
      <c r="J35" s="3">
        <v>691200</v>
      </c>
    </row>
    <row r="36" spans="1:10" x14ac:dyDescent="0.25">
      <c r="A36" s="2">
        <v>36</v>
      </c>
      <c r="B36" s="18">
        <v>45760.708287037036</v>
      </c>
      <c r="C36" s="2" t="s">
        <v>355</v>
      </c>
      <c r="D36" s="2" t="s">
        <v>103</v>
      </c>
      <c r="E36" s="2" t="s">
        <v>367</v>
      </c>
      <c r="F36" s="2" t="s">
        <v>57</v>
      </c>
      <c r="G36" s="3">
        <v>745000</v>
      </c>
      <c r="H36" s="8">
        <v>5</v>
      </c>
      <c r="I36" s="3">
        <v>2868250</v>
      </c>
      <c r="J36" s="3">
        <v>2868250</v>
      </c>
    </row>
    <row r="37" spans="1:10" x14ac:dyDescent="0.25">
      <c r="A37" s="2">
        <v>37</v>
      </c>
      <c r="B37" s="18">
        <v>45760.708287037036</v>
      </c>
      <c r="C37" s="2" t="s">
        <v>355</v>
      </c>
      <c r="D37" s="2" t="s">
        <v>103</v>
      </c>
      <c r="E37" s="2" t="s">
        <v>367</v>
      </c>
      <c r="F37" s="2" t="s">
        <v>31</v>
      </c>
      <c r="G37" s="3">
        <v>745000</v>
      </c>
      <c r="H37" s="8">
        <v>5</v>
      </c>
      <c r="I37" s="3">
        <v>2868250</v>
      </c>
      <c r="J37" s="3">
        <v>2868250</v>
      </c>
    </row>
    <row r="38" spans="1:10" x14ac:dyDescent="0.25">
      <c r="A38" s="2">
        <v>38</v>
      </c>
      <c r="B38" s="18">
        <v>45760.708287037036</v>
      </c>
      <c r="C38" s="2" t="s">
        <v>355</v>
      </c>
      <c r="D38" s="2" t="s">
        <v>103</v>
      </c>
      <c r="E38" s="2" t="s">
        <v>367</v>
      </c>
      <c r="F38" s="2" t="s">
        <v>33</v>
      </c>
      <c r="G38" s="3">
        <v>485000</v>
      </c>
      <c r="H38" s="8">
        <v>5</v>
      </c>
      <c r="I38" s="3">
        <v>0</v>
      </c>
      <c r="J38" s="3">
        <v>0</v>
      </c>
    </row>
    <row r="39" spans="1:10" x14ac:dyDescent="0.25">
      <c r="A39" s="2">
        <v>39</v>
      </c>
      <c r="B39" s="18">
        <v>45760.708287037036</v>
      </c>
      <c r="C39" s="2" t="s">
        <v>355</v>
      </c>
      <c r="D39" s="2" t="s">
        <v>103</v>
      </c>
      <c r="E39" s="2" t="s">
        <v>367</v>
      </c>
      <c r="F39" s="2" t="s">
        <v>59</v>
      </c>
      <c r="G39" s="3">
        <v>475000</v>
      </c>
      <c r="H39" s="8">
        <v>5</v>
      </c>
      <c r="I39" s="3">
        <v>0</v>
      </c>
      <c r="J39" s="3">
        <v>0</v>
      </c>
    </row>
    <row r="40" spans="1:10" x14ac:dyDescent="0.25">
      <c r="A40" s="2">
        <v>40</v>
      </c>
      <c r="B40" s="18">
        <v>45760.708287037036</v>
      </c>
      <c r="C40" s="2" t="s">
        <v>355</v>
      </c>
      <c r="D40" s="2" t="s">
        <v>318</v>
      </c>
      <c r="E40" s="2" t="s">
        <v>363</v>
      </c>
      <c r="F40" s="2" t="s">
        <v>51</v>
      </c>
      <c r="G40" s="3">
        <v>465000</v>
      </c>
      <c r="H40" s="8">
        <v>20</v>
      </c>
      <c r="I40" s="3">
        <v>0</v>
      </c>
      <c r="J40" s="3">
        <v>0</v>
      </c>
    </row>
    <row r="41" spans="1:10" x14ac:dyDescent="0.25">
      <c r="A41" s="2">
        <v>41</v>
      </c>
      <c r="B41" s="18">
        <v>45760.708287037036</v>
      </c>
      <c r="C41" s="2" t="s">
        <v>355</v>
      </c>
      <c r="D41" s="2" t="s">
        <v>302</v>
      </c>
      <c r="E41" s="2" t="s">
        <v>364</v>
      </c>
      <c r="F41" s="2" t="s">
        <v>19</v>
      </c>
      <c r="G41" s="3">
        <v>590000</v>
      </c>
      <c r="H41" s="8">
        <v>10</v>
      </c>
      <c r="I41" s="3">
        <v>3127000</v>
      </c>
      <c r="J41" s="3">
        <v>3064460</v>
      </c>
    </row>
    <row r="42" spans="1:10" x14ac:dyDescent="0.25">
      <c r="A42" s="2">
        <v>42</v>
      </c>
      <c r="B42" s="18">
        <v>45760.708287037036</v>
      </c>
      <c r="C42" s="2" t="s">
        <v>355</v>
      </c>
      <c r="D42" s="2" t="s">
        <v>302</v>
      </c>
      <c r="E42" s="2" t="s">
        <v>364</v>
      </c>
      <c r="F42" s="2" t="s">
        <v>33</v>
      </c>
      <c r="G42" s="3">
        <v>485000</v>
      </c>
      <c r="H42" s="8">
        <v>3</v>
      </c>
      <c r="I42" s="3">
        <v>771150</v>
      </c>
      <c r="J42" s="3">
        <v>755727</v>
      </c>
    </row>
    <row r="43" spans="1:10" x14ac:dyDescent="0.25">
      <c r="A43" s="2">
        <v>43</v>
      </c>
      <c r="B43" s="18">
        <v>45760.708287037036</v>
      </c>
      <c r="C43" s="2" t="s">
        <v>355</v>
      </c>
      <c r="D43" s="2" t="s">
        <v>302</v>
      </c>
      <c r="E43" s="2" t="s">
        <v>364</v>
      </c>
      <c r="F43" s="2" t="s">
        <v>35</v>
      </c>
      <c r="G43" s="3">
        <v>525000</v>
      </c>
      <c r="H43" s="8">
        <v>9</v>
      </c>
      <c r="I43" s="3">
        <v>2504250</v>
      </c>
      <c r="J43" s="3">
        <v>2454165</v>
      </c>
    </row>
    <row r="44" spans="1:10" x14ac:dyDescent="0.25">
      <c r="A44" s="2">
        <v>44</v>
      </c>
      <c r="B44" s="18">
        <v>45760.708287037036</v>
      </c>
      <c r="C44" s="2" t="s">
        <v>355</v>
      </c>
      <c r="D44" s="2" t="s">
        <v>302</v>
      </c>
      <c r="E44" s="2" t="s">
        <v>364</v>
      </c>
      <c r="F44" s="2" t="s">
        <v>83</v>
      </c>
      <c r="G44" s="3">
        <v>790000</v>
      </c>
      <c r="H44" s="8">
        <v>3</v>
      </c>
      <c r="I44" s="3">
        <v>1256100</v>
      </c>
      <c r="J44" s="3">
        <v>1230978</v>
      </c>
    </row>
    <row r="45" spans="1:10" x14ac:dyDescent="0.25">
      <c r="A45" s="2">
        <v>45</v>
      </c>
      <c r="B45" s="18">
        <v>45760.708287037036</v>
      </c>
      <c r="C45" s="2" t="s">
        <v>355</v>
      </c>
      <c r="D45" s="2" t="s">
        <v>302</v>
      </c>
      <c r="E45" s="2" t="s">
        <v>364</v>
      </c>
      <c r="F45" s="2" t="s">
        <v>85</v>
      </c>
      <c r="G45" s="3">
        <v>480000</v>
      </c>
      <c r="H45" s="8">
        <v>5</v>
      </c>
      <c r="I45" s="3">
        <v>1272000</v>
      </c>
      <c r="J45" s="3">
        <v>1246560</v>
      </c>
    </row>
    <row r="46" spans="1:10" x14ac:dyDescent="0.25">
      <c r="A46" s="2">
        <v>46</v>
      </c>
      <c r="B46" s="18">
        <v>45760.708287037036</v>
      </c>
      <c r="C46" s="2" t="s">
        <v>355</v>
      </c>
      <c r="D46" s="2" t="s">
        <v>302</v>
      </c>
      <c r="E46" s="2" t="s">
        <v>364</v>
      </c>
      <c r="F46" s="2" t="s">
        <v>61</v>
      </c>
      <c r="G46" s="3">
        <v>890000</v>
      </c>
      <c r="H46" s="8">
        <v>3</v>
      </c>
      <c r="I46" s="3">
        <v>1415100</v>
      </c>
      <c r="J46" s="3">
        <v>1386798</v>
      </c>
    </row>
    <row r="47" spans="1:10" x14ac:dyDescent="0.25">
      <c r="A47" s="2">
        <v>47</v>
      </c>
      <c r="B47" s="18">
        <v>45761.708287037036</v>
      </c>
      <c r="C47" s="2" t="s">
        <v>355</v>
      </c>
      <c r="D47" s="2" t="s">
        <v>303</v>
      </c>
      <c r="E47" s="2" t="s">
        <v>366</v>
      </c>
      <c r="F47" s="2" t="s">
        <v>33</v>
      </c>
      <c r="G47" s="3">
        <v>485000</v>
      </c>
      <c r="H47" s="8">
        <v>20</v>
      </c>
      <c r="I47" s="3">
        <v>4750000.081</v>
      </c>
      <c r="J47" s="3">
        <v>4750000.081</v>
      </c>
    </row>
    <row r="48" spans="1:10" x14ac:dyDescent="0.25">
      <c r="A48" s="2">
        <v>48</v>
      </c>
      <c r="B48" s="18">
        <v>45761.708287037036</v>
      </c>
      <c r="C48" s="2" t="s">
        <v>355</v>
      </c>
      <c r="D48" s="2" t="s">
        <v>271</v>
      </c>
      <c r="E48" s="2" t="s">
        <v>369</v>
      </c>
      <c r="F48" s="2" t="s">
        <v>29</v>
      </c>
      <c r="G48" s="3">
        <v>590000</v>
      </c>
      <c r="H48" s="8">
        <v>10</v>
      </c>
      <c r="I48" s="3">
        <v>5900000</v>
      </c>
      <c r="J48" s="3">
        <v>5900000</v>
      </c>
    </row>
    <row r="49" spans="1:10" x14ac:dyDescent="0.25">
      <c r="A49" s="2">
        <v>49</v>
      </c>
      <c r="B49" s="18">
        <v>45761.708287037036</v>
      </c>
      <c r="C49" s="2" t="s">
        <v>355</v>
      </c>
      <c r="D49" s="2" t="s">
        <v>271</v>
      </c>
      <c r="E49" s="2" t="s">
        <v>369</v>
      </c>
      <c r="F49" s="2" t="s">
        <v>29</v>
      </c>
      <c r="G49" s="3">
        <v>590000</v>
      </c>
      <c r="H49" s="8">
        <v>3</v>
      </c>
      <c r="I49" s="3">
        <v>0</v>
      </c>
      <c r="J49" s="3">
        <v>0</v>
      </c>
    </row>
    <row r="50" spans="1:10" x14ac:dyDescent="0.25">
      <c r="A50" s="2">
        <v>50</v>
      </c>
      <c r="B50" s="18">
        <v>45761.708287037036</v>
      </c>
      <c r="C50" s="2" t="s">
        <v>355</v>
      </c>
      <c r="D50" s="2" t="s">
        <v>271</v>
      </c>
      <c r="E50" s="2" t="s">
        <v>369</v>
      </c>
      <c r="F50" s="2" t="s">
        <v>85</v>
      </c>
      <c r="G50" s="3">
        <v>480000</v>
      </c>
      <c r="H50" s="8">
        <v>10</v>
      </c>
      <c r="I50" s="3">
        <v>0</v>
      </c>
      <c r="J50" s="3">
        <v>0</v>
      </c>
    </row>
    <row r="51" spans="1:10" x14ac:dyDescent="0.25">
      <c r="A51" s="2">
        <v>51</v>
      </c>
      <c r="B51" s="18">
        <v>45761.708287037036</v>
      </c>
      <c r="C51" s="2" t="s">
        <v>355</v>
      </c>
      <c r="D51" s="2" t="s">
        <v>318</v>
      </c>
      <c r="E51" s="2" t="s">
        <v>363</v>
      </c>
      <c r="F51" s="2" t="s">
        <v>31</v>
      </c>
      <c r="G51" s="3">
        <v>745000</v>
      </c>
      <c r="H51" s="8">
        <v>30</v>
      </c>
      <c r="I51" s="3">
        <v>22350000</v>
      </c>
      <c r="J51" s="3">
        <v>22350000</v>
      </c>
    </row>
    <row r="52" spans="1:10" x14ac:dyDescent="0.25">
      <c r="A52" s="2">
        <v>52</v>
      </c>
      <c r="B52" s="18">
        <v>45761.708287037036</v>
      </c>
      <c r="C52" s="2" t="s">
        <v>355</v>
      </c>
      <c r="D52" s="2" t="s">
        <v>318</v>
      </c>
      <c r="E52" s="2" t="s">
        <v>363</v>
      </c>
      <c r="F52" s="2" t="s">
        <v>31</v>
      </c>
      <c r="G52" s="3">
        <v>745000</v>
      </c>
      <c r="H52" s="8">
        <v>9</v>
      </c>
      <c r="I52" s="3">
        <v>0</v>
      </c>
      <c r="J52" s="3">
        <v>0</v>
      </c>
    </row>
    <row r="53" spans="1:10" x14ac:dyDescent="0.25">
      <c r="A53" s="2">
        <v>53</v>
      </c>
      <c r="B53" s="18">
        <v>45761.708287037036</v>
      </c>
      <c r="C53" s="2" t="s">
        <v>355</v>
      </c>
      <c r="D53" s="2" t="s">
        <v>318</v>
      </c>
      <c r="E53" s="2" t="s">
        <v>363</v>
      </c>
      <c r="F53" s="2" t="s">
        <v>33</v>
      </c>
      <c r="G53" s="3">
        <v>485000</v>
      </c>
      <c r="H53" s="8">
        <v>30</v>
      </c>
      <c r="I53" s="3">
        <v>0</v>
      </c>
      <c r="J53" s="3">
        <v>0</v>
      </c>
    </row>
    <row r="54" spans="1:10" x14ac:dyDescent="0.25">
      <c r="A54" s="2">
        <v>54</v>
      </c>
      <c r="B54" s="18">
        <v>45761.708287037036</v>
      </c>
      <c r="C54" s="2" t="s">
        <v>355</v>
      </c>
      <c r="D54" s="2" t="s">
        <v>318</v>
      </c>
      <c r="E54" s="2" t="s">
        <v>363</v>
      </c>
      <c r="F54" s="2" t="s">
        <v>57</v>
      </c>
      <c r="G54" s="3">
        <v>745000</v>
      </c>
      <c r="H54" s="8">
        <v>30</v>
      </c>
      <c r="I54" s="3">
        <v>22350000</v>
      </c>
      <c r="J54" s="3">
        <v>22350000</v>
      </c>
    </row>
    <row r="55" spans="1:10" x14ac:dyDescent="0.25">
      <c r="A55" s="2">
        <v>55</v>
      </c>
      <c r="B55" s="18">
        <v>45761.708287037036</v>
      </c>
      <c r="C55" s="2" t="s">
        <v>355</v>
      </c>
      <c r="D55" s="2" t="s">
        <v>318</v>
      </c>
      <c r="E55" s="2" t="s">
        <v>363</v>
      </c>
      <c r="F55" s="2" t="s">
        <v>57</v>
      </c>
      <c r="G55" s="3">
        <v>745000</v>
      </c>
      <c r="H55" s="8">
        <v>9</v>
      </c>
      <c r="I55" s="3">
        <v>0</v>
      </c>
      <c r="J55" s="3">
        <v>0</v>
      </c>
    </row>
    <row r="56" spans="1:10" x14ac:dyDescent="0.25">
      <c r="A56" s="2">
        <v>56</v>
      </c>
      <c r="B56" s="18">
        <v>45761.708287037036</v>
      </c>
      <c r="C56" s="2" t="s">
        <v>355</v>
      </c>
      <c r="D56" s="2" t="s">
        <v>318</v>
      </c>
      <c r="E56" s="2" t="s">
        <v>363</v>
      </c>
      <c r="F56" s="2" t="s">
        <v>59</v>
      </c>
      <c r="G56" s="3">
        <v>475000</v>
      </c>
      <c r="H56" s="8">
        <v>30</v>
      </c>
      <c r="I56" s="3">
        <v>0</v>
      </c>
      <c r="J56" s="3">
        <v>0</v>
      </c>
    </row>
    <row r="57" spans="1:10" x14ac:dyDescent="0.25">
      <c r="A57" s="2">
        <v>57</v>
      </c>
      <c r="B57" s="18">
        <v>45762.708287037036</v>
      </c>
      <c r="C57" s="2" t="s">
        <v>355</v>
      </c>
      <c r="D57" s="2" t="s">
        <v>288</v>
      </c>
      <c r="E57" s="2" t="s">
        <v>369</v>
      </c>
      <c r="F57" s="2" t="s">
        <v>29</v>
      </c>
      <c r="G57" s="3">
        <v>590000</v>
      </c>
      <c r="H57" s="8">
        <v>-17</v>
      </c>
      <c r="I57" s="3">
        <v>-5516500</v>
      </c>
      <c r="J57" s="3">
        <v>-5516500</v>
      </c>
    </row>
    <row r="58" spans="1:10" x14ac:dyDescent="0.25">
      <c r="A58" s="2">
        <v>58</v>
      </c>
      <c r="B58" s="18">
        <v>45762.708287037036</v>
      </c>
      <c r="C58" s="2" t="s">
        <v>355</v>
      </c>
      <c r="D58" s="2" t="s">
        <v>288</v>
      </c>
      <c r="E58" s="2" t="s">
        <v>369</v>
      </c>
      <c r="F58" s="2" t="s">
        <v>89</v>
      </c>
      <c r="G58" s="3">
        <v>390000</v>
      </c>
      <c r="H58" s="8">
        <v>17</v>
      </c>
      <c r="I58" s="3">
        <v>935000.0594999999</v>
      </c>
      <c r="J58" s="3">
        <v>935000.0594999999</v>
      </c>
    </row>
    <row r="59" spans="1:10" x14ac:dyDescent="0.25">
      <c r="A59" s="2">
        <v>59</v>
      </c>
      <c r="B59" s="18">
        <v>45762.708287037036</v>
      </c>
      <c r="C59" s="2" t="s">
        <v>355</v>
      </c>
      <c r="D59" s="2" t="s">
        <v>288</v>
      </c>
      <c r="E59" s="2" t="s">
        <v>369</v>
      </c>
      <c r="F59" s="2" t="s">
        <v>63</v>
      </c>
      <c r="G59" s="3">
        <v>550000</v>
      </c>
      <c r="H59" s="8">
        <v>16</v>
      </c>
      <c r="I59" s="3">
        <v>4840000</v>
      </c>
      <c r="J59" s="3">
        <v>4840000</v>
      </c>
    </row>
    <row r="60" spans="1:10" x14ac:dyDescent="0.25">
      <c r="A60" s="2">
        <v>60</v>
      </c>
      <c r="B60" s="18">
        <v>45764.708287037036</v>
      </c>
      <c r="C60" s="2" t="s">
        <v>355</v>
      </c>
      <c r="D60" s="2" t="s">
        <v>297</v>
      </c>
      <c r="E60" s="2" t="s">
        <v>364</v>
      </c>
      <c r="F60" s="2" t="s">
        <v>19</v>
      </c>
      <c r="G60" s="3">
        <v>590000</v>
      </c>
      <c r="H60" s="8">
        <v>20</v>
      </c>
      <c r="I60" s="3">
        <v>5310000</v>
      </c>
      <c r="J60" s="3">
        <v>5310000</v>
      </c>
    </row>
    <row r="61" spans="1:10" x14ac:dyDescent="0.25">
      <c r="A61" s="2">
        <v>61</v>
      </c>
      <c r="B61" s="18">
        <v>45767.708287037036</v>
      </c>
      <c r="C61" s="2" t="s">
        <v>355</v>
      </c>
      <c r="D61" s="2" t="s">
        <v>118</v>
      </c>
      <c r="E61" s="2" t="s">
        <v>370</v>
      </c>
      <c r="F61" s="2" t="s">
        <v>85</v>
      </c>
      <c r="G61" s="3">
        <v>480000</v>
      </c>
      <c r="H61" s="8">
        <v>2</v>
      </c>
      <c r="I61" s="3">
        <v>691200</v>
      </c>
      <c r="J61" s="3">
        <v>691200</v>
      </c>
    </row>
    <row r="62" spans="1:10" x14ac:dyDescent="0.25">
      <c r="A62" s="2">
        <v>62</v>
      </c>
      <c r="B62" s="18">
        <v>45767.708287037036</v>
      </c>
      <c r="C62" s="2" t="s">
        <v>355</v>
      </c>
      <c r="D62" s="2" t="s">
        <v>118</v>
      </c>
      <c r="E62" s="2" t="s">
        <v>370</v>
      </c>
      <c r="F62" s="2" t="s">
        <v>33</v>
      </c>
      <c r="G62" s="3">
        <v>485000</v>
      </c>
      <c r="H62" s="8">
        <v>1</v>
      </c>
      <c r="I62" s="3">
        <v>349200</v>
      </c>
      <c r="J62" s="3">
        <v>349200</v>
      </c>
    </row>
    <row r="63" spans="1:10" x14ac:dyDescent="0.25">
      <c r="A63" s="2">
        <v>63</v>
      </c>
      <c r="B63" s="18">
        <v>45767.708287037036</v>
      </c>
      <c r="C63" s="2" t="s">
        <v>355</v>
      </c>
      <c r="D63" s="2" t="s">
        <v>118</v>
      </c>
      <c r="E63" s="2" t="s">
        <v>370</v>
      </c>
      <c r="F63" s="2" t="s">
        <v>59</v>
      </c>
      <c r="G63" s="3">
        <v>475000</v>
      </c>
      <c r="H63" s="8">
        <v>1</v>
      </c>
      <c r="I63" s="3">
        <v>342000</v>
      </c>
      <c r="J63" s="3">
        <v>342000</v>
      </c>
    </row>
    <row r="64" spans="1:10" x14ac:dyDescent="0.25">
      <c r="A64" s="2">
        <v>64</v>
      </c>
      <c r="B64" s="18">
        <v>45767.708287037036</v>
      </c>
      <c r="C64" s="2" t="s">
        <v>355</v>
      </c>
      <c r="D64" s="2" t="s">
        <v>301</v>
      </c>
      <c r="E64" s="2" t="s">
        <v>364</v>
      </c>
      <c r="F64" s="2" t="s">
        <v>29</v>
      </c>
      <c r="G64" s="3">
        <v>590000</v>
      </c>
      <c r="H64" s="8">
        <v>4</v>
      </c>
      <c r="I64" s="3">
        <v>1250800</v>
      </c>
      <c r="J64" s="3">
        <v>1225784</v>
      </c>
    </row>
    <row r="65" spans="1:10" x14ac:dyDescent="0.25">
      <c r="A65" s="2">
        <v>65</v>
      </c>
      <c r="B65" s="18">
        <v>45767.708287037036</v>
      </c>
      <c r="C65" s="2" t="s">
        <v>355</v>
      </c>
      <c r="D65" s="2" t="s">
        <v>301</v>
      </c>
      <c r="E65" s="2" t="s">
        <v>364</v>
      </c>
      <c r="F65" s="2" t="s">
        <v>33</v>
      </c>
      <c r="G65" s="3">
        <v>485000</v>
      </c>
      <c r="H65" s="8">
        <v>15</v>
      </c>
      <c r="I65" s="3">
        <v>3855750</v>
      </c>
      <c r="J65" s="3">
        <v>3778635</v>
      </c>
    </row>
    <row r="66" spans="1:10" x14ac:dyDescent="0.25">
      <c r="A66" s="2">
        <v>66</v>
      </c>
      <c r="B66" s="18">
        <v>45767.708287037036</v>
      </c>
      <c r="C66" s="2" t="s">
        <v>355</v>
      </c>
      <c r="D66" s="2" t="s">
        <v>301</v>
      </c>
      <c r="E66" s="2" t="s">
        <v>364</v>
      </c>
      <c r="F66" s="2" t="s">
        <v>59</v>
      </c>
      <c r="G66" s="3">
        <v>475000</v>
      </c>
      <c r="H66" s="8">
        <v>5</v>
      </c>
      <c r="I66" s="3">
        <v>1258750</v>
      </c>
      <c r="J66" s="3">
        <v>1233575</v>
      </c>
    </row>
    <row r="67" spans="1:10" x14ac:dyDescent="0.25">
      <c r="A67" s="2">
        <v>67</v>
      </c>
      <c r="B67" s="18">
        <v>45767.708287037036</v>
      </c>
      <c r="C67" s="2" t="s">
        <v>355</v>
      </c>
      <c r="D67" s="2" t="s">
        <v>301</v>
      </c>
      <c r="E67" s="2" t="s">
        <v>364</v>
      </c>
      <c r="F67" s="2" t="s">
        <v>35</v>
      </c>
      <c r="G67" s="3">
        <v>525000</v>
      </c>
      <c r="H67" s="8">
        <v>2</v>
      </c>
      <c r="I67" s="3">
        <v>556500</v>
      </c>
      <c r="J67" s="3">
        <v>545370</v>
      </c>
    </row>
    <row r="68" spans="1:10" x14ac:dyDescent="0.25">
      <c r="A68" s="2">
        <v>68</v>
      </c>
      <c r="B68" s="18">
        <v>45767.708287037036</v>
      </c>
      <c r="C68" s="2" t="s">
        <v>355</v>
      </c>
      <c r="D68" s="2" t="s">
        <v>301</v>
      </c>
      <c r="E68" s="2" t="s">
        <v>364</v>
      </c>
      <c r="F68" s="2" t="s">
        <v>83</v>
      </c>
      <c r="G68" s="3">
        <v>790000</v>
      </c>
      <c r="H68" s="8">
        <v>4</v>
      </c>
      <c r="I68" s="3">
        <v>1674800</v>
      </c>
      <c r="J68" s="3">
        <v>1641304</v>
      </c>
    </row>
    <row r="69" spans="1:10" x14ac:dyDescent="0.25">
      <c r="A69" s="2">
        <v>69</v>
      </c>
      <c r="B69" s="18">
        <v>45767.708287037036</v>
      </c>
      <c r="C69" s="2" t="s">
        <v>355</v>
      </c>
      <c r="D69" s="2" t="s">
        <v>301</v>
      </c>
      <c r="E69" s="2" t="s">
        <v>364</v>
      </c>
      <c r="F69" s="2" t="s">
        <v>85</v>
      </c>
      <c r="G69" s="3">
        <v>480000</v>
      </c>
      <c r="H69" s="8">
        <v>3</v>
      </c>
      <c r="I69" s="3">
        <v>763200</v>
      </c>
      <c r="J69" s="3">
        <v>747936</v>
      </c>
    </row>
    <row r="70" spans="1:10" x14ac:dyDescent="0.25">
      <c r="A70" s="2">
        <v>70</v>
      </c>
      <c r="B70" s="18">
        <v>45767.708287037036</v>
      </c>
      <c r="C70" s="2" t="s">
        <v>355</v>
      </c>
      <c r="D70" s="2" t="s">
        <v>301</v>
      </c>
      <c r="E70" s="2" t="s">
        <v>364</v>
      </c>
      <c r="F70" s="2" t="s">
        <v>61</v>
      </c>
      <c r="G70" s="3">
        <v>890000</v>
      </c>
      <c r="H70" s="8">
        <v>2</v>
      </c>
      <c r="I70" s="3">
        <v>943400</v>
      </c>
      <c r="J70" s="3">
        <v>924532</v>
      </c>
    </row>
    <row r="71" spans="1:10" x14ac:dyDescent="0.25">
      <c r="A71" s="2">
        <v>71</v>
      </c>
      <c r="B71" s="18">
        <v>45768.708287037036</v>
      </c>
      <c r="C71" s="2" t="s">
        <v>355</v>
      </c>
      <c r="D71" s="2" t="s">
        <v>72</v>
      </c>
      <c r="E71" s="2" t="s">
        <v>364</v>
      </c>
      <c r="F71" s="2" t="s">
        <v>25</v>
      </c>
      <c r="G71" s="3">
        <v>890000</v>
      </c>
      <c r="H71" s="8">
        <v>500</v>
      </c>
      <c r="I71" s="3">
        <v>200249999.99999997</v>
      </c>
      <c r="J71" s="3">
        <v>200249999.99999997</v>
      </c>
    </row>
    <row r="72" spans="1:10" x14ac:dyDescent="0.25">
      <c r="A72" s="2">
        <v>72</v>
      </c>
      <c r="B72" s="18">
        <v>45768.708287037036</v>
      </c>
      <c r="C72" s="2" t="s">
        <v>355</v>
      </c>
      <c r="D72" s="2" t="s">
        <v>72</v>
      </c>
      <c r="E72" s="2" t="s">
        <v>364</v>
      </c>
      <c r="F72" s="2" t="s">
        <v>63</v>
      </c>
      <c r="G72" s="3">
        <v>550000</v>
      </c>
      <c r="H72" s="8">
        <v>200</v>
      </c>
      <c r="I72" s="3">
        <v>49500000</v>
      </c>
      <c r="J72" s="3">
        <v>49500000</v>
      </c>
    </row>
    <row r="73" spans="1:10" x14ac:dyDescent="0.25">
      <c r="A73" s="2">
        <v>73</v>
      </c>
      <c r="B73" s="18">
        <v>45768.708287037036</v>
      </c>
      <c r="C73" s="2" t="s">
        <v>355</v>
      </c>
      <c r="D73" s="2" t="s">
        <v>72</v>
      </c>
      <c r="E73" s="2" t="s">
        <v>364</v>
      </c>
      <c r="F73" s="2" t="s">
        <v>91</v>
      </c>
      <c r="G73" s="3">
        <v>820000</v>
      </c>
      <c r="H73" s="8">
        <v>50</v>
      </c>
      <c r="I73" s="3">
        <v>15000000.06</v>
      </c>
      <c r="J73" s="3">
        <v>15000000.06</v>
      </c>
    </row>
    <row r="74" spans="1:10" x14ac:dyDescent="0.25">
      <c r="A74" s="2">
        <v>74</v>
      </c>
      <c r="B74" s="18">
        <v>45768.708287037036</v>
      </c>
      <c r="C74" s="2" t="s">
        <v>355</v>
      </c>
      <c r="D74" s="2" t="s">
        <v>72</v>
      </c>
      <c r="E74" s="2" t="s">
        <v>364</v>
      </c>
      <c r="F74" s="2" t="s">
        <v>35</v>
      </c>
      <c r="G74" s="3">
        <v>525000</v>
      </c>
      <c r="H74" s="8">
        <v>20</v>
      </c>
      <c r="I74" s="3">
        <v>5250000</v>
      </c>
      <c r="J74" s="3">
        <v>5250000</v>
      </c>
    </row>
    <row r="75" spans="1:10" x14ac:dyDescent="0.25">
      <c r="A75" s="2">
        <v>75</v>
      </c>
      <c r="B75" s="18">
        <v>45768.708287037036</v>
      </c>
      <c r="C75" s="2" t="s">
        <v>355</v>
      </c>
      <c r="D75" s="2" t="s">
        <v>303</v>
      </c>
      <c r="E75" s="2" t="s">
        <v>366</v>
      </c>
      <c r="F75" s="2" t="s">
        <v>33</v>
      </c>
      <c r="G75" s="3">
        <v>485000</v>
      </c>
      <c r="H75" s="8">
        <v>20</v>
      </c>
      <c r="I75" s="3">
        <v>4750000.081</v>
      </c>
      <c r="J75" s="3">
        <v>4750000.081</v>
      </c>
    </row>
    <row r="76" spans="1:10" x14ac:dyDescent="0.25">
      <c r="A76" s="2">
        <v>76</v>
      </c>
      <c r="B76" s="18">
        <v>45772.708287037036</v>
      </c>
      <c r="C76" s="2" t="s">
        <v>355</v>
      </c>
      <c r="D76" s="2" t="s">
        <v>119</v>
      </c>
      <c r="E76" s="2" t="s">
        <v>370</v>
      </c>
      <c r="F76" s="2" t="s">
        <v>29</v>
      </c>
      <c r="G76" s="3">
        <v>590000</v>
      </c>
      <c r="H76" s="8">
        <v>1</v>
      </c>
      <c r="I76" s="3">
        <v>424800</v>
      </c>
      <c r="J76" s="3">
        <v>424800</v>
      </c>
    </row>
    <row r="77" spans="1:10" x14ac:dyDescent="0.25">
      <c r="A77" s="2">
        <v>77</v>
      </c>
      <c r="B77" s="18">
        <v>45772.708287037036</v>
      </c>
      <c r="C77" s="2" t="s">
        <v>355</v>
      </c>
      <c r="D77" s="2" t="s">
        <v>119</v>
      </c>
      <c r="E77" s="2" t="s">
        <v>370</v>
      </c>
      <c r="F77" s="2" t="s">
        <v>19</v>
      </c>
      <c r="G77" s="3">
        <v>590000</v>
      </c>
      <c r="H77" s="8">
        <v>1</v>
      </c>
      <c r="I77" s="3">
        <v>424800</v>
      </c>
      <c r="J77" s="3">
        <v>424800</v>
      </c>
    </row>
    <row r="78" spans="1:10" x14ac:dyDescent="0.25">
      <c r="A78" s="2">
        <v>78</v>
      </c>
      <c r="B78" s="18">
        <v>45772.708287037036</v>
      </c>
      <c r="C78" s="2" t="s">
        <v>355</v>
      </c>
      <c r="D78" s="2" t="s">
        <v>119</v>
      </c>
      <c r="E78" s="2" t="s">
        <v>370</v>
      </c>
      <c r="F78" s="2" t="s">
        <v>63</v>
      </c>
      <c r="G78" s="3">
        <v>550000</v>
      </c>
      <c r="H78" s="8">
        <v>1</v>
      </c>
      <c r="I78" s="3">
        <v>396000</v>
      </c>
      <c r="J78" s="3">
        <v>396000</v>
      </c>
    </row>
    <row r="79" spans="1:10" x14ac:dyDescent="0.25">
      <c r="A79" s="2">
        <v>79</v>
      </c>
      <c r="B79" s="18">
        <v>45772.708287037036</v>
      </c>
      <c r="C79" s="2" t="s">
        <v>355</v>
      </c>
      <c r="D79" s="2" t="s">
        <v>119</v>
      </c>
      <c r="E79" s="2" t="s">
        <v>370</v>
      </c>
      <c r="F79" s="2" t="s">
        <v>85</v>
      </c>
      <c r="G79" s="3">
        <v>480000</v>
      </c>
      <c r="H79" s="8">
        <v>1</v>
      </c>
      <c r="I79" s="3">
        <v>345600</v>
      </c>
      <c r="J79" s="3">
        <v>345600</v>
      </c>
    </row>
    <row r="80" spans="1:10" x14ac:dyDescent="0.25">
      <c r="A80" s="2">
        <v>80</v>
      </c>
      <c r="B80" s="18">
        <v>45772.708287037036</v>
      </c>
      <c r="C80" s="2" t="s">
        <v>355</v>
      </c>
      <c r="D80" s="2" t="s">
        <v>119</v>
      </c>
      <c r="E80" s="2" t="s">
        <v>370</v>
      </c>
      <c r="F80" s="2" t="s">
        <v>33</v>
      </c>
      <c r="G80" s="3">
        <v>485000</v>
      </c>
      <c r="H80" s="8">
        <v>1</v>
      </c>
      <c r="I80" s="3">
        <v>349200</v>
      </c>
      <c r="J80" s="3">
        <v>349200</v>
      </c>
    </row>
    <row r="81" spans="1:10" x14ac:dyDescent="0.25">
      <c r="A81" s="2">
        <v>81</v>
      </c>
      <c r="B81" s="18">
        <v>45772.708287037036</v>
      </c>
      <c r="C81" s="2" t="s">
        <v>355</v>
      </c>
      <c r="D81" s="2" t="s">
        <v>119</v>
      </c>
      <c r="E81" s="2" t="s">
        <v>370</v>
      </c>
      <c r="F81" s="2" t="s">
        <v>59</v>
      </c>
      <c r="G81" s="3">
        <v>475000</v>
      </c>
      <c r="H81" s="8">
        <v>1</v>
      </c>
      <c r="I81" s="3">
        <v>342000</v>
      </c>
      <c r="J81" s="3">
        <v>342000</v>
      </c>
    </row>
    <row r="82" spans="1:10" x14ac:dyDescent="0.25">
      <c r="A82" s="2">
        <v>82</v>
      </c>
      <c r="B82" s="18">
        <v>45774.708287037036</v>
      </c>
      <c r="C82" s="2" t="s">
        <v>355</v>
      </c>
      <c r="D82" s="2" t="s">
        <v>46</v>
      </c>
      <c r="E82" s="2" t="s">
        <v>367</v>
      </c>
      <c r="F82" s="2" t="s">
        <v>73</v>
      </c>
      <c r="G82" s="3">
        <v>1350000</v>
      </c>
      <c r="H82" s="8">
        <v>3</v>
      </c>
      <c r="I82" s="3">
        <v>1050000.0029999998</v>
      </c>
      <c r="J82" s="3">
        <v>1050000.0029999998</v>
      </c>
    </row>
    <row r="83" spans="1:10" x14ac:dyDescent="0.25">
      <c r="A83" s="2">
        <v>83</v>
      </c>
      <c r="B83" s="18">
        <v>45774.708287037036</v>
      </c>
      <c r="C83" s="2" t="s">
        <v>355</v>
      </c>
      <c r="D83" s="2" t="s">
        <v>46</v>
      </c>
      <c r="E83" s="2" t="s">
        <v>367</v>
      </c>
      <c r="F83" s="2" t="s">
        <v>25</v>
      </c>
      <c r="G83" s="3">
        <v>890000</v>
      </c>
      <c r="H83" s="8">
        <v>3</v>
      </c>
      <c r="I83" s="3">
        <v>1201499.9999999998</v>
      </c>
      <c r="J83" s="3">
        <v>1201499.9999999998</v>
      </c>
    </row>
    <row r="84" spans="1:10" x14ac:dyDescent="0.25">
      <c r="A84" s="2">
        <v>84</v>
      </c>
      <c r="B84" s="18">
        <v>45775.708287037036</v>
      </c>
      <c r="C84" s="2" t="s">
        <v>355</v>
      </c>
      <c r="D84" s="2" t="s">
        <v>253</v>
      </c>
      <c r="E84" s="2" t="s">
        <v>370</v>
      </c>
      <c r="F84" s="2" t="s">
        <v>61</v>
      </c>
      <c r="G84" s="3">
        <v>890000</v>
      </c>
      <c r="H84" s="8">
        <v>7</v>
      </c>
      <c r="I84" s="3">
        <v>4485600</v>
      </c>
      <c r="J84" s="3">
        <v>4485600</v>
      </c>
    </row>
    <row r="85" spans="1:10" x14ac:dyDescent="0.25">
      <c r="A85" s="2">
        <v>85</v>
      </c>
      <c r="B85" s="18">
        <v>45775.708287037036</v>
      </c>
      <c r="C85" s="2" t="s">
        <v>355</v>
      </c>
      <c r="D85" s="2" t="s">
        <v>253</v>
      </c>
      <c r="E85" s="2" t="s">
        <v>370</v>
      </c>
      <c r="F85" s="2" t="s">
        <v>83</v>
      </c>
      <c r="G85" s="3">
        <v>790000</v>
      </c>
      <c r="H85" s="8">
        <v>8</v>
      </c>
      <c r="I85" s="3">
        <v>4550400</v>
      </c>
      <c r="J85" s="3">
        <v>4550400</v>
      </c>
    </row>
    <row r="86" spans="1:10" x14ac:dyDescent="0.25">
      <c r="A86" s="2">
        <v>86</v>
      </c>
      <c r="B86" s="18">
        <v>45775.708287037036</v>
      </c>
      <c r="C86" s="2" t="s">
        <v>355</v>
      </c>
      <c r="D86" s="2" t="s">
        <v>253</v>
      </c>
      <c r="E86" s="2" t="s">
        <v>370</v>
      </c>
      <c r="F86" s="2" t="s">
        <v>19</v>
      </c>
      <c r="G86" s="3">
        <v>590000</v>
      </c>
      <c r="H86" s="8">
        <v>8</v>
      </c>
      <c r="I86" s="3">
        <v>3398400</v>
      </c>
      <c r="J86" s="3">
        <v>3398400</v>
      </c>
    </row>
    <row r="87" spans="1:10" x14ac:dyDescent="0.25">
      <c r="A87" s="2">
        <v>87</v>
      </c>
      <c r="B87" s="18">
        <v>45775.708287037036</v>
      </c>
      <c r="C87" s="2" t="s">
        <v>355</v>
      </c>
      <c r="D87" s="2" t="s">
        <v>253</v>
      </c>
      <c r="E87" s="2" t="s">
        <v>370</v>
      </c>
      <c r="F87" s="2" t="s">
        <v>35</v>
      </c>
      <c r="G87" s="3">
        <v>525000</v>
      </c>
      <c r="H87" s="8">
        <v>5</v>
      </c>
      <c r="I87" s="3">
        <v>1890000</v>
      </c>
      <c r="J87" s="3">
        <v>1890000</v>
      </c>
    </row>
    <row r="88" spans="1:10" x14ac:dyDescent="0.25">
      <c r="A88" s="2">
        <v>88</v>
      </c>
      <c r="B88" s="18">
        <v>45775.708287037036</v>
      </c>
      <c r="C88" s="2" t="s">
        <v>355</v>
      </c>
      <c r="D88" s="2" t="s">
        <v>253</v>
      </c>
      <c r="E88" s="2" t="s">
        <v>370</v>
      </c>
      <c r="F88" s="2" t="s">
        <v>27</v>
      </c>
      <c r="G88" s="3">
        <v>935000</v>
      </c>
      <c r="H88" s="8">
        <v>5</v>
      </c>
      <c r="I88" s="3">
        <v>3366000</v>
      </c>
      <c r="J88" s="3">
        <v>3366000</v>
      </c>
    </row>
    <row r="89" spans="1:10" x14ac:dyDescent="0.25">
      <c r="A89" s="2">
        <v>89</v>
      </c>
      <c r="B89" s="18">
        <v>45775.708287037036</v>
      </c>
      <c r="C89" s="2" t="s">
        <v>355</v>
      </c>
      <c r="D89" s="2" t="s">
        <v>253</v>
      </c>
      <c r="E89" s="2" t="s">
        <v>370</v>
      </c>
      <c r="F89" s="2" t="s">
        <v>73</v>
      </c>
      <c r="G89" s="3">
        <v>1350000</v>
      </c>
      <c r="H89" s="8">
        <v>2</v>
      </c>
      <c r="I89" s="3">
        <v>1979999.9991</v>
      </c>
      <c r="J89" s="3">
        <v>1979999.9991</v>
      </c>
    </row>
    <row r="90" spans="1:10" x14ac:dyDescent="0.25">
      <c r="A90" s="2">
        <v>90</v>
      </c>
      <c r="B90" s="18">
        <v>45775.708287037036</v>
      </c>
      <c r="C90" s="2" t="s">
        <v>355</v>
      </c>
      <c r="D90" s="2" t="s">
        <v>253</v>
      </c>
      <c r="E90" s="2" t="s">
        <v>370</v>
      </c>
      <c r="F90" s="2" t="s">
        <v>91</v>
      </c>
      <c r="G90" s="3">
        <v>820000</v>
      </c>
      <c r="H90" s="8">
        <v>18</v>
      </c>
      <c r="I90" s="3">
        <v>9719998.739999998</v>
      </c>
      <c r="J90" s="3">
        <v>9719998.739999998</v>
      </c>
    </row>
    <row r="91" spans="1:10" x14ac:dyDescent="0.25">
      <c r="A91" s="2">
        <v>91</v>
      </c>
      <c r="B91" s="18">
        <v>45775.708287037036</v>
      </c>
      <c r="C91" s="2" t="s">
        <v>355</v>
      </c>
      <c r="D91" s="2" t="s">
        <v>253</v>
      </c>
      <c r="E91" s="2" t="s">
        <v>370</v>
      </c>
      <c r="F91" s="2" t="s">
        <v>25</v>
      </c>
      <c r="G91" s="3">
        <v>890000</v>
      </c>
      <c r="H91" s="8">
        <v>3</v>
      </c>
      <c r="I91" s="3">
        <v>1922400</v>
      </c>
      <c r="J91" s="3">
        <v>1922400</v>
      </c>
    </row>
    <row r="92" spans="1:10" x14ac:dyDescent="0.25">
      <c r="A92" s="2">
        <v>92</v>
      </c>
      <c r="B92" s="18">
        <v>45775.708287037036</v>
      </c>
      <c r="C92" s="2" t="s">
        <v>355</v>
      </c>
      <c r="D92" s="2" t="s">
        <v>253</v>
      </c>
      <c r="E92" s="2" t="s">
        <v>370</v>
      </c>
      <c r="F92" s="2" t="s">
        <v>33</v>
      </c>
      <c r="G92" s="3">
        <v>485000</v>
      </c>
      <c r="H92" s="8">
        <v>2</v>
      </c>
      <c r="I92" s="3">
        <v>698400</v>
      </c>
      <c r="J92" s="3">
        <v>698400</v>
      </c>
    </row>
    <row r="93" spans="1:10" x14ac:dyDescent="0.25">
      <c r="A93" s="2">
        <v>93</v>
      </c>
      <c r="B93" s="18">
        <v>45775.708287037036</v>
      </c>
      <c r="C93" s="2" t="s">
        <v>355</v>
      </c>
      <c r="D93" s="2" t="s">
        <v>253</v>
      </c>
      <c r="E93" s="2" t="s">
        <v>370</v>
      </c>
      <c r="F93" s="2" t="s">
        <v>63</v>
      </c>
      <c r="G93" s="3">
        <v>550000</v>
      </c>
      <c r="H93" s="8">
        <v>5</v>
      </c>
      <c r="I93" s="3">
        <v>1980000</v>
      </c>
      <c r="J93" s="3">
        <v>1980000</v>
      </c>
    </row>
    <row r="94" spans="1:10" x14ac:dyDescent="0.25">
      <c r="A94" s="2">
        <v>94</v>
      </c>
      <c r="B94" s="18">
        <v>45775.708287037036</v>
      </c>
      <c r="C94" s="2" t="s">
        <v>355</v>
      </c>
      <c r="D94" s="2" t="s">
        <v>253</v>
      </c>
      <c r="E94" s="2" t="s">
        <v>370</v>
      </c>
      <c r="F94" s="2" t="s">
        <v>85</v>
      </c>
      <c r="G94" s="3">
        <v>480000</v>
      </c>
      <c r="H94" s="8">
        <v>2</v>
      </c>
      <c r="I94" s="3">
        <v>691200</v>
      </c>
      <c r="J94" s="3">
        <v>691200</v>
      </c>
    </row>
    <row r="95" spans="1:10" x14ac:dyDescent="0.25">
      <c r="A95" s="2">
        <v>95</v>
      </c>
      <c r="B95" s="18">
        <v>45775.708287037036</v>
      </c>
      <c r="C95" s="2" t="s">
        <v>355</v>
      </c>
      <c r="D95" s="2" t="s">
        <v>253</v>
      </c>
      <c r="E95" s="2" t="s">
        <v>370</v>
      </c>
      <c r="F95" s="2" t="s">
        <v>91</v>
      </c>
      <c r="G95" s="3">
        <v>820000</v>
      </c>
      <c r="H95" s="8">
        <v>2</v>
      </c>
      <c r="I95" s="3">
        <v>1079999.8599999999</v>
      </c>
      <c r="J95" s="3">
        <v>1079999.8599999999</v>
      </c>
    </row>
    <row r="96" spans="1:10" x14ac:dyDescent="0.25">
      <c r="A96" s="2">
        <v>96</v>
      </c>
      <c r="B96" s="18">
        <v>45775.708287037036</v>
      </c>
      <c r="C96" s="2" t="s">
        <v>355</v>
      </c>
      <c r="D96" s="2" t="s">
        <v>253</v>
      </c>
      <c r="E96" s="2" t="s">
        <v>370</v>
      </c>
      <c r="F96" s="2" t="s">
        <v>85</v>
      </c>
      <c r="G96" s="3">
        <v>480000</v>
      </c>
      <c r="H96" s="8">
        <v>2</v>
      </c>
      <c r="I96" s="3">
        <v>0</v>
      </c>
      <c r="J96" s="3">
        <v>0</v>
      </c>
    </row>
    <row r="97" spans="1:10" x14ac:dyDescent="0.25">
      <c r="A97" s="2">
        <v>97</v>
      </c>
      <c r="B97" s="18">
        <v>45775.708287037036</v>
      </c>
      <c r="C97" s="2" t="s">
        <v>355</v>
      </c>
      <c r="D97" s="2" t="s">
        <v>34</v>
      </c>
      <c r="E97" s="2" t="s">
        <v>370</v>
      </c>
      <c r="F97" s="2" t="s">
        <v>33</v>
      </c>
      <c r="G97" s="3">
        <v>485000</v>
      </c>
      <c r="H97" s="8">
        <v>12</v>
      </c>
      <c r="I97" s="3">
        <v>3492000</v>
      </c>
      <c r="J97" s="3">
        <v>3492000</v>
      </c>
    </row>
    <row r="98" spans="1:10" x14ac:dyDescent="0.25">
      <c r="A98" s="2">
        <v>98</v>
      </c>
      <c r="B98" s="18">
        <v>45775.708287037036</v>
      </c>
      <c r="C98" s="2" t="s">
        <v>355</v>
      </c>
      <c r="D98" s="2" t="s">
        <v>34</v>
      </c>
      <c r="E98" s="2" t="s">
        <v>370</v>
      </c>
      <c r="F98" s="2" t="s">
        <v>59</v>
      </c>
      <c r="G98" s="3">
        <v>475000</v>
      </c>
      <c r="H98" s="8">
        <v>11</v>
      </c>
      <c r="I98" s="3">
        <v>3135000</v>
      </c>
      <c r="J98" s="3">
        <v>3135000</v>
      </c>
    </row>
    <row r="99" spans="1:10" x14ac:dyDescent="0.25">
      <c r="A99" s="2">
        <v>99</v>
      </c>
      <c r="B99" s="18">
        <v>45775.708287037036</v>
      </c>
      <c r="C99" s="2" t="s">
        <v>355</v>
      </c>
      <c r="D99" s="2" t="s">
        <v>34</v>
      </c>
      <c r="E99" s="2" t="s">
        <v>370</v>
      </c>
      <c r="F99" s="2" t="s">
        <v>23</v>
      </c>
      <c r="G99" s="3">
        <v>775000</v>
      </c>
      <c r="H99" s="8">
        <v>11</v>
      </c>
      <c r="I99" s="3">
        <v>5541250</v>
      </c>
      <c r="J99" s="3">
        <v>5541250</v>
      </c>
    </row>
    <row r="100" spans="1:10" x14ac:dyDescent="0.25">
      <c r="A100" s="2">
        <v>100</v>
      </c>
      <c r="B100" s="18">
        <v>45716.708287037036</v>
      </c>
      <c r="C100" s="2" t="s">
        <v>353</v>
      </c>
      <c r="D100" s="2" t="s">
        <v>312</v>
      </c>
      <c r="E100" s="2" t="s">
        <v>369</v>
      </c>
      <c r="F100" s="2" t="s">
        <v>19</v>
      </c>
      <c r="G100" s="3">
        <v>590000</v>
      </c>
      <c r="H100" s="8">
        <v>20</v>
      </c>
      <c r="I100" s="3">
        <v>11800000</v>
      </c>
      <c r="J100" s="3">
        <v>11800000</v>
      </c>
    </row>
    <row r="101" spans="1:10" x14ac:dyDescent="0.25">
      <c r="A101" s="2">
        <v>101</v>
      </c>
      <c r="B101" s="18">
        <v>45716.708287037036</v>
      </c>
      <c r="C101" s="2" t="s">
        <v>353</v>
      </c>
      <c r="D101" s="2" t="s">
        <v>312</v>
      </c>
      <c r="E101" s="2" t="s">
        <v>369</v>
      </c>
      <c r="F101" s="2" t="s">
        <v>19</v>
      </c>
      <c r="G101" s="3">
        <v>590000</v>
      </c>
      <c r="H101" s="8">
        <v>6</v>
      </c>
      <c r="I101" s="3">
        <v>0</v>
      </c>
      <c r="J101" s="3">
        <v>0</v>
      </c>
    </row>
    <row r="102" spans="1:10" x14ac:dyDescent="0.25">
      <c r="A102" s="2">
        <v>102</v>
      </c>
      <c r="B102" s="18">
        <v>45716.708287037036</v>
      </c>
      <c r="C102" s="2" t="s">
        <v>353</v>
      </c>
      <c r="D102" s="2" t="s">
        <v>312</v>
      </c>
      <c r="E102" s="2" t="s">
        <v>369</v>
      </c>
      <c r="F102" s="2" t="s">
        <v>3</v>
      </c>
      <c r="G102" s="3">
        <v>-107000</v>
      </c>
      <c r="H102" s="8">
        <v>20</v>
      </c>
      <c r="I102" s="3">
        <v>-2140000</v>
      </c>
      <c r="J102" s="3">
        <v>-2140000</v>
      </c>
    </row>
    <row r="103" spans="1:10" x14ac:dyDescent="0.25">
      <c r="A103" s="2">
        <v>103</v>
      </c>
      <c r="B103" s="18">
        <v>45716.708287037036</v>
      </c>
      <c r="C103" s="2" t="s">
        <v>353</v>
      </c>
      <c r="D103" s="2" t="s">
        <v>312</v>
      </c>
      <c r="E103" s="2" t="s">
        <v>369</v>
      </c>
      <c r="F103" s="2" t="s">
        <v>21</v>
      </c>
      <c r="G103" s="3">
        <v>890000</v>
      </c>
      <c r="H103" s="8">
        <v>20</v>
      </c>
      <c r="I103" s="3">
        <v>17800000</v>
      </c>
      <c r="J103" s="3">
        <v>17800000</v>
      </c>
    </row>
    <row r="104" spans="1:10" x14ac:dyDescent="0.25">
      <c r="A104" s="2">
        <v>104</v>
      </c>
      <c r="B104" s="18">
        <v>45716.708287037036</v>
      </c>
      <c r="C104" s="2" t="s">
        <v>353</v>
      </c>
      <c r="D104" s="2" t="s">
        <v>312</v>
      </c>
      <c r="E104" s="2" t="s">
        <v>369</v>
      </c>
      <c r="F104" s="2" t="s">
        <v>21</v>
      </c>
      <c r="G104" s="3">
        <v>890000</v>
      </c>
      <c r="H104" s="8">
        <v>6</v>
      </c>
      <c r="I104" s="3">
        <v>0</v>
      </c>
      <c r="J104" s="3">
        <v>0</v>
      </c>
    </row>
    <row r="105" spans="1:10" x14ac:dyDescent="0.25">
      <c r="A105" s="2">
        <v>105</v>
      </c>
      <c r="B105" s="18">
        <v>45716.708287037036</v>
      </c>
      <c r="C105" s="2" t="s">
        <v>353</v>
      </c>
      <c r="D105" s="2" t="s">
        <v>312</v>
      </c>
      <c r="E105" s="2" t="s">
        <v>369</v>
      </c>
      <c r="F105" s="2" t="s">
        <v>5</v>
      </c>
      <c r="G105" s="3">
        <v>-107000</v>
      </c>
      <c r="H105" s="8">
        <v>20</v>
      </c>
      <c r="I105" s="3">
        <v>-2140000</v>
      </c>
      <c r="J105" s="3">
        <v>-2140000</v>
      </c>
    </row>
    <row r="106" spans="1:10" x14ac:dyDescent="0.25">
      <c r="A106" s="2">
        <v>106</v>
      </c>
      <c r="B106" s="18">
        <v>45718.708287037036</v>
      </c>
      <c r="C106" s="2" t="s">
        <v>354</v>
      </c>
      <c r="D106" s="2" t="s">
        <v>111</v>
      </c>
      <c r="E106" s="2" t="s">
        <v>370</v>
      </c>
      <c r="F106" s="2" t="s">
        <v>29</v>
      </c>
      <c r="G106" s="3">
        <v>590000</v>
      </c>
      <c r="H106" s="8">
        <v>2</v>
      </c>
      <c r="I106" s="3">
        <v>849600</v>
      </c>
      <c r="J106" s="3">
        <v>849600</v>
      </c>
    </row>
    <row r="107" spans="1:10" x14ac:dyDescent="0.25">
      <c r="A107" s="2">
        <v>107</v>
      </c>
      <c r="B107" s="18">
        <v>45718.708287037036</v>
      </c>
      <c r="C107" s="2" t="s">
        <v>354</v>
      </c>
      <c r="D107" s="2" t="s">
        <v>111</v>
      </c>
      <c r="E107" s="2" t="s">
        <v>370</v>
      </c>
      <c r="F107" s="2" t="s">
        <v>19</v>
      </c>
      <c r="G107" s="3">
        <v>590000</v>
      </c>
      <c r="H107" s="8">
        <v>1</v>
      </c>
      <c r="I107" s="3">
        <v>424800</v>
      </c>
      <c r="J107" s="3">
        <v>424800</v>
      </c>
    </row>
    <row r="108" spans="1:10" x14ac:dyDescent="0.25">
      <c r="A108" s="2">
        <v>108</v>
      </c>
      <c r="B108" s="18">
        <v>45718.708287037036</v>
      </c>
      <c r="C108" s="2" t="s">
        <v>354</v>
      </c>
      <c r="D108" s="2" t="s">
        <v>111</v>
      </c>
      <c r="E108" s="2" t="s">
        <v>370</v>
      </c>
      <c r="F108" s="2" t="s">
        <v>85</v>
      </c>
      <c r="G108" s="3">
        <v>480000</v>
      </c>
      <c r="H108" s="8">
        <v>2</v>
      </c>
      <c r="I108" s="3">
        <v>691200</v>
      </c>
      <c r="J108" s="3">
        <v>691200</v>
      </c>
    </row>
    <row r="109" spans="1:10" x14ac:dyDescent="0.25">
      <c r="A109" s="2">
        <v>109</v>
      </c>
      <c r="B109" s="18">
        <v>45718.708287037036</v>
      </c>
      <c r="C109" s="2" t="s">
        <v>354</v>
      </c>
      <c r="D109" s="2" t="s">
        <v>48</v>
      </c>
      <c r="E109" s="2" t="s">
        <v>367</v>
      </c>
      <c r="F109" s="2" t="s">
        <v>33</v>
      </c>
      <c r="G109" s="3">
        <v>485000</v>
      </c>
      <c r="H109" s="8">
        <v>1</v>
      </c>
      <c r="I109" s="3">
        <v>242500</v>
      </c>
      <c r="J109" s="3">
        <v>242500</v>
      </c>
    </row>
    <row r="110" spans="1:10" x14ac:dyDescent="0.25">
      <c r="A110" s="2">
        <v>110</v>
      </c>
      <c r="B110" s="18">
        <v>45718.708287037036</v>
      </c>
      <c r="C110" s="2" t="s">
        <v>354</v>
      </c>
      <c r="D110" s="2" t="s">
        <v>48</v>
      </c>
      <c r="E110" s="2" t="s">
        <v>367</v>
      </c>
      <c r="F110" s="2" t="s">
        <v>25</v>
      </c>
      <c r="G110" s="3">
        <v>890000</v>
      </c>
      <c r="H110" s="8">
        <v>1</v>
      </c>
      <c r="I110" s="3">
        <v>445000</v>
      </c>
      <c r="J110" s="3">
        <v>445000</v>
      </c>
    </row>
    <row r="111" spans="1:10" x14ac:dyDescent="0.25">
      <c r="A111" s="2">
        <v>111</v>
      </c>
      <c r="B111" s="18">
        <v>45719.708287037036</v>
      </c>
      <c r="C111" s="2" t="s">
        <v>354</v>
      </c>
      <c r="D111" s="2" t="s">
        <v>303</v>
      </c>
      <c r="E111" s="2" t="s">
        <v>366</v>
      </c>
      <c r="F111" s="2" t="s">
        <v>33</v>
      </c>
      <c r="G111" s="3">
        <v>485000</v>
      </c>
      <c r="H111" s="8">
        <v>20</v>
      </c>
      <c r="I111" s="3">
        <v>4750000.081</v>
      </c>
      <c r="J111" s="3">
        <v>4750000.081</v>
      </c>
    </row>
    <row r="112" spans="1:10" x14ac:dyDescent="0.25">
      <c r="A112" s="2">
        <v>112</v>
      </c>
      <c r="B112" s="18">
        <v>45719.708287037036</v>
      </c>
      <c r="C112" s="2" t="s">
        <v>354</v>
      </c>
      <c r="D112" s="2" t="s">
        <v>6</v>
      </c>
      <c r="E112" s="2" t="s">
        <v>367</v>
      </c>
      <c r="F112" s="2" t="s">
        <v>19</v>
      </c>
      <c r="G112" s="3">
        <v>590000</v>
      </c>
      <c r="H112" s="8">
        <v>6</v>
      </c>
      <c r="I112" s="3">
        <v>1770000</v>
      </c>
      <c r="J112" s="3">
        <v>1770000</v>
      </c>
    </row>
    <row r="113" spans="1:10" x14ac:dyDescent="0.25">
      <c r="A113" s="2">
        <v>113</v>
      </c>
      <c r="B113" s="18">
        <v>45719.708287037036</v>
      </c>
      <c r="C113" s="2" t="s">
        <v>354</v>
      </c>
      <c r="D113" s="2" t="s">
        <v>6</v>
      </c>
      <c r="E113" s="2" t="s">
        <v>367</v>
      </c>
      <c r="F113" s="2" t="s">
        <v>23</v>
      </c>
      <c r="G113" s="3">
        <v>775000</v>
      </c>
      <c r="H113" s="8">
        <v>10</v>
      </c>
      <c r="I113" s="3">
        <v>3875000</v>
      </c>
      <c r="J113" s="3">
        <v>3875000</v>
      </c>
    </row>
    <row r="114" spans="1:10" x14ac:dyDescent="0.25">
      <c r="A114" s="2">
        <v>114</v>
      </c>
      <c r="B114" s="18">
        <v>45719.708287037036</v>
      </c>
      <c r="C114" s="2" t="s">
        <v>354</v>
      </c>
      <c r="D114" s="2" t="s">
        <v>6</v>
      </c>
      <c r="E114" s="2" t="s">
        <v>367</v>
      </c>
      <c r="F114" s="2" t="s">
        <v>59</v>
      </c>
      <c r="G114" s="3">
        <v>475000</v>
      </c>
      <c r="H114" s="8">
        <v>10</v>
      </c>
      <c r="I114" s="3">
        <v>2375000</v>
      </c>
      <c r="J114" s="3">
        <v>2375000</v>
      </c>
    </row>
    <row r="115" spans="1:10" x14ac:dyDescent="0.25">
      <c r="A115" s="2">
        <v>115</v>
      </c>
      <c r="B115" s="18">
        <v>45719.708287037036</v>
      </c>
      <c r="C115" s="2" t="s">
        <v>354</v>
      </c>
      <c r="D115" s="2" t="s">
        <v>6</v>
      </c>
      <c r="E115" s="2" t="s">
        <v>367</v>
      </c>
      <c r="F115" s="2" t="s">
        <v>33</v>
      </c>
      <c r="G115" s="3">
        <v>485000</v>
      </c>
      <c r="H115" s="8">
        <v>10</v>
      </c>
      <c r="I115" s="3">
        <v>2425000</v>
      </c>
      <c r="J115" s="3">
        <v>2425000</v>
      </c>
    </row>
    <row r="116" spans="1:10" x14ac:dyDescent="0.25">
      <c r="A116" s="2">
        <v>116</v>
      </c>
      <c r="B116" s="18">
        <v>45719.708287037036</v>
      </c>
      <c r="C116" s="2" t="s">
        <v>354</v>
      </c>
      <c r="D116" s="2" t="s">
        <v>122</v>
      </c>
      <c r="E116" s="2" t="s">
        <v>370</v>
      </c>
      <c r="F116" s="2" t="s">
        <v>31</v>
      </c>
      <c r="G116" s="3">
        <v>745000</v>
      </c>
      <c r="H116" s="8">
        <v>2</v>
      </c>
      <c r="I116" s="3">
        <v>1057900</v>
      </c>
      <c r="J116" s="3">
        <v>1057900</v>
      </c>
    </row>
    <row r="117" spans="1:10" x14ac:dyDescent="0.25">
      <c r="A117" s="2">
        <v>117</v>
      </c>
      <c r="B117" s="18">
        <v>45719.708287037036</v>
      </c>
      <c r="C117" s="2" t="s">
        <v>354</v>
      </c>
      <c r="D117" s="2" t="s">
        <v>122</v>
      </c>
      <c r="E117" s="2" t="s">
        <v>370</v>
      </c>
      <c r="F117" s="2" t="s">
        <v>57</v>
      </c>
      <c r="G117" s="3">
        <v>745000</v>
      </c>
      <c r="H117" s="8">
        <v>2</v>
      </c>
      <c r="I117" s="3">
        <v>1057900</v>
      </c>
      <c r="J117" s="3">
        <v>1057900</v>
      </c>
    </row>
    <row r="118" spans="1:10" x14ac:dyDescent="0.25">
      <c r="A118" s="2">
        <v>118</v>
      </c>
      <c r="B118" s="18">
        <v>45721.708287037036</v>
      </c>
      <c r="C118" s="2" t="s">
        <v>354</v>
      </c>
      <c r="D118" s="2" t="s">
        <v>86</v>
      </c>
      <c r="E118" s="2" t="s">
        <v>369</v>
      </c>
      <c r="F118" s="2" t="s">
        <v>59</v>
      </c>
      <c r="G118" s="3">
        <v>475000</v>
      </c>
      <c r="H118" s="8">
        <v>15</v>
      </c>
      <c r="I118" s="3">
        <v>3562500</v>
      </c>
      <c r="J118" s="3">
        <v>3562500</v>
      </c>
    </row>
    <row r="119" spans="1:10" x14ac:dyDescent="0.25">
      <c r="A119" s="2">
        <v>119</v>
      </c>
      <c r="B119" s="18">
        <v>45721.708287037036</v>
      </c>
      <c r="C119" s="2" t="s">
        <v>354</v>
      </c>
      <c r="D119" s="2" t="s">
        <v>86</v>
      </c>
      <c r="E119" s="2" t="s">
        <v>369</v>
      </c>
      <c r="F119" s="2" t="s">
        <v>63</v>
      </c>
      <c r="G119" s="3">
        <v>550000</v>
      </c>
      <c r="H119" s="8">
        <v>30</v>
      </c>
      <c r="I119" s="3">
        <v>8250000</v>
      </c>
      <c r="J119" s="3">
        <v>8250000</v>
      </c>
    </row>
    <row r="120" spans="1:10" x14ac:dyDescent="0.25">
      <c r="A120" s="2">
        <v>120</v>
      </c>
      <c r="B120" s="18">
        <v>45721.708287037036</v>
      </c>
      <c r="C120" s="2" t="s">
        <v>354</v>
      </c>
      <c r="D120" s="2" t="s">
        <v>86</v>
      </c>
      <c r="E120" s="2" t="s">
        <v>369</v>
      </c>
      <c r="F120" s="2" t="s">
        <v>29</v>
      </c>
      <c r="G120" s="3">
        <v>590000</v>
      </c>
      <c r="H120" s="8">
        <v>15</v>
      </c>
      <c r="I120" s="3">
        <v>4425000</v>
      </c>
      <c r="J120" s="3">
        <v>4425000</v>
      </c>
    </row>
    <row r="121" spans="1:10" x14ac:dyDescent="0.25">
      <c r="A121" s="2">
        <v>121</v>
      </c>
      <c r="B121" s="18">
        <v>45722.708287037036</v>
      </c>
      <c r="C121" s="2" t="s">
        <v>354</v>
      </c>
      <c r="D121" s="2" t="s">
        <v>48</v>
      </c>
      <c r="E121" s="2" t="s">
        <v>367</v>
      </c>
      <c r="F121" s="2" t="s">
        <v>85</v>
      </c>
      <c r="G121" s="3">
        <v>480000</v>
      </c>
      <c r="H121" s="8">
        <v>2</v>
      </c>
      <c r="I121" s="3">
        <v>480000</v>
      </c>
      <c r="J121" s="3">
        <v>480000</v>
      </c>
    </row>
    <row r="122" spans="1:10" x14ac:dyDescent="0.25">
      <c r="A122" s="2">
        <v>122</v>
      </c>
      <c r="B122" s="18">
        <v>45722.708287037036</v>
      </c>
      <c r="C122" s="2" t="s">
        <v>354</v>
      </c>
      <c r="D122" s="2" t="s">
        <v>48</v>
      </c>
      <c r="E122" s="2" t="s">
        <v>367</v>
      </c>
      <c r="F122" s="2" t="s">
        <v>59</v>
      </c>
      <c r="G122" s="3">
        <v>475000</v>
      </c>
      <c r="H122" s="8">
        <v>2</v>
      </c>
      <c r="I122" s="3">
        <v>475000</v>
      </c>
      <c r="J122" s="3">
        <v>475000</v>
      </c>
    </row>
    <row r="123" spans="1:10" x14ac:dyDescent="0.25">
      <c r="A123" s="2">
        <v>123</v>
      </c>
      <c r="B123" s="18">
        <v>45723.708287037036</v>
      </c>
      <c r="C123" s="2" t="s">
        <v>354</v>
      </c>
      <c r="D123" s="2" t="s">
        <v>268</v>
      </c>
      <c r="E123" s="2" t="s">
        <v>371</v>
      </c>
      <c r="F123" s="2" t="s">
        <v>33</v>
      </c>
      <c r="G123" s="3">
        <v>485000</v>
      </c>
      <c r="H123" s="8">
        <v>72</v>
      </c>
      <c r="I123" s="3">
        <v>15714000</v>
      </c>
      <c r="J123" s="3">
        <v>15714000</v>
      </c>
    </row>
    <row r="124" spans="1:10" x14ac:dyDescent="0.25">
      <c r="A124" s="2">
        <v>124</v>
      </c>
      <c r="B124" s="18">
        <v>45723.708287037036</v>
      </c>
      <c r="C124" s="2" t="s">
        <v>354</v>
      </c>
      <c r="D124" s="2" t="s">
        <v>268</v>
      </c>
      <c r="E124" s="2" t="s">
        <v>371</v>
      </c>
      <c r="F124" s="2" t="s">
        <v>59</v>
      </c>
      <c r="G124" s="3">
        <v>475000</v>
      </c>
      <c r="H124" s="8">
        <v>22</v>
      </c>
      <c r="I124" s="3">
        <v>4702499.999999999</v>
      </c>
      <c r="J124" s="3">
        <v>4702499.999999999</v>
      </c>
    </row>
    <row r="125" spans="1:10" x14ac:dyDescent="0.25">
      <c r="A125" s="2">
        <v>125</v>
      </c>
      <c r="B125" s="18">
        <v>45723.708287037036</v>
      </c>
      <c r="C125" s="2" t="s">
        <v>354</v>
      </c>
      <c r="D125" s="2" t="s">
        <v>268</v>
      </c>
      <c r="E125" s="2" t="s">
        <v>371</v>
      </c>
      <c r="F125" s="2" t="s">
        <v>31</v>
      </c>
      <c r="G125" s="3">
        <v>745000</v>
      </c>
      <c r="H125" s="8">
        <v>72</v>
      </c>
      <c r="I125" s="3">
        <v>26820000</v>
      </c>
      <c r="J125" s="3">
        <v>26820000</v>
      </c>
    </row>
    <row r="126" spans="1:10" x14ac:dyDescent="0.25">
      <c r="A126" s="2">
        <v>126</v>
      </c>
      <c r="B126" s="18">
        <v>45723.708287037036</v>
      </c>
      <c r="C126" s="2" t="s">
        <v>354</v>
      </c>
      <c r="D126" s="2" t="s">
        <v>268</v>
      </c>
      <c r="E126" s="2" t="s">
        <v>371</v>
      </c>
      <c r="F126" s="2" t="s">
        <v>57</v>
      </c>
      <c r="G126" s="3">
        <v>745000</v>
      </c>
      <c r="H126" s="8">
        <v>22</v>
      </c>
      <c r="I126" s="3">
        <v>8195000</v>
      </c>
      <c r="J126" s="3">
        <v>8195000</v>
      </c>
    </row>
    <row r="127" spans="1:10" x14ac:dyDescent="0.25">
      <c r="A127" s="2">
        <v>127</v>
      </c>
      <c r="B127" s="18">
        <v>45723.708287037036</v>
      </c>
      <c r="C127" s="2" t="s">
        <v>354</v>
      </c>
      <c r="D127" s="2" t="s">
        <v>267</v>
      </c>
      <c r="E127" s="2" t="s">
        <v>371</v>
      </c>
      <c r="F127" s="2" t="s">
        <v>33</v>
      </c>
      <c r="G127" s="3">
        <v>485000</v>
      </c>
      <c r="H127" s="8">
        <v>368</v>
      </c>
      <c r="I127" s="3">
        <v>80316000</v>
      </c>
      <c r="J127" s="3">
        <v>80316000</v>
      </c>
    </row>
    <row r="128" spans="1:10" x14ac:dyDescent="0.25">
      <c r="A128" s="2">
        <v>128</v>
      </c>
      <c r="B128" s="18">
        <v>45723.708287037036</v>
      </c>
      <c r="C128" s="2" t="s">
        <v>354</v>
      </c>
      <c r="D128" s="2" t="s">
        <v>267</v>
      </c>
      <c r="E128" s="2" t="s">
        <v>371</v>
      </c>
      <c r="F128" s="2" t="s">
        <v>59</v>
      </c>
      <c r="G128" s="3">
        <v>475000</v>
      </c>
      <c r="H128" s="8">
        <v>83</v>
      </c>
      <c r="I128" s="3">
        <v>17741249.999999996</v>
      </c>
      <c r="J128" s="3">
        <v>17741249.999999996</v>
      </c>
    </row>
    <row r="129" spans="1:10" x14ac:dyDescent="0.25">
      <c r="A129" s="2">
        <v>129</v>
      </c>
      <c r="B129" s="18">
        <v>45723.708287037036</v>
      </c>
      <c r="C129" s="2" t="s">
        <v>354</v>
      </c>
      <c r="D129" s="2" t="s">
        <v>267</v>
      </c>
      <c r="E129" s="2" t="s">
        <v>371</v>
      </c>
      <c r="F129" s="2" t="s">
        <v>31</v>
      </c>
      <c r="G129" s="3">
        <v>745000</v>
      </c>
      <c r="H129" s="8">
        <v>368</v>
      </c>
      <c r="I129" s="3">
        <v>137080000</v>
      </c>
      <c r="J129" s="3">
        <v>137080000</v>
      </c>
    </row>
    <row r="130" spans="1:10" x14ac:dyDescent="0.25">
      <c r="A130" s="2">
        <v>130</v>
      </c>
      <c r="B130" s="18">
        <v>45723.708287037036</v>
      </c>
      <c r="C130" s="2" t="s">
        <v>354</v>
      </c>
      <c r="D130" s="2" t="s">
        <v>267</v>
      </c>
      <c r="E130" s="2" t="s">
        <v>371</v>
      </c>
      <c r="F130" s="2" t="s">
        <v>57</v>
      </c>
      <c r="G130" s="3">
        <v>745000</v>
      </c>
      <c r="H130" s="8">
        <v>83</v>
      </c>
      <c r="I130" s="3">
        <v>30917500</v>
      </c>
      <c r="J130" s="3">
        <v>30917500</v>
      </c>
    </row>
    <row r="131" spans="1:10" x14ac:dyDescent="0.25">
      <c r="A131" s="2">
        <v>131</v>
      </c>
      <c r="B131" s="18">
        <v>45726.708287037036</v>
      </c>
      <c r="C131" s="2" t="s">
        <v>354</v>
      </c>
      <c r="D131" s="2" t="s">
        <v>303</v>
      </c>
      <c r="E131" s="2" t="s">
        <v>366</v>
      </c>
      <c r="F131" s="2" t="s">
        <v>33</v>
      </c>
      <c r="G131" s="3">
        <v>485000</v>
      </c>
      <c r="H131" s="8">
        <v>20</v>
      </c>
      <c r="I131" s="3">
        <v>4750000.081</v>
      </c>
      <c r="J131" s="3">
        <v>4750000.081</v>
      </c>
    </row>
    <row r="132" spans="1:10" x14ac:dyDescent="0.25">
      <c r="A132" s="2">
        <v>132</v>
      </c>
      <c r="B132" s="18">
        <v>45727.708287037036</v>
      </c>
      <c r="C132" s="2" t="s">
        <v>354</v>
      </c>
      <c r="D132" s="2" t="s">
        <v>74</v>
      </c>
      <c r="E132" s="2" t="s">
        <v>369</v>
      </c>
      <c r="F132" s="2" t="s">
        <v>49</v>
      </c>
      <c r="G132" s="3">
        <v>200000</v>
      </c>
      <c r="H132" s="8">
        <v>13</v>
      </c>
      <c r="I132" s="3">
        <v>0</v>
      </c>
      <c r="J132" s="3">
        <v>0</v>
      </c>
    </row>
    <row r="133" spans="1:10" x14ac:dyDescent="0.25">
      <c r="A133" s="2">
        <v>133</v>
      </c>
      <c r="B133" s="18">
        <v>45727.708287037036</v>
      </c>
      <c r="C133" s="2" t="s">
        <v>354</v>
      </c>
      <c r="D133" s="2" t="s">
        <v>74</v>
      </c>
      <c r="E133" s="2" t="s">
        <v>369</v>
      </c>
      <c r="F133" s="2" t="s">
        <v>85</v>
      </c>
      <c r="G133" s="3">
        <v>480000</v>
      </c>
      <c r="H133" s="8">
        <v>6</v>
      </c>
      <c r="I133" s="3">
        <v>1440000</v>
      </c>
      <c r="J133" s="3">
        <v>1324800</v>
      </c>
    </row>
    <row r="134" spans="1:10" x14ac:dyDescent="0.25">
      <c r="A134" s="2">
        <v>134</v>
      </c>
      <c r="B134" s="18">
        <v>45727.708287037036</v>
      </c>
      <c r="C134" s="2" t="s">
        <v>354</v>
      </c>
      <c r="D134" s="2" t="s">
        <v>74</v>
      </c>
      <c r="E134" s="2" t="s">
        <v>369</v>
      </c>
      <c r="F134" s="2" t="s">
        <v>19</v>
      </c>
      <c r="G134" s="3">
        <v>590000</v>
      </c>
      <c r="H134" s="8">
        <v>6</v>
      </c>
      <c r="I134" s="3">
        <v>1770000</v>
      </c>
      <c r="J134" s="3">
        <v>1628400</v>
      </c>
    </row>
    <row r="135" spans="1:10" x14ac:dyDescent="0.25">
      <c r="A135" s="2">
        <v>135</v>
      </c>
      <c r="B135" s="18">
        <v>45727.708287037036</v>
      </c>
      <c r="C135" s="2" t="s">
        <v>354</v>
      </c>
      <c r="D135" s="2" t="s">
        <v>74</v>
      </c>
      <c r="E135" s="2" t="s">
        <v>369</v>
      </c>
      <c r="F135" s="2" t="s">
        <v>29</v>
      </c>
      <c r="G135" s="3">
        <v>590000</v>
      </c>
      <c r="H135" s="8">
        <v>5</v>
      </c>
      <c r="I135" s="3">
        <v>1475000</v>
      </c>
      <c r="J135" s="3">
        <v>1357000</v>
      </c>
    </row>
    <row r="136" spans="1:10" x14ac:dyDescent="0.25">
      <c r="A136" s="2">
        <v>136</v>
      </c>
      <c r="B136" s="18">
        <v>45727.708287037036</v>
      </c>
      <c r="C136" s="2" t="s">
        <v>354</v>
      </c>
      <c r="D136" s="2" t="s">
        <v>74</v>
      </c>
      <c r="E136" s="2" t="s">
        <v>369</v>
      </c>
      <c r="F136" s="2" t="s">
        <v>63</v>
      </c>
      <c r="G136" s="3">
        <v>550000</v>
      </c>
      <c r="H136" s="8">
        <v>8</v>
      </c>
      <c r="I136" s="3">
        <v>2200000</v>
      </c>
      <c r="J136" s="3">
        <v>2024000</v>
      </c>
    </row>
    <row r="137" spans="1:10" x14ac:dyDescent="0.25">
      <c r="A137" s="2">
        <v>137</v>
      </c>
      <c r="B137" s="18">
        <v>45727.708287037036</v>
      </c>
      <c r="C137" s="2" t="s">
        <v>354</v>
      </c>
      <c r="D137" s="2" t="s">
        <v>74</v>
      </c>
      <c r="E137" s="2" t="s">
        <v>369</v>
      </c>
      <c r="F137" s="2" t="s">
        <v>33</v>
      </c>
      <c r="G137" s="3">
        <v>485000</v>
      </c>
      <c r="H137" s="8">
        <v>13</v>
      </c>
      <c r="I137" s="3">
        <v>3152500</v>
      </c>
      <c r="J137" s="3">
        <v>2900300</v>
      </c>
    </row>
    <row r="138" spans="1:10" x14ac:dyDescent="0.25">
      <c r="A138" s="2">
        <v>138</v>
      </c>
      <c r="B138" s="18">
        <v>45727.708287037036</v>
      </c>
      <c r="C138" s="2" t="s">
        <v>354</v>
      </c>
      <c r="D138" s="2" t="s">
        <v>74</v>
      </c>
      <c r="E138" s="2" t="s">
        <v>369</v>
      </c>
      <c r="F138" s="2" t="s">
        <v>89</v>
      </c>
      <c r="G138" s="3">
        <v>390000</v>
      </c>
      <c r="H138" s="8">
        <v>24</v>
      </c>
      <c r="I138" s="3">
        <v>0</v>
      </c>
      <c r="J138" s="3">
        <v>0</v>
      </c>
    </row>
    <row r="139" spans="1:10" x14ac:dyDescent="0.25">
      <c r="A139" s="2">
        <v>139</v>
      </c>
      <c r="B139" s="18">
        <v>45727.708287037036</v>
      </c>
      <c r="C139" s="2" t="s">
        <v>354</v>
      </c>
      <c r="D139" s="2" t="s">
        <v>74</v>
      </c>
      <c r="E139" s="2" t="s">
        <v>369</v>
      </c>
      <c r="F139" s="2" t="s">
        <v>59</v>
      </c>
      <c r="G139" s="3">
        <v>475000</v>
      </c>
      <c r="H139" s="8">
        <v>1</v>
      </c>
      <c r="I139" s="3">
        <v>237500</v>
      </c>
      <c r="J139" s="3">
        <v>218500</v>
      </c>
    </row>
    <row r="140" spans="1:10" x14ac:dyDescent="0.25">
      <c r="A140" s="2">
        <v>140</v>
      </c>
      <c r="B140" s="18">
        <v>45729.708287037036</v>
      </c>
      <c r="C140" s="2" t="s">
        <v>354</v>
      </c>
      <c r="D140" s="2" t="s">
        <v>34</v>
      </c>
      <c r="E140" s="2" t="s">
        <v>370</v>
      </c>
      <c r="F140" s="2" t="s">
        <v>33</v>
      </c>
      <c r="G140" s="3">
        <v>485000</v>
      </c>
      <c r="H140" s="8">
        <v>10</v>
      </c>
      <c r="I140" s="3">
        <v>2910000</v>
      </c>
      <c r="J140" s="3">
        <v>2910000</v>
      </c>
    </row>
    <row r="141" spans="1:10" x14ac:dyDescent="0.25">
      <c r="A141" s="2">
        <v>141</v>
      </c>
      <c r="B141" s="18">
        <v>45729.708287037036</v>
      </c>
      <c r="C141" s="2" t="s">
        <v>354</v>
      </c>
      <c r="D141" s="2" t="s">
        <v>34</v>
      </c>
      <c r="E141" s="2" t="s">
        <v>370</v>
      </c>
      <c r="F141" s="2" t="s">
        <v>59</v>
      </c>
      <c r="G141" s="3">
        <v>475000</v>
      </c>
      <c r="H141" s="8">
        <v>17</v>
      </c>
      <c r="I141" s="3">
        <v>4845000</v>
      </c>
      <c r="J141" s="3">
        <v>4845000</v>
      </c>
    </row>
    <row r="142" spans="1:10" x14ac:dyDescent="0.25">
      <c r="A142" s="2">
        <v>142</v>
      </c>
      <c r="B142" s="18">
        <v>45729.708287037036</v>
      </c>
      <c r="C142" s="2" t="s">
        <v>354</v>
      </c>
      <c r="D142" s="2" t="s">
        <v>34</v>
      </c>
      <c r="E142" s="2" t="s">
        <v>370</v>
      </c>
      <c r="F142" s="2" t="s">
        <v>23</v>
      </c>
      <c r="G142" s="3">
        <v>775000</v>
      </c>
      <c r="H142" s="8">
        <v>12</v>
      </c>
      <c r="I142" s="3">
        <v>6045000</v>
      </c>
      <c r="J142" s="3">
        <v>6045000</v>
      </c>
    </row>
    <row r="143" spans="1:10" x14ac:dyDescent="0.25">
      <c r="A143" s="2">
        <v>143</v>
      </c>
      <c r="B143" s="18">
        <v>45729.708287037036</v>
      </c>
      <c r="C143" s="2" t="s">
        <v>354</v>
      </c>
      <c r="D143" s="2" t="s">
        <v>48</v>
      </c>
      <c r="E143" s="2" t="s">
        <v>367</v>
      </c>
      <c r="F143" s="2" t="s">
        <v>63</v>
      </c>
      <c r="G143" s="3">
        <v>550000</v>
      </c>
      <c r="H143" s="8">
        <v>1</v>
      </c>
      <c r="I143" s="3">
        <v>275000</v>
      </c>
      <c r="J143" s="3">
        <v>275000</v>
      </c>
    </row>
    <row r="144" spans="1:10" x14ac:dyDescent="0.25">
      <c r="A144" s="2">
        <v>144</v>
      </c>
      <c r="B144" s="18">
        <v>45729.708287037036</v>
      </c>
      <c r="C144" s="2" t="s">
        <v>354</v>
      </c>
      <c r="D144" s="2" t="s">
        <v>303</v>
      </c>
      <c r="E144" s="2" t="s">
        <v>366</v>
      </c>
      <c r="F144" s="2" t="s">
        <v>33</v>
      </c>
      <c r="G144" s="3">
        <v>485000</v>
      </c>
      <c r="H144" s="8">
        <v>20</v>
      </c>
      <c r="I144" s="3">
        <v>4750000.081</v>
      </c>
      <c r="J144" s="3">
        <v>4750000.081</v>
      </c>
    </row>
    <row r="145" spans="1:10" x14ac:dyDescent="0.25">
      <c r="A145" s="2">
        <v>145</v>
      </c>
      <c r="B145" s="18">
        <v>45730.708287037036</v>
      </c>
      <c r="C145" s="2" t="s">
        <v>354</v>
      </c>
      <c r="D145" s="2" t="s">
        <v>296</v>
      </c>
      <c r="E145" s="2" t="s">
        <v>363</v>
      </c>
      <c r="F145" s="2" t="s">
        <v>51</v>
      </c>
      <c r="G145" s="3">
        <v>465000</v>
      </c>
      <c r="H145" s="8">
        <v>100</v>
      </c>
      <c r="I145" s="3">
        <v>10000000.002750004</v>
      </c>
      <c r="J145" s="3">
        <v>10000000.002750004</v>
      </c>
    </row>
    <row r="146" spans="1:10" x14ac:dyDescent="0.25">
      <c r="A146" s="2">
        <v>146</v>
      </c>
      <c r="B146" s="18">
        <v>45734.708287037036</v>
      </c>
      <c r="C146" s="2" t="s">
        <v>354</v>
      </c>
      <c r="D146" s="2" t="s">
        <v>267</v>
      </c>
      <c r="E146" s="2" t="s">
        <v>371</v>
      </c>
      <c r="F146" s="2" t="s">
        <v>89</v>
      </c>
      <c r="G146" s="3">
        <v>390000</v>
      </c>
      <c r="H146" s="8">
        <v>30</v>
      </c>
      <c r="I146" s="3">
        <v>0</v>
      </c>
      <c r="J146" s="3">
        <v>0</v>
      </c>
    </row>
    <row r="147" spans="1:10" x14ac:dyDescent="0.25">
      <c r="A147" s="2">
        <v>147</v>
      </c>
      <c r="B147" s="18">
        <v>45734.708287037036</v>
      </c>
      <c r="C147" s="2" t="s">
        <v>354</v>
      </c>
      <c r="D147" s="2" t="s">
        <v>267</v>
      </c>
      <c r="E147" s="2" t="s">
        <v>371</v>
      </c>
      <c r="F147" s="2" t="s">
        <v>25</v>
      </c>
      <c r="G147" s="3">
        <v>890000</v>
      </c>
      <c r="H147" s="8">
        <v>30</v>
      </c>
      <c r="I147" s="3">
        <v>13350000</v>
      </c>
      <c r="J147" s="3">
        <v>13350000</v>
      </c>
    </row>
    <row r="148" spans="1:10" x14ac:dyDescent="0.25">
      <c r="A148" s="2">
        <v>148</v>
      </c>
      <c r="B148" s="18">
        <v>45734.708287037036</v>
      </c>
      <c r="C148" s="2" t="s">
        <v>354</v>
      </c>
      <c r="D148" s="2" t="s">
        <v>267</v>
      </c>
      <c r="E148" s="2" t="s">
        <v>371</v>
      </c>
      <c r="F148" s="2" t="s">
        <v>27</v>
      </c>
      <c r="G148" s="3">
        <v>935000</v>
      </c>
      <c r="H148" s="8">
        <v>89</v>
      </c>
      <c r="I148" s="3">
        <v>41607500</v>
      </c>
      <c r="J148" s="3">
        <v>41607500</v>
      </c>
    </row>
    <row r="149" spans="1:10" x14ac:dyDescent="0.25">
      <c r="A149" s="2">
        <v>149</v>
      </c>
      <c r="B149" s="18">
        <v>45734.708287037036</v>
      </c>
      <c r="C149" s="2" t="s">
        <v>354</v>
      </c>
      <c r="D149" s="2" t="s">
        <v>268</v>
      </c>
      <c r="E149" s="2" t="s">
        <v>371</v>
      </c>
      <c r="F149" s="2" t="s">
        <v>85</v>
      </c>
      <c r="G149" s="3">
        <v>480000</v>
      </c>
      <c r="H149" s="8">
        <v>30</v>
      </c>
      <c r="I149" s="3">
        <v>6048000</v>
      </c>
      <c r="J149" s="3">
        <v>6048000</v>
      </c>
    </row>
    <row r="150" spans="1:10" x14ac:dyDescent="0.25">
      <c r="A150" s="2">
        <v>150</v>
      </c>
      <c r="B150" s="18">
        <v>45734.708287037036</v>
      </c>
      <c r="C150" s="2" t="s">
        <v>354</v>
      </c>
      <c r="D150" s="2" t="s">
        <v>268</v>
      </c>
      <c r="E150" s="2" t="s">
        <v>371</v>
      </c>
      <c r="F150" s="2" t="s">
        <v>27</v>
      </c>
      <c r="G150" s="3">
        <v>935000</v>
      </c>
      <c r="H150" s="8">
        <v>45</v>
      </c>
      <c r="I150" s="3">
        <v>21037500</v>
      </c>
      <c r="J150" s="3">
        <v>21037500</v>
      </c>
    </row>
    <row r="151" spans="1:10" x14ac:dyDescent="0.25">
      <c r="A151" s="2">
        <v>151</v>
      </c>
      <c r="B151" s="18">
        <v>45734.708287037036</v>
      </c>
      <c r="C151" s="2" t="s">
        <v>354</v>
      </c>
      <c r="D151" s="2" t="s">
        <v>296</v>
      </c>
      <c r="E151" s="2" t="s">
        <v>363</v>
      </c>
      <c r="F151" s="2" t="s">
        <v>51</v>
      </c>
      <c r="G151" s="3">
        <v>465000</v>
      </c>
      <c r="H151" s="8">
        <v>100</v>
      </c>
      <c r="I151" s="3">
        <v>10000000.002750004</v>
      </c>
      <c r="J151" s="3">
        <v>10000000.002750004</v>
      </c>
    </row>
    <row r="152" spans="1:10" x14ac:dyDescent="0.25">
      <c r="A152" s="2">
        <v>152</v>
      </c>
      <c r="B152" s="18">
        <v>45734.708287037036</v>
      </c>
      <c r="C152" s="2" t="s">
        <v>354</v>
      </c>
      <c r="D152" s="2" t="s">
        <v>115</v>
      </c>
      <c r="E152" s="2" t="s">
        <v>370</v>
      </c>
      <c r="F152" s="2" t="s">
        <v>29</v>
      </c>
      <c r="G152" s="3">
        <v>590000</v>
      </c>
      <c r="H152" s="8">
        <v>2</v>
      </c>
      <c r="I152" s="3">
        <v>849600</v>
      </c>
      <c r="J152" s="3">
        <v>849600</v>
      </c>
    </row>
    <row r="153" spans="1:10" x14ac:dyDescent="0.25">
      <c r="A153" s="2">
        <v>153</v>
      </c>
      <c r="B153" s="18">
        <v>45734.708287037036</v>
      </c>
      <c r="C153" s="2" t="s">
        <v>354</v>
      </c>
      <c r="D153" s="2" t="s">
        <v>115</v>
      </c>
      <c r="E153" s="2" t="s">
        <v>370</v>
      </c>
      <c r="F153" s="2" t="s">
        <v>19</v>
      </c>
      <c r="G153" s="3">
        <v>590000</v>
      </c>
      <c r="H153" s="8">
        <v>4</v>
      </c>
      <c r="I153" s="3">
        <v>1699200</v>
      </c>
      <c r="J153" s="3">
        <v>1699200</v>
      </c>
    </row>
    <row r="154" spans="1:10" x14ac:dyDescent="0.25">
      <c r="A154" s="2">
        <v>154</v>
      </c>
      <c r="B154" s="18">
        <v>45734.708287037036</v>
      </c>
      <c r="C154" s="2" t="s">
        <v>354</v>
      </c>
      <c r="D154" s="2" t="s">
        <v>115</v>
      </c>
      <c r="E154" s="2" t="s">
        <v>370</v>
      </c>
      <c r="F154" s="2" t="s">
        <v>61</v>
      </c>
      <c r="G154" s="3">
        <v>890000</v>
      </c>
      <c r="H154" s="8">
        <v>6</v>
      </c>
      <c r="I154" s="3">
        <v>3844800</v>
      </c>
      <c r="J154" s="3">
        <v>3844800</v>
      </c>
    </row>
    <row r="155" spans="1:10" x14ac:dyDescent="0.25">
      <c r="A155" s="2">
        <v>155</v>
      </c>
      <c r="B155" s="18">
        <v>45734.708287037036</v>
      </c>
      <c r="C155" s="2" t="s">
        <v>354</v>
      </c>
      <c r="D155" s="2" t="s">
        <v>115</v>
      </c>
      <c r="E155" s="2" t="s">
        <v>370</v>
      </c>
      <c r="F155" s="2" t="s">
        <v>83</v>
      </c>
      <c r="G155" s="3">
        <v>790000</v>
      </c>
      <c r="H155" s="8">
        <v>5</v>
      </c>
      <c r="I155" s="3">
        <v>2844000</v>
      </c>
      <c r="J155" s="3">
        <v>2844000</v>
      </c>
    </row>
    <row r="156" spans="1:10" x14ac:dyDescent="0.25">
      <c r="A156" s="2">
        <v>156</v>
      </c>
      <c r="B156" s="18">
        <v>45734.708287037036</v>
      </c>
      <c r="C156" s="2" t="s">
        <v>354</v>
      </c>
      <c r="D156" s="2" t="s">
        <v>115</v>
      </c>
      <c r="E156" s="2" t="s">
        <v>370</v>
      </c>
      <c r="F156" s="2" t="s">
        <v>35</v>
      </c>
      <c r="G156" s="3">
        <v>525000</v>
      </c>
      <c r="H156" s="8">
        <v>2</v>
      </c>
      <c r="I156" s="3">
        <v>756000</v>
      </c>
      <c r="J156" s="3">
        <v>756000</v>
      </c>
    </row>
    <row r="157" spans="1:10" x14ac:dyDescent="0.25">
      <c r="A157" s="2">
        <v>157</v>
      </c>
      <c r="B157" s="18">
        <v>45734.708287037036</v>
      </c>
      <c r="C157" s="2" t="s">
        <v>354</v>
      </c>
      <c r="D157" s="2" t="s">
        <v>115</v>
      </c>
      <c r="E157" s="2" t="s">
        <v>370</v>
      </c>
      <c r="F157" s="2" t="s">
        <v>31</v>
      </c>
      <c r="G157" s="3">
        <v>745000</v>
      </c>
      <c r="H157" s="8">
        <v>3</v>
      </c>
      <c r="I157" s="3">
        <v>1609200</v>
      </c>
      <c r="J157" s="3">
        <v>1609200</v>
      </c>
    </row>
    <row r="158" spans="1:10" x14ac:dyDescent="0.25">
      <c r="A158" s="2">
        <v>158</v>
      </c>
      <c r="B158" s="18">
        <v>45734.708287037036</v>
      </c>
      <c r="C158" s="2" t="s">
        <v>354</v>
      </c>
      <c r="D158" s="2" t="s">
        <v>115</v>
      </c>
      <c r="E158" s="2" t="s">
        <v>370</v>
      </c>
      <c r="F158" s="2" t="s">
        <v>57</v>
      </c>
      <c r="G158" s="3">
        <v>745000</v>
      </c>
      <c r="H158" s="8">
        <v>3</v>
      </c>
      <c r="I158" s="3">
        <v>1609200</v>
      </c>
      <c r="J158" s="3">
        <v>1609200</v>
      </c>
    </row>
    <row r="159" spans="1:10" x14ac:dyDescent="0.25">
      <c r="A159" s="2">
        <v>159</v>
      </c>
      <c r="B159" s="18">
        <v>45735.708287037036</v>
      </c>
      <c r="C159" s="2" t="s">
        <v>354</v>
      </c>
      <c r="D159" s="2" t="s">
        <v>303</v>
      </c>
      <c r="E159" s="2" t="s">
        <v>366</v>
      </c>
      <c r="F159" s="2" t="s">
        <v>33</v>
      </c>
      <c r="G159" s="3">
        <v>485000</v>
      </c>
      <c r="H159" s="8">
        <v>20</v>
      </c>
      <c r="I159" s="3">
        <v>4750000.081</v>
      </c>
      <c r="J159" s="3">
        <v>4750000.081</v>
      </c>
    </row>
    <row r="160" spans="1:10" x14ac:dyDescent="0.25">
      <c r="A160" s="2">
        <v>160</v>
      </c>
      <c r="B160" s="18">
        <v>45735.708287037036</v>
      </c>
      <c r="C160" s="2" t="s">
        <v>354</v>
      </c>
      <c r="D160" s="2" t="s">
        <v>128</v>
      </c>
      <c r="E160" s="2" t="s">
        <v>367</v>
      </c>
      <c r="F160" s="2" t="s">
        <v>19</v>
      </c>
      <c r="G160" s="3">
        <v>590000</v>
      </c>
      <c r="H160" s="8">
        <v>1</v>
      </c>
      <c r="I160" s="3">
        <v>383500</v>
      </c>
      <c r="J160" s="3">
        <v>383500</v>
      </c>
    </row>
    <row r="161" spans="1:10" x14ac:dyDescent="0.25">
      <c r="A161" s="2">
        <v>161</v>
      </c>
      <c r="B161" s="18">
        <v>45735.708287037036</v>
      </c>
      <c r="C161" s="2" t="s">
        <v>354</v>
      </c>
      <c r="D161" s="2" t="s">
        <v>337</v>
      </c>
      <c r="E161" s="2" t="s">
        <v>363</v>
      </c>
      <c r="F161" s="2" t="s">
        <v>31</v>
      </c>
      <c r="G161" s="3">
        <v>745000</v>
      </c>
      <c r="H161" s="8">
        <v>60</v>
      </c>
      <c r="I161" s="3">
        <v>44700000</v>
      </c>
      <c r="J161" s="3">
        <v>44700000</v>
      </c>
    </row>
    <row r="162" spans="1:10" x14ac:dyDescent="0.25">
      <c r="A162" s="2">
        <v>162</v>
      </c>
      <c r="B162" s="18">
        <v>45735.708287037036</v>
      </c>
      <c r="C162" s="2" t="s">
        <v>354</v>
      </c>
      <c r="D162" s="2" t="s">
        <v>337</v>
      </c>
      <c r="E162" s="2" t="s">
        <v>363</v>
      </c>
      <c r="F162" s="2" t="s">
        <v>31</v>
      </c>
      <c r="G162" s="3">
        <v>745000</v>
      </c>
      <c r="H162" s="8">
        <v>18</v>
      </c>
      <c r="I162" s="3">
        <v>0</v>
      </c>
      <c r="J162" s="3">
        <v>0</v>
      </c>
    </row>
    <row r="163" spans="1:10" x14ac:dyDescent="0.25">
      <c r="A163" s="2">
        <v>163</v>
      </c>
      <c r="B163" s="18">
        <v>45735.708287037036</v>
      </c>
      <c r="C163" s="2" t="s">
        <v>354</v>
      </c>
      <c r="D163" s="2" t="s">
        <v>337</v>
      </c>
      <c r="E163" s="2" t="s">
        <v>363</v>
      </c>
      <c r="F163" s="2" t="s">
        <v>57</v>
      </c>
      <c r="G163" s="3">
        <v>745000</v>
      </c>
      <c r="H163" s="8">
        <v>60</v>
      </c>
      <c r="I163" s="3">
        <v>44700000</v>
      </c>
      <c r="J163" s="3">
        <v>44700000</v>
      </c>
    </row>
    <row r="164" spans="1:10" x14ac:dyDescent="0.25">
      <c r="A164" s="2">
        <v>164</v>
      </c>
      <c r="B164" s="18">
        <v>45735.708287037036</v>
      </c>
      <c r="C164" s="2" t="s">
        <v>354</v>
      </c>
      <c r="D164" s="2" t="s">
        <v>337</v>
      </c>
      <c r="E164" s="2" t="s">
        <v>363</v>
      </c>
      <c r="F164" s="2" t="s">
        <v>57</v>
      </c>
      <c r="G164" s="3">
        <v>745000</v>
      </c>
      <c r="H164" s="8">
        <v>18</v>
      </c>
      <c r="I164" s="3">
        <v>0</v>
      </c>
      <c r="J164" s="3">
        <v>0</v>
      </c>
    </row>
    <row r="165" spans="1:10" x14ac:dyDescent="0.25">
      <c r="A165" s="2">
        <v>165</v>
      </c>
      <c r="B165" s="18">
        <v>45735.708287037036</v>
      </c>
      <c r="C165" s="2" t="s">
        <v>354</v>
      </c>
      <c r="D165" s="2" t="s">
        <v>337</v>
      </c>
      <c r="E165" s="2" t="s">
        <v>363</v>
      </c>
      <c r="F165" s="2" t="s">
        <v>7</v>
      </c>
      <c r="G165" s="3">
        <v>-290000</v>
      </c>
      <c r="H165" s="8">
        <v>60</v>
      </c>
      <c r="I165" s="3">
        <v>-17400000</v>
      </c>
      <c r="J165" s="3">
        <v>-17400000</v>
      </c>
    </row>
    <row r="166" spans="1:10" x14ac:dyDescent="0.25">
      <c r="A166" s="2">
        <v>166</v>
      </c>
      <c r="B166" s="18">
        <v>45735.708287037036</v>
      </c>
      <c r="C166" s="2" t="s">
        <v>354</v>
      </c>
      <c r="D166" s="2" t="s">
        <v>337</v>
      </c>
      <c r="E166" s="2" t="s">
        <v>363</v>
      </c>
      <c r="F166" s="2" t="s">
        <v>33</v>
      </c>
      <c r="G166" s="3">
        <v>485000</v>
      </c>
      <c r="H166" s="8">
        <v>120</v>
      </c>
      <c r="I166" s="3">
        <v>58200000</v>
      </c>
      <c r="J166" s="3">
        <v>58200000</v>
      </c>
    </row>
    <row r="167" spans="1:10" x14ac:dyDescent="0.25">
      <c r="A167" s="2">
        <v>167</v>
      </c>
      <c r="B167" s="18">
        <v>45735.708287037036</v>
      </c>
      <c r="C167" s="2" t="s">
        <v>354</v>
      </c>
      <c r="D167" s="2" t="s">
        <v>337</v>
      </c>
      <c r="E167" s="2" t="s">
        <v>363</v>
      </c>
      <c r="F167" s="2" t="s">
        <v>33</v>
      </c>
      <c r="G167" s="3">
        <v>485000</v>
      </c>
      <c r="H167" s="8">
        <v>36</v>
      </c>
      <c r="I167" s="3">
        <v>0</v>
      </c>
      <c r="J167" s="3">
        <v>0</v>
      </c>
    </row>
    <row r="168" spans="1:10" x14ac:dyDescent="0.25">
      <c r="A168" s="2">
        <v>168</v>
      </c>
      <c r="B168" s="18">
        <v>45735.708287037036</v>
      </c>
      <c r="C168" s="2" t="s">
        <v>354</v>
      </c>
      <c r="D168" s="2" t="s">
        <v>337</v>
      </c>
      <c r="E168" s="2" t="s">
        <v>363</v>
      </c>
      <c r="F168" s="2" t="s">
        <v>59</v>
      </c>
      <c r="G168" s="3">
        <v>475000</v>
      </c>
      <c r="H168" s="8">
        <v>120</v>
      </c>
      <c r="I168" s="3">
        <v>57000000</v>
      </c>
      <c r="J168" s="3">
        <v>57000000</v>
      </c>
    </row>
    <row r="169" spans="1:10" x14ac:dyDescent="0.25">
      <c r="A169" s="2">
        <v>169</v>
      </c>
      <c r="B169" s="18">
        <v>45735.708287037036</v>
      </c>
      <c r="C169" s="2" t="s">
        <v>354</v>
      </c>
      <c r="D169" s="2" t="s">
        <v>337</v>
      </c>
      <c r="E169" s="2" t="s">
        <v>363</v>
      </c>
      <c r="F169" s="2" t="s">
        <v>59</v>
      </c>
      <c r="G169" s="3">
        <v>475000</v>
      </c>
      <c r="H169" s="8">
        <v>36</v>
      </c>
      <c r="I169" s="3">
        <v>0</v>
      </c>
      <c r="J169" s="3">
        <v>0</v>
      </c>
    </row>
    <row r="170" spans="1:10" x14ac:dyDescent="0.25">
      <c r="A170" s="2">
        <v>170</v>
      </c>
      <c r="B170" s="18">
        <v>45735.708287037036</v>
      </c>
      <c r="C170" s="2" t="s">
        <v>354</v>
      </c>
      <c r="D170" s="2" t="s">
        <v>337</v>
      </c>
      <c r="E170" s="2" t="s">
        <v>363</v>
      </c>
      <c r="F170" s="2" t="s">
        <v>19</v>
      </c>
      <c r="G170" s="3">
        <v>590000</v>
      </c>
      <c r="H170" s="8">
        <v>60</v>
      </c>
      <c r="I170" s="3">
        <v>35400000</v>
      </c>
      <c r="J170" s="3">
        <v>35400000</v>
      </c>
    </row>
    <row r="171" spans="1:10" x14ac:dyDescent="0.25">
      <c r="A171" s="2">
        <v>171</v>
      </c>
      <c r="B171" s="18">
        <v>45735.708287037036</v>
      </c>
      <c r="C171" s="2" t="s">
        <v>354</v>
      </c>
      <c r="D171" s="2" t="s">
        <v>337</v>
      </c>
      <c r="E171" s="2" t="s">
        <v>363</v>
      </c>
      <c r="F171" s="2" t="s">
        <v>19</v>
      </c>
      <c r="G171" s="3">
        <v>590000</v>
      </c>
      <c r="H171" s="8">
        <v>18</v>
      </c>
      <c r="I171" s="3">
        <v>0</v>
      </c>
      <c r="J171" s="3">
        <v>0</v>
      </c>
    </row>
    <row r="172" spans="1:10" x14ac:dyDescent="0.25">
      <c r="A172" s="2">
        <v>172</v>
      </c>
      <c r="B172" s="18">
        <v>45735.708287037036</v>
      </c>
      <c r="C172" s="2" t="s">
        <v>354</v>
      </c>
      <c r="D172" s="2" t="s">
        <v>337</v>
      </c>
      <c r="E172" s="2" t="s">
        <v>363</v>
      </c>
      <c r="F172" s="2" t="s">
        <v>3</v>
      </c>
      <c r="G172" s="3">
        <v>-107000</v>
      </c>
      <c r="H172" s="8">
        <v>60</v>
      </c>
      <c r="I172" s="3">
        <v>-6420000</v>
      </c>
      <c r="J172" s="3">
        <v>-6420000</v>
      </c>
    </row>
    <row r="173" spans="1:10" x14ac:dyDescent="0.25">
      <c r="A173" s="2">
        <v>173</v>
      </c>
      <c r="B173" s="18">
        <v>45735.708287037036</v>
      </c>
      <c r="C173" s="2" t="s">
        <v>354</v>
      </c>
      <c r="D173" s="2" t="s">
        <v>337</v>
      </c>
      <c r="E173" s="2" t="s">
        <v>363</v>
      </c>
      <c r="F173" s="2" t="s">
        <v>51</v>
      </c>
      <c r="G173" s="3">
        <v>465000</v>
      </c>
      <c r="H173" s="8">
        <v>100</v>
      </c>
      <c r="I173" s="3">
        <v>10000000.305</v>
      </c>
      <c r="J173" s="3">
        <v>10000000.305</v>
      </c>
    </row>
    <row r="174" spans="1:10" x14ac:dyDescent="0.25">
      <c r="A174" s="2">
        <v>174</v>
      </c>
      <c r="B174" s="18">
        <v>45735.708287037036</v>
      </c>
      <c r="C174" s="2" t="s">
        <v>354</v>
      </c>
      <c r="D174" s="2" t="s">
        <v>337</v>
      </c>
      <c r="E174" s="2" t="s">
        <v>363</v>
      </c>
      <c r="F174" s="2" t="s">
        <v>87</v>
      </c>
      <c r="G174" s="3">
        <v>-33807600</v>
      </c>
      <c r="H174" s="8">
        <v>1</v>
      </c>
      <c r="I174" s="3">
        <v>-33807600</v>
      </c>
      <c r="J174" s="3">
        <v>-33807600</v>
      </c>
    </row>
    <row r="175" spans="1:10" x14ac:dyDescent="0.25">
      <c r="A175" s="2">
        <v>175</v>
      </c>
      <c r="B175" s="18">
        <v>45735.708287037036</v>
      </c>
      <c r="C175" s="2" t="s">
        <v>354</v>
      </c>
      <c r="D175" s="2" t="s">
        <v>337</v>
      </c>
      <c r="E175" s="2" t="s">
        <v>363</v>
      </c>
      <c r="F175" s="2" t="s">
        <v>9</v>
      </c>
      <c r="G175" s="3">
        <v>-190000</v>
      </c>
      <c r="H175" s="8">
        <v>120</v>
      </c>
      <c r="I175" s="3">
        <v>-22800000</v>
      </c>
      <c r="J175" s="3">
        <v>-22800000</v>
      </c>
    </row>
    <row r="176" spans="1:10" x14ac:dyDescent="0.25">
      <c r="A176" s="2">
        <v>176</v>
      </c>
      <c r="B176" s="18">
        <v>45736.708287037036</v>
      </c>
      <c r="C176" s="2" t="s">
        <v>354</v>
      </c>
      <c r="D176" s="2" t="s">
        <v>58</v>
      </c>
      <c r="E176" s="2" t="s">
        <v>363</v>
      </c>
      <c r="F176" s="2" t="s">
        <v>33</v>
      </c>
      <c r="G176" s="3">
        <v>485000</v>
      </c>
      <c r="H176" s="8">
        <v>90</v>
      </c>
      <c r="I176" s="3">
        <v>26190000</v>
      </c>
      <c r="J176" s="3">
        <v>26190000</v>
      </c>
    </row>
    <row r="177" spans="1:10" x14ac:dyDescent="0.25">
      <c r="A177" s="2">
        <v>177</v>
      </c>
      <c r="B177" s="18">
        <v>45736.708287037036</v>
      </c>
      <c r="C177" s="2" t="s">
        <v>354</v>
      </c>
      <c r="D177" s="2" t="s">
        <v>58</v>
      </c>
      <c r="E177" s="2" t="s">
        <v>363</v>
      </c>
      <c r="F177" s="2" t="s">
        <v>59</v>
      </c>
      <c r="G177" s="3">
        <v>475000</v>
      </c>
      <c r="H177" s="8">
        <v>90</v>
      </c>
      <c r="I177" s="3">
        <v>25650000</v>
      </c>
      <c r="J177" s="3">
        <v>25650000</v>
      </c>
    </row>
    <row r="178" spans="1:10" x14ac:dyDescent="0.25">
      <c r="A178" s="2">
        <v>178</v>
      </c>
      <c r="B178" s="18">
        <v>45736.708287037036</v>
      </c>
      <c r="C178" s="2" t="s">
        <v>354</v>
      </c>
      <c r="D178" s="2" t="s">
        <v>58</v>
      </c>
      <c r="E178" s="2" t="s">
        <v>363</v>
      </c>
      <c r="F178" s="2" t="s">
        <v>33</v>
      </c>
      <c r="G178" s="3">
        <v>485000</v>
      </c>
      <c r="H178" s="8">
        <v>90</v>
      </c>
      <c r="I178" s="3">
        <v>26190000</v>
      </c>
      <c r="J178" s="3">
        <v>26190000</v>
      </c>
    </row>
    <row r="179" spans="1:10" x14ac:dyDescent="0.25">
      <c r="A179" s="2">
        <v>179</v>
      </c>
      <c r="B179" s="18">
        <v>45736.708287037036</v>
      </c>
      <c r="C179" s="2" t="s">
        <v>354</v>
      </c>
      <c r="D179" s="2" t="s">
        <v>58</v>
      </c>
      <c r="E179" s="2" t="s">
        <v>363</v>
      </c>
      <c r="F179" s="2" t="s">
        <v>59</v>
      </c>
      <c r="G179" s="3">
        <v>475000</v>
      </c>
      <c r="H179" s="8">
        <v>90</v>
      </c>
      <c r="I179" s="3">
        <v>25650000</v>
      </c>
      <c r="J179" s="3">
        <v>25650000</v>
      </c>
    </row>
    <row r="180" spans="1:10" x14ac:dyDescent="0.25">
      <c r="A180" s="2">
        <v>180</v>
      </c>
      <c r="B180" s="18">
        <v>45739.708287037036</v>
      </c>
      <c r="C180" s="2" t="s">
        <v>354</v>
      </c>
      <c r="D180" s="2" t="s">
        <v>303</v>
      </c>
      <c r="E180" s="2" t="s">
        <v>366</v>
      </c>
      <c r="F180" s="2" t="s">
        <v>33</v>
      </c>
      <c r="G180" s="3">
        <v>485000</v>
      </c>
      <c r="H180" s="8">
        <v>20</v>
      </c>
      <c r="I180" s="3">
        <v>4750000.081</v>
      </c>
      <c r="J180" s="3">
        <v>4750000.081</v>
      </c>
    </row>
    <row r="181" spans="1:10" x14ac:dyDescent="0.25">
      <c r="A181" s="2">
        <v>181</v>
      </c>
      <c r="B181" s="18">
        <v>45739.708287037036</v>
      </c>
      <c r="C181" s="2" t="s">
        <v>354</v>
      </c>
      <c r="D181" s="2" t="s">
        <v>119</v>
      </c>
      <c r="E181" s="2" t="s">
        <v>370</v>
      </c>
      <c r="F181" s="2" t="s">
        <v>63</v>
      </c>
      <c r="G181" s="3">
        <v>550000</v>
      </c>
      <c r="H181" s="8">
        <v>1</v>
      </c>
      <c r="I181" s="3">
        <v>396000</v>
      </c>
      <c r="J181" s="3">
        <v>396000</v>
      </c>
    </row>
    <row r="182" spans="1:10" x14ac:dyDescent="0.25">
      <c r="A182" s="2">
        <v>182</v>
      </c>
      <c r="B182" s="18">
        <v>45739.708287037036</v>
      </c>
      <c r="C182" s="2" t="s">
        <v>354</v>
      </c>
      <c r="D182" s="2" t="s">
        <v>119</v>
      </c>
      <c r="E182" s="2" t="s">
        <v>370</v>
      </c>
      <c r="F182" s="2" t="s">
        <v>35</v>
      </c>
      <c r="G182" s="3">
        <v>525000</v>
      </c>
      <c r="H182" s="8">
        <v>1</v>
      </c>
      <c r="I182" s="3">
        <v>378000</v>
      </c>
      <c r="J182" s="3">
        <v>378000</v>
      </c>
    </row>
    <row r="183" spans="1:10" x14ac:dyDescent="0.25">
      <c r="A183" s="2">
        <v>183</v>
      </c>
      <c r="B183" s="18">
        <v>45739.708287037036</v>
      </c>
      <c r="C183" s="2" t="s">
        <v>354</v>
      </c>
      <c r="D183" s="2" t="s">
        <v>119</v>
      </c>
      <c r="E183" s="2" t="s">
        <v>370</v>
      </c>
      <c r="F183" s="2" t="s">
        <v>33</v>
      </c>
      <c r="G183" s="3">
        <v>485000</v>
      </c>
      <c r="H183" s="8">
        <v>1</v>
      </c>
      <c r="I183" s="3">
        <v>349200</v>
      </c>
      <c r="J183" s="3">
        <v>349200</v>
      </c>
    </row>
    <row r="184" spans="1:10" x14ac:dyDescent="0.25">
      <c r="A184" s="2">
        <v>184</v>
      </c>
      <c r="B184" s="18">
        <v>45739.708287037036</v>
      </c>
      <c r="C184" s="2" t="s">
        <v>354</v>
      </c>
      <c r="D184" s="2" t="s">
        <v>119</v>
      </c>
      <c r="E184" s="2" t="s">
        <v>370</v>
      </c>
      <c r="F184" s="2" t="s">
        <v>59</v>
      </c>
      <c r="G184" s="3">
        <v>475000</v>
      </c>
      <c r="H184" s="8">
        <v>1</v>
      </c>
      <c r="I184" s="3">
        <v>342000</v>
      </c>
      <c r="J184" s="3">
        <v>342000</v>
      </c>
    </row>
    <row r="185" spans="1:10" x14ac:dyDescent="0.25">
      <c r="A185" s="2">
        <v>185</v>
      </c>
      <c r="B185" s="18">
        <v>45739.708287037036</v>
      </c>
      <c r="C185" s="2" t="s">
        <v>354</v>
      </c>
      <c r="D185" s="2" t="s">
        <v>48</v>
      </c>
      <c r="E185" s="2" t="s">
        <v>367</v>
      </c>
      <c r="F185" s="2" t="s">
        <v>65</v>
      </c>
      <c r="G185" s="3">
        <v>750000</v>
      </c>
      <c r="H185" s="8">
        <v>2</v>
      </c>
      <c r="I185" s="3">
        <v>750000</v>
      </c>
      <c r="J185" s="3">
        <v>750000</v>
      </c>
    </row>
    <row r="186" spans="1:10" x14ac:dyDescent="0.25">
      <c r="A186" s="2">
        <v>186</v>
      </c>
      <c r="B186" s="18">
        <v>45740.708287037036</v>
      </c>
      <c r="C186" s="2" t="s">
        <v>354</v>
      </c>
      <c r="D186" s="2" t="s">
        <v>267</v>
      </c>
      <c r="E186" s="2" t="s">
        <v>371</v>
      </c>
      <c r="F186" s="2" t="s">
        <v>89</v>
      </c>
      <c r="G186" s="3">
        <v>390000</v>
      </c>
      <c r="H186" s="8">
        <v>300</v>
      </c>
      <c r="I186" s="3">
        <v>0</v>
      </c>
      <c r="J186" s="3">
        <v>0</v>
      </c>
    </row>
    <row r="187" spans="1:10" x14ac:dyDescent="0.25">
      <c r="A187" s="2">
        <v>187</v>
      </c>
      <c r="B187" s="18">
        <v>45740.708287037036</v>
      </c>
      <c r="C187" s="2" t="s">
        <v>354</v>
      </c>
      <c r="D187" s="2" t="s">
        <v>267</v>
      </c>
      <c r="E187" s="2" t="s">
        <v>371</v>
      </c>
      <c r="F187" s="2" t="s">
        <v>85</v>
      </c>
      <c r="G187" s="3">
        <v>480000</v>
      </c>
      <c r="H187" s="8">
        <v>85</v>
      </c>
      <c r="I187" s="3">
        <v>17136000</v>
      </c>
      <c r="J187" s="3">
        <v>17136000</v>
      </c>
    </row>
    <row r="188" spans="1:10" x14ac:dyDescent="0.25">
      <c r="A188" s="2">
        <v>188</v>
      </c>
      <c r="B188" s="18">
        <v>45740.708287037036</v>
      </c>
      <c r="C188" s="2" t="s">
        <v>354</v>
      </c>
      <c r="D188" s="2" t="s">
        <v>267</v>
      </c>
      <c r="E188" s="2" t="s">
        <v>371</v>
      </c>
      <c r="F188" s="2" t="s">
        <v>25</v>
      </c>
      <c r="G188" s="3">
        <v>890000</v>
      </c>
      <c r="H188" s="8">
        <v>300</v>
      </c>
      <c r="I188" s="3">
        <v>133500000</v>
      </c>
      <c r="J188" s="3">
        <v>133500000</v>
      </c>
    </row>
    <row r="189" spans="1:10" x14ac:dyDescent="0.25">
      <c r="A189" s="2">
        <v>189</v>
      </c>
      <c r="B189" s="18">
        <v>45740.708287037036</v>
      </c>
      <c r="C189" s="2" t="s">
        <v>354</v>
      </c>
      <c r="D189" s="2" t="s">
        <v>268</v>
      </c>
      <c r="E189" s="2" t="s">
        <v>371</v>
      </c>
      <c r="F189" s="2" t="s">
        <v>89</v>
      </c>
      <c r="G189" s="3">
        <v>390000</v>
      </c>
      <c r="H189" s="8">
        <v>50</v>
      </c>
      <c r="I189" s="3">
        <v>0</v>
      </c>
      <c r="J189" s="3">
        <v>0</v>
      </c>
    </row>
    <row r="190" spans="1:10" x14ac:dyDescent="0.25">
      <c r="A190" s="2">
        <v>190</v>
      </c>
      <c r="B190" s="18">
        <v>45740.708287037036</v>
      </c>
      <c r="C190" s="2" t="s">
        <v>354</v>
      </c>
      <c r="D190" s="2" t="s">
        <v>268</v>
      </c>
      <c r="E190" s="2" t="s">
        <v>371</v>
      </c>
      <c r="F190" s="2" t="s">
        <v>85</v>
      </c>
      <c r="G190" s="3">
        <v>480000</v>
      </c>
      <c r="H190" s="8">
        <v>25</v>
      </c>
      <c r="I190" s="3">
        <v>5040000</v>
      </c>
      <c r="J190" s="3">
        <v>5040000</v>
      </c>
    </row>
    <row r="191" spans="1:10" x14ac:dyDescent="0.25">
      <c r="A191" s="2">
        <v>191</v>
      </c>
      <c r="B191" s="18">
        <v>45740.708287037036</v>
      </c>
      <c r="C191" s="2" t="s">
        <v>354</v>
      </c>
      <c r="D191" s="2" t="s">
        <v>268</v>
      </c>
      <c r="E191" s="2" t="s">
        <v>371</v>
      </c>
      <c r="F191" s="2" t="s">
        <v>25</v>
      </c>
      <c r="G191" s="3">
        <v>890000</v>
      </c>
      <c r="H191" s="8">
        <v>50</v>
      </c>
      <c r="I191" s="3">
        <v>22250000</v>
      </c>
      <c r="J191" s="3">
        <v>22250000</v>
      </c>
    </row>
    <row r="192" spans="1:10" x14ac:dyDescent="0.25">
      <c r="A192" s="2">
        <v>192</v>
      </c>
      <c r="B192" s="18">
        <v>45740.708287037036</v>
      </c>
      <c r="C192" s="2" t="s">
        <v>354</v>
      </c>
      <c r="D192" s="2" t="s">
        <v>48</v>
      </c>
      <c r="E192" s="2" t="s">
        <v>367</v>
      </c>
      <c r="F192" s="2" t="s">
        <v>29</v>
      </c>
      <c r="G192" s="3">
        <v>590000</v>
      </c>
      <c r="H192" s="8">
        <v>1</v>
      </c>
      <c r="I192" s="3">
        <v>295000</v>
      </c>
      <c r="J192" s="3">
        <v>295000</v>
      </c>
    </row>
    <row r="193" spans="1:10" x14ac:dyDescent="0.25">
      <c r="A193" s="2">
        <v>193</v>
      </c>
      <c r="B193" s="18">
        <v>45740.708287037036</v>
      </c>
      <c r="C193" s="2" t="s">
        <v>354</v>
      </c>
      <c r="D193" s="2" t="s">
        <v>86</v>
      </c>
      <c r="E193" s="2" t="s">
        <v>369</v>
      </c>
      <c r="F193" s="2" t="s">
        <v>19</v>
      </c>
      <c r="G193" s="3">
        <v>590000</v>
      </c>
      <c r="H193" s="8">
        <v>5</v>
      </c>
      <c r="I193" s="3">
        <v>1475000</v>
      </c>
      <c r="J193" s="3">
        <v>1475000</v>
      </c>
    </row>
    <row r="194" spans="1:10" x14ac:dyDescent="0.25">
      <c r="A194" s="2">
        <v>194</v>
      </c>
      <c r="B194" s="18">
        <v>45740.708287037036</v>
      </c>
      <c r="C194" s="2" t="s">
        <v>354</v>
      </c>
      <c r="D194" s="2" t="s">
        <v>86</v>
      </c>
      <c r="E194" s="2" t="s">
        <v>369</v>
      </c>
      <c r="F194" s="2" t="s">
        <v>29</v>
      </c>
      <c r="G194" s="3">
        <v>590000</v>
      </c>
      <c r="H194" s="8">
        <v>10</v>
      </c>
      <c r="I194" s="3">
        <v>2950000</v>
      </c>
      <c r="J194" s="3">
        <v>2950000</v>
      </c>
    </row>
    <row r="195" spans="1:10" x14ac:dyDescent="0.25">
      <c r="A195" s="2">
        <v>195</v>
      </c>
      <c r="B195" s="18">
        <v>45740.708287037036</v>
      </c>
      <c r="C195" s="2" t="s">
        <v>354</v>
      </c>
      <c r="D195" s="2" t="s">
        <v>86</v>
      </c>
      <c r="E195" s="2" t="s">
        <v>369</v>
      </c>
      <c r="F195" s="2" t="s">
        <v>85</v>
      </c>
      <c r="G195" s="3">
        <v>480000</v>
      </c>
      <c r="H195" s="8">
        <v>20</v>
      </c>
      <c r="I195" s="3">
        <v>4800000</v>
      </c>
      <c r="J195" s="3">
        <v>4800000</v>
      </c>
    </row>
    <row r="196" spans="1:10" x14ac:dyDescent="0.25">
      <c r="A196" s="2">
        <v>196</v>
      </c>
      <c r="B196" s="18">
        <v>45741.708287037036</v>
      </c>
      <c r="C196" s="2" t="s">
        <v>354</v>
      </c>
      <c r="D196" s="2" t="s">
        <v>92</v>
      </c>
      <c r="E196" s="2" t="s">
        <v>365</v>
      </c>
      <c r="F196" s="2" t="s">
        <v>23</v>
      </c>
      <c r="G196" s="3">
        <v>775000</v>
      </c>
      <c r="H196" s="8">
        <v>20</v>
      </c>
      <c r="I196" s="3">
        <v>9300000</v>
      </c>
      <c r="J196" s="3">
        <v>9300000</v>
      </c>
    </row>
    <row r="197" spans="1:10" x14ac:dyDescent="0.25">
      <c r="A197" s="2">
        <v>197</v>
      </c>
      <c r="B197" s="18">
        <v>45744.708287037036</v>
      </c>
      <c r="C197" s="2" t="s">
        <v>354</v>
      </c>
      <c r="D197" s="2" t="s">
        <v>268</v>
      </c>
      <c r="E197" s="2" t="s">
        <v>371</v>
      </c>
      <c r="F197" s="2" t="s">
        <v>59</v>
      </c>
      <c r="G197" s="3">
        <v>475000</v>
      </c>
      <c r="H197" s="8">
        <v>87</v>
      </c>
      <c r="I197" s="3">
        <v>18596249.999999996</v>
      </c>
      <c r="J197" s="3">
        <v>18596249.999999996</v>
      </c>
    </row>
    <row r="198" spans="1:10" x14ac:dyDescent="0.25">
      <c r="A198" s="2">
        <v>198</v>
      </c>
      <c r="B198" s="18">
        <v>45744.708287037036</v>
      </c>
      <c r="C198" s="2" t="s">
        <v>354</v>
      </c>
      <c r="D198" s="2" t="s">
        <v>268</v>
      </c>
      <c r="E198" s="2" t="s">
        <v>371</v>
      </c>
      <c r="F198" s="2" t="s">
        <v>57</v>
      </c>
      <c r="G198" s="3">
        <v>745000</v>
      </c>
      <c r="H198" s="8">
        <v>87</v>
      </c>
      <c r="I198" s="3">
        <v>32407500</v>
      </c>
      <c r="J198" s="3">
        <v>32407500</v>
      </c>
    </row>
    <row r="199" spans="1:10" x14ac:dyDescent="0.25">
      <c r="A199" s="2">
        <v>199</v>
      </c>
      <c r="B199" s="18">
        <v>45744.708287037036</v>
      </c>
      <c r="C199" s="2" t="s">
        <v>354</v>
      </c>
      <c r="D199" s="2" t="s">
        <v>268</v>
      </c>
      <c r="E199" s="2" t="s">
        <v>371</v>
      </c>
      <c r="F199" s="2" t="s">
        <v>27</v>
      </c>
      <c r="G199" s="3">
        <v>935000</v>
      </c>
      <c r="H199" s="8">
        <v>38</v>
      </c>
      <c r="I199" s="3">
        <v>17765000</v>
      </c>
      <c r="J199" s="3">
        <v>17765000</v>
      </c>
    </row>
    <row r="200" spans="1:10" x14ac:dyDescent="0.25">
      <c r="A200" s="2">
        <v>200</v>
      </c>
      <c r="B200" s="18">
        <v>45746.708287037036</v>
      </c>
      <c r="C200" s="2" t="s">
        <v>354</v>
      </c>
      <c r="D200" s="2" t="s">
        <v>267</v>
      </c>
      <c r="E200" s="2" t="s">
        <v>371</v>
      </c>
      <c r="F200" s="2" t="s">
        <v>33</v>
      </c>
      <c r="G200" s="3">
        <v>485000</v>
      </c>
      <c r="H200" s="8">
        <v>127</v>
      </c>
      <c r="I200" s="3">
        <v>27717750</v>
      </c>
      <c r="J200" s="3">
        <v>27717750</v>
      </c>
    </row>
    <row r="201" spans="1:10" x14ac:dyDescent="0.25">
      <c r="A201" s="2">
        <v>201</v>
      </c>
      <c r="B201" s="18">
        <v>45746.708287037036</v>
      </c>
      <c r="C201" s="2" t="s">
        <v>354</v>
      </c>
      <c r="D201" s="2" t="s">
        <v>267</v>
      </c>
      <c r="E201" s="2" t="s">
        <v>371</v>
      </c>
      <c r="F201" s="2" t="s">
        <v>59</v>
      </c>
      <c r="G201" s="3">
        <v>475000</v>
      </c>
      <c r="H201" s="8">
        <v>271</v>
      </c>
      <c r="I201" s="3">
        <v>57926249.99999999</v>
      </c>
      <c r="J201" s="3">
        <v>57926249.99999999</v>
      </c>
    </row>
    <row r="202" spans="1:10" x14ac:dyDescent="0.25">
      <c r="A202" s="2">
        <v>202</v>
      </c>
      <c r="B202" s="18">
        <v>45746.708287037036</v>
      </c>
      <c r="C202" s="2" t="s">
        <v>354</v>
      </c>
      <c r="D202" s="2" t="s">
        <v>267</v>
      </c>
      <c r="E202" s="2" t="s">
        <v>371</v>
      </c>
      <c r="F202" s="2" t="s">
        <v>31</v>
      </c>
      <c r="G202" s="3">
        <v>745000</v>
      </c>
      <c r="H202" s="8">
        <v>127</v>
      </c>
      <c r="I202" s="3">
        <v>47307500</v>
      </c>
      <c r="J202" s="3">
        <v>47307500</v>
      </c>
    </row>
    <row r="203" spans="1:10" x14ac:dyDescent="0.25">
      <c r="A203" s="2">
        <v>203</v>
      </c>
      <c r="B203" s="18">
        <v>45746.708287037036</v>
      </c>
      <c r="C203" s="2" t="s">
        <v>354</v>
      </c>
      <c r="D203" s="2" t="s">
        <v>267</v>
      </c>
      <c r="E203" s="2" t="s">
        <v>371</v>
      </c>
      <c r="F203" s="2" t="s">
        <v>57</v>
      </c>
      <c r="G203" s="3">
        <v>745000</v>
      </c>
      <c r="H203" s="8">
        <v>271</v>
      </c>
      <c r="I203" s="3">
        <v>100947500</v>
      </c>
      <c r="J203" s="3">
        <v>100947500</v>
      </c>
    </row>
    <row r="204" spans="1:10" x14ac:dyDescent="0.25">
      <c r="A204" s="2">
        <v>204</v>
      </c>
      <c r="B204" s="18">
        <v>45746.708287037036</v>
      </c>
      <c r="C204" s="2" t="s">
        <v>354</v>
      </c>
      <c r="D204" s="2" t="s">
        <v>267</v>
      </c>
      <c r="E204" s="2" t="s">
        <v>371</v>
      </c>
      <c r="F204" s="2" t="s">
        <v>27</v>
      </c>
      <c r="G204" s="3">
        <v>935000</v>
      </c>
      <c r="H204" s="8">
        <v>100</v>
      </c>
      <c r="I204" s="3">
        <v>46750000</v>
      </c>
      <c r="J204" s="3">
        <v>46750000</v>
      </c>
    </row>
    <row r="205" spans="1:10" x14ac:dyDescent="0.25">
      <c r="A205" s="2">
        <v>205</v>
      </c>
      <c r="B205" s="18">
        <v>45746.708287037036</v>
      </c>
      <c r="C205" s="2" t="s">
        <v>354</v>
      </c>
      <c r="D205" s="2" t="s">
        <v>253</v>
      </c>
      <c r="E205" s="2" t="s">
        <v>370</v>
      </c>
      <c r="F205" s="2" t="s">
        <v>61</v>
      </c>
      <c r="G205" s="3">
        <v>890000</v>
      </c>
      <c r="H205" s="8">
        <v>6</v>
      </c>
      <c r="I205" s="3">
        <v>3844800</v>
      </c>
      <c r="J205" s="3">
        <v>3844800</v>
      </c>
    </row>
    <row r="206" spans="1:10" x14ac:dyDescent="0.25">
      <c r="A206" s="2">
        <v>206</v>
      </c>
      <c r="B206" s="18">
        <v>45746.708287037036</v>
      </c>
      <c r="C206" s="2" t="s">
        <v>354</v>
      </c>
      <c r="D206" s="2" t="s">
        <v>253</v>
      </c>
      <c r="E206" s="2" t="s">
        <v>370</v>
      </c>
      <c r="F206" s="2" t="s">
        <v>83</v>
      </c>
      <c r="G206" s="3">
        <v>790000</v>
      </c>
      <c r="H206" s="8">
        <v>4</v>
      </c>
      <c r="I206" s="3">
        <v>2275200</v>
      </c>
      <c r="J206" s="3">
        <v>2275200</v>
      </c>
    </row>
    <row r="207" spans="1:10" x14ac:dyDescent="0.25">
      <c r="A207" s="2">
        <v>207</v>
      </c>
      <c r="B207" s="18">
        <v>45746.708287037036</v>
      </c>
      <c r="C207" s="2" t="s">
        <v>354</v>
      </c>
      <c r="D207" s="2" t="s">
        <v>253</v>
      </c>
      <c r="E207" s="2" t="s">
        <v>370</v>
      </c>
      <c r="F207" s="2" t="s">
        <v>19</v>
      </c>
      <c r="G207" s="3">
        <v>590000</v>
      </c>
      <c r="H207" s="8">
        <v>6</v>
      </c>
      <c r="I207" s="3">
        <v>2548800</v>
      </c>
      <c r="J207" s="3">
        <v>2548800</v>
      </c>
    </row>
    <row r="208" spans="1:10" x14ac:dyDescent="0.25">
      <c r="A208" s="2">
        <v>208</v>
      </c>
      <c r="B208" s="18">
        <v>45746.708287037036</v>
      </c>
      <c r="C208" s="2" t="s">
        <v>354</v>
      </c>
      <c r="D208" s="2" t="s">
        <v>253</v>
      </c>
      <c r="E208" s="2" t="s">
        <v>370</v>
      </c>
      <c r="F208" s="2" t="s">
        <v>35</v>
      </c>
      <c r="G208" s="3">
        <v>525000</v>
      </c>
      <c r="H208" s="8">
        <v>2</v>
      </c>
      <c r="I208" s="3">
        <v>756000</v>
      </c>
      <c r="J208" s="3">
        <v>756000</v>
      </c>
    </row>
    <row r="209" spans="1:10" x14ac:dyDescent="0.25">
      <c r="A209" s="2">
        <v>209</v>
      </c>
      <c r="B209" s="18">
        <v>45746.708287037036</v>
      </c>
      <c r="C209" s="2" t="s">
        <v>354</v>
      </c>
      <c r="D209" s="2" t="s">
        <v>253</v>
      </c>
      <c r="E209" s="2" t="s">
        <v>370</v>
      </c>
      <c r="F209" s="2" t="s">
        <v>27</v>
      </c>
      <c r="G209" s="3">
        <v>935000</v>
      </c>
      <c r="H209" s="8">
        <v>4</v>
      </c>
      <c r="I209" s="3">
        <v>2692800</v>
      </c>
      <c r="J209" s="3">
        <v>2692800</v>
      </c>
    </row>
    <row r="210" spans="1:10" x14ac:dyDescent="0.25">
      <c r="A210" s="2">
        <v>210</v>
      </c>
      <c r="B210" s="18">
        <v>45746.708287037036</v>
      </c>
      <c r="C210" s="2" t="s">
        <v>354</v>
      </c>
      <c r="D210" s="2" t="s">
        <v>253</v>
      </c>
      <c r="E210" s="2" t="s">
        <v>370</v>
      </c>
      <c r="F210" s="2" t="s">
        <v>73</v>
      </c>
      <c r="G210" s="3">
        <v>1350000</v>
      </c>
      <c r="H210" s="8">
        <v>1</v>
      </c>
      <c r="I210" s="3">
        <v>989999.9550000001</v>
      </c>
      <c r="J210" s="3">
        <v>989999.9550000001</v>
      </c>
    </row>
    <row r="211" spans="1:10" x14ac:dyDescent="0.25">
      <c r="A211" s="2">
        <v>211</v>
      </c>
      <c r="B211" s="18">
        <v>45746.708287037036</v>
      </c>
      <c r="C211" s="2" t="s">
        <v>354</v>
      </c>
      <c r="D211" s="2" t="s">
        <v>253</v>
      </c>
      <c r="E211" s="2" t="s">
        <v>370</v>
      </c>
      <c r="F211" s="2" t="s">
        <v>91</v>
      </c>
      <c r="G211" s="3">
        <v>750000</v>
      </c>
      <c r="H211" s="8">
        <v>11</v>
      </c>
      <c r="I211" s="3">
        <v>5940000</v>
      </c>
      <c r="J211" s="3">
        <v>5940000</v>
      </c>
    </row>
    <row r="212" spans="1:10" x14ac:dyDescent="0.25">
      <c r="A212" s="2">
        <v>212</v>
      </c>
      <c r="B212" s="18">
        <v>45746.708287037036</v>
      </c>
      <c r="C212" s="2" t="s">
        <v>354</v>
      </c>
      <c r="D212" s="2" t="s">
        <v>253</v>
      </c>
      <c r="E212" s="2" t="s">
        <v>370</v>
      </c>
      <c r="F212" s="2" t="s">
        <v>25</v>
      </c>
      <c r="G212" s="3">
        <v>890000</v>
      </c>
      <c r="H212" s="8">
        <v>1</v>
      </c>
      <c r="I212" s="3">
        <v>640800</v>
      </c>
      <c r="J212" s="3">
        <v>640800</v>
      </c>
    </row>
    <row r="213" spans="1:10" x14ac:dyDescent="0.25">
      <c r="A213" s="2">
        <v>213</v>
      </c>
      <c r="B213" s="18">
        <v>45746.708287037036</v>
      </c>
      <c r="C213" s="2" t="s">
        <v>354</v>
      </c>
      <c r="D213" s="2" t="s">
        <v>253</v>
      </c>
      <c r="E213" s="2" t="s">
        <v>370</v>
      </c>
      <c r="F213" s="2" t="s">
        <v>33</v>
      </c>
      <c r="G213" s="3">
        <v>485000</v>
      </c>
      <c r="H213" s="8">
        <v>2</v>
      </c>
      <c r="I213" s="3">
        <v>698400</v>
      </c>
      <c r="J213" s="3">
        <v>698400</v>
      </c>
    </row>
    <row r="214" spans="1:10" x14ac:dyDescent="0.25">
      <c r="A214" s="2">
        <v>214</v>
      </c>
      <c r="B214" s="18">
        <v>45746.708287037036</v>
      </c>
      <c r="C214" s="2" t="s">
        <v>354</v>
      </c>
      <c r="D214" s="2" t="s">
        <v>253</v>
      </c>
      <c r="E214" s="2" t="s">
        <v>370</v>
      </c>
      <c r="F214" s="2" t="s">
        <v>59</v>
      </c>
      <c r="G214" s="3">
        <v>475000</v>
      </c>
      <c r="H214" s="8">
        <v>1</v>
      </c>
      <c r="I214" s="3">
        <v>342000</v>
      </c>
      <c r="J214" s="3">
        <v>342000</v>
      </c>
    </row>
    <row r="215" spans="1:10" x14ac:dyDescent="0.25">
      <c r="A215" s="2">
        <v>215</v>
      </c>
      <c r="B215" s="18">
        <v>45746.708287037036</v>
      </c>
      <c r="C215" s="2" t="s">
        <v>354</v>
      </c>
      <c r="D215" s="2" t="s">
        <v>253</v>
      </c>
      <c r="E215" s="2" t="s">
        <v>370</v>
      </c>
      <c r="F215" s="2" t="s">
        <v>59</v>
      </c>
      <c r="G215" s="3">
        <v>475000</v>
      </c>
      <c r="H215" s="8">
        <v>0</v>
      </c>
      <c r="I215" s="3">
        <v>0</v>
      </c>
      <c r="J215" s="3">
        <v>0</v>
      </c>
    </row>
    <row r="216" spans="1:10" x14ac:dyDescent="0.25">
      <c r="A216" s="2">
        <v>216</v>
      </c>
      <c r="B216" s="18">
        <v>45746.708287037036</v>
      </c>
      <c r="C216" s="2" t="s">
        <v>354</v>
      </c>
      <c r="D216" s="2" t="s">
        <v>253</v>
      </c>
      <c r="E216" s="2" t="s">
        <v>370</v>
      </c>
      <c r="F216" s="2" t="s">
        <v>63</v>
      </c>
      <c r="G216" s="3">
        <v>550000</v>
      </c>
      <c r="H216" s="8">
        <v>1</v>
      </c>
      <c r="I216" s="3">
        <v>396000</v>
      </c>
      <c r="J216" s="3">
        <v>396000</v>
      </c>
    </row>
    <row r="217" spans="1:10" x14ac:dyDescent="0.25">
      <c r="A217" s="2">
        <v>217</v>
      </c>
      <c r="B217" s="18">
        <v>45746.708287037036</v>
      </c>
      <c r="C217" s="2" t="s">
        <v>354</v>
      </c>
      <c r="D217" s="2" t="s">
        <v>253</v>
      </c>
      <c r="E217" s="2" t="s">
        <v>370</v>
      </c>
      <c r="F217" s="2" t="s">
        <v>85</v>
      </c>
      <c r="G217" s="3">
        <v>480000</v>
      </c>
      <c r="H217" s="8">
        <v>1</v>
      </c>
      <c r="I217" s="3">
        <v>345600</v>
      </c>
      <c r="J217" s="3">
        <v>345600</v>
      </c>
    </row>
    <row r="218" spans="1:10" x14ac:dyDescent="0.25">
      <c r="A218" s="2">
        <v>218</v>
      </c>
      <c r="B218" s="18">
        <v>45746.708287037036</v>
      </c>
      <c r="C218" s="2" t="s">
        <v>354</v>
      </c>
      <c r="D218" s="2" t="s">
        <v>253</v>
      </c>
      <c r="E218" s="2" t="s">
        <v>370</v>
      </c>
      <c r="F218" s="2" t="s">
        <v>91</v>
      </c>
      <c r="G218" s="3">
        <v>750000</v>
      </c>
      <c r="H218" s="8">
        <v>1</v>
      </c>
      <c r="I218" s="3">
        <v>540000</v>
      </c>
      <c r="J218" s="3">
        <v>540000</v>
      </c>
    </row>
    <row r="219" spans="1:10" x14ac:dyDescent="0.25">
      <c r="A219" s="2">
        <v>219</v>
      </c>
      <c r="B219" s="18">
        <v>45746.708287037036</v>
      </c>
      <c r="C219" s="2" t="s">
        <v>354</v>
      </c>
      <c r="D219" s="2" t="s">
        <v>253</v>
      </c>
      <c r="E219" s="2" t="s">
        <v>370</v>
      </c>
      <c r="F219" s="2" t="s">
        <v>85</v>
      </c>
      <c r="G219" s="3">
        <v>480000</v>
      </c>
      <c r="H219" s="8">
        <v>1</v>
      </c>
      <c r="I219" s="3">
        <v>0</v>
      </c>
      <c r="J219" s="3">
        <v>0</v>
      </c>
    </row>
    <row r="220" spans="1:10" x14ac:dyDescent="0.25">
      <c r="A220" s="2">
        <v>220</v>
      </c>
      <c r="B220" s="18">
        <v>45746.708287037036</v>
      </c>
      <c r="C220" s="2" t="s">
        <v>354</v>
      </c>
      <c r="D220" s="2" t="s">
        <v>253</v>
      </c>
      <c r="E220" s="2" t="s">
        <v>370</v>
      </c>
      <c r="F220" s="2" t="s">
        <v>25</v>
      </c>
      <c r="G220" s="3">
        <v>890000</v>
      </c>
      <c r="H220" s="8">
        <v>1</v>
      </c>
      <c r="I220" s="3">
        <v>640800</v>
      </c>
      <c r="J220" s="3">
        <v>640800</v>
      </c>
    </row>
    <row r="221" spans="1:10" x14ac:dyDescent="0.25">
      <c r="A221" s="2">
        <v>221</v>
      </c>
      <c r="B221" s="18">
        <v>45746.708287037036</v>
      </c>
      <c r="C221" s="2" t="s">
        <v>354</v>
      </c>
      <c r="D221" s="2" t="s">
        <v>253</v>
      </c>
      <c r="E221" s="2" t="s">
        <v>370</v>
      </c>
      <c r="F221" s="2" t="s">
        <v>85</v>
      </c>
      <c r="G221" s="3">
        <v>480000</v>
      </c>
      <c r="H221" s="8">
        <v>1</v>
      </c>
      <c r="I221" s="3">
        <v>0</v>
      </c>
      <c r="J221" s="3">
        <v>0</v>
      </c>
    </row>
    <row r="222" spans="1:10" x14ac:dyDescent="0.25">
      <c r="A222" s="2">
        <v>222</v>
      </c>
      <c r="B222" s="18">
        <v>45746.708287037036</v>
      </c>
      <c r="C222" s="2" t="s">
        <v>354</v>
      </c>
      <c r="D222" s="2" t="s">
        <v>303</v>
      </c>
      <c r="E222" s="2" t="s">
        <v>366</v>
      </c>
      <c r="F222" s="2" t="s">
        <v>33</v>
      </c>
      <c r="G222" s="3">
        <v>485000</v>
      </c>
      <c r="H222" s="8">
        <v>20</v>
      </c>
      <c r="I222" s="3">
        <v>4750000.081</v>
      </c>
      <c r="J222" s="3">
        <v>4750000.081</v>
      </c>
    </row>
    <row r="223" spans="1:10" x14ac:dyDescent="0.25">
      <c r="A223" s="2">
        <v>223</v>
      </c>
      <c r="B223" s="18">
        <v>45746.708287037036</v>
      </c>
      <c r="C223" s="2" t="s">
        <v>354</v>
      </c>
      <c r="D223" s="2" t="s">
        <v>338</v>
      </c>
      <c r="E223" s="2" t="s">
        <v>370</v>
      </c>
      <c r="F223" s="2" t="s">
        <v>19</v>
      </c>
      <c r="G223" s="3">
        <v>590000</v>
      </c>
      <c r="H223" s="8">
        <v>1</v>
      </c>
      <c r="I223" s="3">
        <v>306800</v>
      </c>
      <c r="J223" s="3">
        <v>306800</v>
      </c>
    </row>
    <row r="224" spans="1:10" x14ac:dyDescent="0.25">
      <c r="A224" s="2">
        <v>224</v>
      </c>
      <c r="B224" s="18">
        <v>45746.708287037036</v>
      </c>
      <c r="C224" s="2" t="s">
        <v>354</v>
      </c>
      <c r="D224" s="2" t="s">
        <v>338</v>
      </c>
      <c r="E224" s="2" t="s">
        <v>370</v>
      </c>
      <c r="F224" s="2" t="s">
        <v>61</v>
      </c>
      <c r="G224" s="3">
        <v>890000</v>
      </c>
      <c r="H224" s="8">
        <v>5</v>
      </c>
      <c r="I224" s="3">
        <v>2460250.0065</v>
      </c>
      <c r="J224" s="3">
        <v>2460250.0065</v>
      </c>
    </row>
    <row r="225" spans="1:10" x14ac:dyDescent="0.25">
      <c r="A225" s="2">
        <v>225</v>
      </c>
      <c r="B225" s="18">
        <v>45746.708287037036</v>
      </c>
      <c r="C225" s="2" t="s">
        <v>354</v>
      </c>
      <c r="D225" s="2" t="s">
        <v>338</v>
      </c>
      <c r="E225" s="2" t="s">
        <v>370</v>
      </c>
      <c r="F225" s="2" t="s">
        <v>85</v>
      </c>
      <c r="G225" s="3">
        <v>480000</v>
      </c>
      <c r="H225" s="8">
        <v>1</v>
      </c>
      <c r="I225" s="3">
        <v>249600</v>
      </c>
      <c r="J225" s="3">
        <v>249600</v>
      </c>
    </row>
    <row r="226" spans="1:10" x14ac:dyDescent="0.25">
      <c r="A226" s="2">
        <v>226</v>
      </c>
      <c r="B226" s="18">
        <v>45746.708287037036</v>
      </c>
      <c r="C226" s="2" t="s">
        <v>354</v>
      </c>
      <c r="D226" s="2" t="s">
        <v>338</v>
      </c>
      <c r="E226" s="2" t="s">
        <v>370</v>
      </c>
      <c r="F226" s="2" t="s">
        <v>35</v>
      </c>
      <c r="G226" s="3">
        <v>525000</v>
      </c>
      <c r="H226" s="8">
        <v>1</v>
      </c>
      <c r="I226" s="3">
        <v>290550.225</v>
      </c>
      <c r="J226" s="3">
        <v>290550.225</v>
      </c>
    </row>
    <row r="227" spans="1:10" x14ac:dyDescent="0.25">
      <c r="A227" s="2">
        <v>227</v>
      </c>
      <c r="B227" s="18">
        <v>45746.708287037036</v>
      </c>
      <c r="C227" s="2" t="s">
        <v>354</v>
      </c>
      <c r="D227" s="2" t="s">
        <v>338</v>
      </c>
      <c r="E227" s="2" t="s">
        <v>370</v>
      </c>
      <c r="F227" s="2" t="s">
        <v>33</v>
      </c>
      <c r="G227" s="3">
        <v>485000</v>
      </c>
      <c r="H227" s="8">
        <v>4</v>
      </c>
      <c r="I227" s="3">
        <v>1008800</v>
      </c>
      <c r="J227" s="3">
        <v>1008800</v>
      </c>
    </row>
    <row r="228" spans="1:10" x14ac:dyDescent="0.25">
      <c r="A228" s="2">
        <v>228</v>
      </c>
      <c r="B228" s="18">
        <v>45746.708287037036</v>
      </c>
      <c r="C228" s="2" t="s">
        <v>354</v>
      </c>
      <c r="D228" s="2" t="s">
        <v>338</v>
      </c>
      <c r="E228" s="2" t="s">
        <v>370</v>
      </c>
      <c r="F228" s="2" t="s">
        <v>59</v>
      </c>
      <c r="G228" s="3">
        <v>475000</v>
      </c>
      <c r="H228" s="8">
        <v>1</v>
      </c>
      <c r="I228" s="3">
        <v>247000</v>
      </c>
      <c r="J228" s="3">
        <v>247000</v>
      </c>
    </row>
    <row r="229" spans="1:10" x14ac:dyDescent="0.25">
      <c r="A229" s="2">
        <v>229</v>
      </c>
      <c r="B229" s="18">
        <v>45746.708287037036</v>
      </c>
      <c r="C229" s="2" t="s">
        <v>354</v>
      </c>
      <c r="D229" s="2" t="s">
        <v>338</v>
      </c>
      <c r="E229" s="2" t="s">
        <v>370</v>
      </c>
      <c r="F229" s="2" t="s">
        <v>19</v>
      </c>
      <c r="G229" s="3">
        <v>590000</v>
      </c>
      <c r="H229" s="8">
        <v>1</v>
      </c>
      <c r="I229" s="3">
        <v>345150</v>
      </c>
      <c r="J229" s="3">
        <v>345150</v>
      </c>
    </row>
    <row r="230" spans="1:10" x14ac:dyDescent="0.25">
      <c r="A230" s="2">
        <v>230</v>
      </c>
      <c r="B230" s="18">
        <v>45746.708287037036</v>
      </c>
      <c r="C230" s="2" t="s">
        <v>354</v>
      </c>
      <c r="D230" s="2" t="s">
        <v>338</v>
      </c>
      <c r="E230" s="2" t="s">
        <v>370</v>
      </c>
      <c r="F230" s="2" t="s">
        <v>61</v>
      </c>
      <c r="G230" s="3">
        <v>890000</v>
      </c>
      <c r="H230" s="8">
        <v>1</v>
      </c>
      <c r="I230" s="3">
        <v>492050.0013</v>
      </c>
      <c r="J230" s="3">
        <v>492050.0013</v>
      </c>
    </row>
    <row r="231" spans="1:10" x14ac:dyDescent="0.25">
      <c r="A231" s="2">
        <v>231</v>
      </c>
      <c r="B231" s="18">
        <v>45691.708287037036</v>
      </c>
      <c r="C231" s="2" t="s">
        <v>353</v>
      </c>
      <c r="D231" s="2" t="s">
        <v>106</v>
      </c>
      <c r="E231" s="2" t="s">
        <v>367</v>
      </c>
      <c r="F231" s="2" t="s">
        <v>51</v>
      </c>
      <c r="G231" s="3">
        <v>465000</v>
      </c>
      <c r="H231" s="8">
        <v>5</v>
      </c>
      <c r="I231" s="3">
        <v>750000.0112500001</v>
      </c>
      <c r="J231" s="3">
        <v>750000.0112500001</v>
      </c>
    </row>
    <row r="232" spans="1:10" x14ac:dyDescent="0.25">
      <c r="A232" s="2">
        <v>232</v>
      </c>
      <c r="B232" s="18">
        <v>45692.708287037036</v>
      </c>
      <c r="C232" s="2" t="s">
        <v>353</v>
      </c>
      <c r="D232" s="2" t="s">
        <v>24</v>
      </c>
      <c r="E232" s="2" t="s">
        <v>367</v>
      </c>
      <c r="F232" s="2" t="s">
        <v>85</v>
      </c>
      <c r="G232" s="3">
        <v>480000</v>
      </c>
      <c r="H232" s="8">
        <v>5</v>
      </c>
      <c r="I232" s="3">
        <v>1200000</v>
      </c>
      <c r="J232" s="3">
        <v>1200000</v>
      </c>
    </row>
    <row r="233" spans="1:10" x14ac:dyDescent="0.25">
      <c r="A233" s="2">
        <v>233</v>
      </c>
      <c r="B233" s="18">
        <v>45693.708287037036</v>
      </c>
      <c r="C233" s="2" t="s">
        <v>353</v>
      </c>
      <c r="D233" s="2" t="s">
        <v>2</v>
      </c>
      <c r="E233" s="2" t="s">
        <v>370</v>
      </c>
      <c r="F233" s="2" t="s">
        <v>61</v>
      </c>
      <c r="G233" s="3">
        <v>890000</v>
      </c>
      <c r="H233" s="8">
        <v>2</v>
      </c>
      <c r="I233" s="3">
        <v>1246000</v>
      </c>
      <c r="J233" s="3">
        <v>1246000</v>
      </c>
    </row>
    <row r="234" spans="1:10" x14ac:dyDescent="0.25">
      <c r="A234" s="2">
        <v>234</v>
      </c>
      <c r="B234" s="18">
        <v>45693.708287037036</v>
      </c>
      <c r="C234" s="2" t="s">
        <v>353</v>
      </c>
      <c r="D234" s="2" t="s">
        <v>2</v>
      </c>
      <c r="E234" s="2" t="s">
        <v>370</v>
      </c>
      <c r="F234" s="2" t="s">
        <v>83</v>
      </c>
      <c r="G234" s="3">
        <v>790000</v>
      </c>
      <c r="H234" s="8">
        <v>2</v>
      </c>
      <c r="I234" s="3">
        <v>1106000</v>
      </c>
      <c r="J234" s="3">
        <v>1106000</v>
      </c>
    </row>
    <row r="235" spans="1:10" x14ac:dyDescent="0.25">
      <c r="A235" s="2">
        <v>235</v>
      </c>
      <c r="B235" s="18">
        <v>45693.708287037036</v>
      </c>
      <c r="C235" s="2" t="s">
        <v>353</v>
      </c>
      <c r="D235" s="2" t="s">
        <v>210</v>
      </c>
      <c r="E235" s="2" t="s">
        <v>367</v>
      </c>
      <c r="F235" s="2" t="s">
        <v>51</v>
      </c>
      <c r="G235" s="3">
        <v>465000</v>
      </c>
      <c r="H235" s="8">
        <v>1</v>
      </c>
      <c r="I235" s="3">
        <v>0</v>
      </c>
      <c r="J235" s="3">
        <v>0</v>
      </c>
    </row>
    <row r="236" spans="1:10" x14ac:dyDescent="0.25">
      <c r="A236" s="2">
        <v>236</v>
      </c>
      <c r="B236" s="18">
        <v>45693.708287037036</v>
      </c>
      <c r="C236" s="2" t="s">
        <v>353</v>
      </c>
      <c r="D236" s="2" t="s">
        <v>138</v>
      </c>
      <c r="E236" s="2" t="s">
        <v>367</v>
      </c>
      <c r="F236" s="2" t="s">
        <v>51</v>
      </c>
      <c r="G236" s="3">
        <v>465000</v>
      </c>
      <c r="H236" s="8">
        <v>1</v>
      </c>
      <c r="I236" s="3">
        <v>0</v>
      </c>
      <c r="J236" s="3">
        <v>0</v>
      </c>
    </row>
    <row r="237" spans="1:10" x14ac:dyDescent="0.25">
      <c r="A237" s="2">
        <v>237</v>
      </c>
      <c r="B237" s="18">
        <v>45693.708287037036</v>
      </c>
      <c r="C237" s="2" t="s">
        <v>353</v>
      </c>
      <c r="D237" s="2" t="s">
        <v>202</v>
      </c>
      <c r="E237" s="2" t="s">
        <v>367</v>
      </c>
      <c r="F237" s="2" t="s">
        <v>51</v>
      </c>
      <c r="G237" s="3">
        <v>465000</v>
      </c>
      <c r="H237" s="8">
        <v>1</v>
      </c>
      <c r="I237" s="3">
        <v>0</v>
      </c>
      <c r="J237" s="3">
        <v>0</v>
      </c>
    </row>
    <row r="238" spans="1:10" x14ac:dyDescent="0.25">
      <c r="A238" s="2">
        <v>238</v>
      </c>
      <c r="B238" s="18">
        <v>45693.708287037036</v>
      </c>
      <c r="C238" s="2" t="s">
        <v>353</v>
      </c>
      <c r="D238" s="2" t="s">
        <v>192</v>
      </c>
      <c r="E238" s="2" t="s">
        <v>367</v>
      </c>
      <c r="F238" s="2" t="s">
        <v>51</v>
      </c>
      <c r="G238" s="3">
        <v>465000</v>
      </c>
      <c r="H238" s="8">
        <v>1</v>
      </c>
      <c r="I238" s="3">
        <v>0</v>
      </c>
      <c r="J238" s="3">
        <v>0</v>
      </c>
    </row>
    <row r="239" spans="1:10" x14ac:dyDescent="0.25">
      <c r="A239" s="2">
        <v>239</v>
      </c>
      <c r="B239" s="18">
        <v>45693.708287037036</v>
      </c>
      <c r="C239" s="2" t="s">
        <v>353</v>
      </c>
      <c r="D239" s="2" t="s">
        <v>163</v>
      </c>
      <c r="E239" s="2" t="s">
        <v>367</v>
      </c>
      <c r="F239" s="2" t="s">
        <v>51</v>
      </c>
      <c r="G239" s="3">
        <v>465000</v>
      </c>
      <c r="H239" s="8">
        <v>1</v>
      </c>
      <c r="I239" s="3">
        <v>0</v>
      </c>
      <c r="J239" s="3">
        <v>0</v>
      </c>
    </row>
    <row r="240" spans="1:10" x14ac:dyDescent="0.25">
      <c r="A240" s="2">
        <v>240</v>
      </c>
      <c r="B240" s="18">
        <v>45693.708287037036</v>
      </c>
      <c r="C240" s="2" t="s">
        <v>353</v>
      </c>
      <c r="D240" s="2" t="s">
        <v>140</v>
      </c>
      <c r="E240" s="2" t="s">
        <v>367</v>
      </c>
      <c r="F240" s="2" t="s">
        <v>51</v>
      </c>
      <c r="G240" s="3">
        <v>465000</v>
      </c>
      <c r="H240" s="8">
        <v>1</v>
      </c>
      <c r="I240" s="3">
        <v>0</v>
      </c>
      <c r="J240" s="3">
        <v>0</v>
      </c>
    </row>
    <row r="241" spans="1:10" x14ac:dyDescent="0.25">
      <c r="A241" s="2">
        <v>241</v>
      </c>
      <c r="B241" s="18">
        <v>45693.708287037036</v>
      </c>
      <c r="C241" s="2" t="s">
        <v>353</v>
      </c>
      <c r="D241" s="2" t="s">
        <v>176</v>
      </c>
      <c r="E241" s="2" t="s">
        <v>367</v>
      </c>
      <c r="F241" s="2" t="s">
        <v>51</v>
      </c>
      <c r="G241" s="3">
        <v>465000</v>
      </c>
      <c r="H241" s="8">
        <v>1</v>
      </c>
      <c r="I241" s="3">
        <v>0</v>
      </c>
      <c r="J241" s="3">
        <v>0</v>
      </c>
    </row>
    <row r="242" spans="1:10" x14ac:dyDescent="0.25">
      <c r="A242" s="2">
        <v>242</v>
      </c>
      <c r="B242" s="18">
        <v>45693.708287037036</v>
      </c>
      <c r="C242" s="2" t="s">
        <v>353</v>
      </c>
      <c r="D242" s="2" t="s">
        <v>177</v>
      </c>
      <c r="E242" s="2" t="s">
        <v>367</v>
      </c>
      <c r="F242" s="2" t="s">
        <v>51</v>
      </c>
      <c r="G242" s="3">
        <v>465000</v>
      </c>
      <c r="H242" s="8">
        <v>1</v>
      </c>
      <c r="I242" s="3">
        <v>0</v>
      </c>
      <c r="J242" s="3">
        <v>0</v>
      </c>
    </row>
    <row r="243" spans="1:10" x14ac:dyDescent="0.25">
      <c r="A243" s="2">
        <v>243</v>
      </c>
      <c r="B243" s="18">
        <v>45693.708287037036</v>
      </c>
      <c r="C243" s="2" t="s">
        <v>353</v>
      </c>
      <c r="D243" s="2" t="s">
        <v>135</v>
      </c>
      <c r="E243" s="2" t="s">
        <v>367</v>
      </c>
      <c r="F243" s="2" t="s">
        <v>51</v>
      </c>
      <c r="G243" s="3">
        <v>465000</v>
      </c>
      <c r="H243" s="8">
        <v>1</v>
      </c>
      <c r="I243" s="3">
        <v>0</v>
      </c>
      <c r="J243" s="3">
        <v>0</v>
      </c>
    </row>
    <row r="244" spans="1:10" x14ac:dyDescent="0.25">
      <c r="A244" s="2">
        <v>244</v>
      </c>
      <c r="B244" s="18">
        <v>45693.708287037036</v>
      </c>
      <c r="C244" s="2" t="s">
        <v>353</v>
      </c>
      <c r="D244" s="2" t="s">
        <v>196</v>
      </c>
      <c r="E244" s="2" t="s">
        <v>367</v>
      </c>
      <c r="F244" s="2" t="s">
        <v>51</v>
      </c>
      <c r="G244" s="3">
        <v>465000</v>
      </c>
      <c r="H244" s="8">
        <v>1</v>
      </c>
      <c r="I244" s="3">
        <v>0</v>
      </c>
      <c r="J244" s="3">
        <v>0</v>
      </c>
    </row>
    <row r="245" spans="1:10" x14ac:dyDescent="0.25">
      <c r="A245" s="2">
        <v>245</v>
      </c>
      <c r="B245" s="18">
        <v>45693.708287037036</v>
      </c>
      <c r="C245" s="2" t="s">
        <v>353</v>
      </c>
      <c r="D245" s="2" t="s">
        <v>185</v>
      </c>
      <c r="E245" s="2" t="s">
        <v>367</v>
      </c>
      <c r="F245" s="2" t="s">
        <v>51</v>
      </c>
      <c r="G245" s="3">
        <v>465000</v>
      </c>
      <c r="H245" s="8">
        <v>1</v>
      </c>
      <c r="I245" s="3">
        <v>0</v>
      </c>
      <c r="J245" s="3">
        <v>0</v>
      </c>
    </row>
    <row r="246" spans="1:10" x14ac:dyDescent="0.25">
      <c r="A246" s="2">
        <v>246</v>
      </c>
      <c r="B246" s="18">
        <v>45693.708287037036</v>
      </c>
      <c r="C246" s="2" t="s">
        <v>353</v>
      </c>
      <c r="D246" s="2" t="s">
        <v>175</v>
      </c>
      <c r="E246" s="2" t="s">
        <v>367</v>
      </c>
      <c r="F246" s="2" t="s">
        <v>51</v>
      </c>
      <c r="G246" s="3">
        <v>465000</v>
      </c>
      <c r="H246" s="8">
        <v>1</v>
      </c>
      <c r="I246" s="3">
        <v>0</v>
      </c>
      <c r="J246" s="3">
        <v>0</v>
      </c>
    </row>
    <row r="247" spans="1:10" x14ac:dyDescent="0.25">
      <c r="A247" s="2">
        <v>247</v>
      </c>
      <c r="B247" s="18">
        <v>45694.708287037036</v>
      </c>
      <c r="C247" s="2" t="s">
        <v>353</v>
      </c>
      <c r="D247" s="2" t="s">
        <v>303</v>
      </c>
      <c r="E247" s="2" t="s">
        <v>366</v>
      </c>
      <c r="F247" s="2" t="s">
        <v>33</v>
      </c>
      <c r="G247" s="3">
        <v>485000</v>
      </c>
      <c r="H247" s="8">
        <v>20</v>
      </c>
      <c r="I247" s="3">
        <v>4750000.081</v>
      </c>
      <c r="J247" s="3">
        <v>4750000.081</v>
      </c>
    </row>
    <row r="248" spans="1:10" x14ac:dyDescent="0.25">
      <c r="A248" s="2">
        <v>248</v>
      </c>
      <c r="B248" s="18">
        <v>45694.708287037036</v>
      </c>
      <c r="C248" s="2" t="s">
        <v>353</v>
      </c>
      <c r="D248" s="2" t="s">
        <v>268</v>
      </c>
      <c r="E248" s="2" t="s">
        <v>371</v>
      </c>
      <c r="F248" s="2" t="s">
        <v>59</v>
      </c>
      <c r="G248" s="3">
        <v>475000</v>
      </c>
      <c r="H248" s="8">
        <v>20</v>
      </c>
      <c r="I248" s="3">
        <v>4274999.999999999</v>
      </c>
      <c r="J248" s="3">
        <v>4274999.999999999</v>
      </c>
    </row>
    <row r="249" spans="1:10" x14ac:dyDescent="0.25">
      <c r="A249" s="2">
        <v>249</v>
      </c>
      <c r="B249" s="18">
        <v>45694.708287037036</v>
      </c>
      <c r="C249" s="2" t="s">
        <v>353</v>
      </c>
      <c r="D249" s="2" t="s">
        <v>268</v>
      </c>
      <c r="E249" s="2" t="s">
        <v>371</v>
      </c>
      <c r="F249" s="2" t="s">
        <v>57</v>
      </c>
      <c r="G249" s="3">
        <v>745000</v>
      </c>
      <c r="H249" s="8">
        <v>20</v>
      </c>
      <c r="I249" s="3">
        <v>7450000</v>
      </c>
      <c r="J249" s="3">
        <v>7450000</v>
      </c>
    </row>
    <row r="250" spans="1:10" x14ac:dyDescent="0.25">
      <c r="A250" s="2">
        <v>250</v>
      </c>
      <c r="B250" s="18">
        <v>45694.708287037036</v>
      </c>
      <c r="C250" s="2" t="s">
        <v>353</v>
      </c>
      <c r="D250" s="2" t="s">
        <v>268</v>
      </c>
      <c r="E250" s="2" t="s">
        <v>371</v>
      </c>
      <c r="F250" s="2" t="s">
        <v>19</v>
      </c>
      <c r="G250" s="3">
        <v>590000</v>
      </c>
      <c r="H250" s="8">
        <v>20</v>
      </c>
      <c r="I250" s="3">
        <v>5900000</v>
      </c>
      <c r="J250" s="3">
        <v>5900000</v>
      </c>
    </row>
    <row r="251" spans="1:10" x14ac:dyDescent="0.25">
      <c r="A251" s="2">
        <v>251</v>
      </c>
      <c r="B251" s="18">
        <v>45694.708287037036</v>
      </c>
      <c r="C251" s="2" t="s">
        <v>353</v>
      </c>
      <c r="D251" s="2" t="s">
        <v>268</v>
      </c>
      <c r="E251" s="2" t="s">
        <v>371</v>
      </c>
      <c r="F251" s="2" t="s">
        <v>27</v>
      </c>
      <c r="G251" s="3">
        <v>935000</v>
      </c>
      <c r="H251" s="8">
        <v>60</v>
      </c>
      <c r="I251" s="3">
        <v>28050000</v>
      </c>
      <c r="J251" s="3">
        <v>28050000</v>
      </c>
    </row>
    <row r="252" spans="1:10" x14ac:dyDescent="0.25">
      <c r="A252" s="2">
        <v>252</v>
      </c>
      <c r="B252" s="18">
        <v>45694.708287037036</v>
      </c>
      <c r="C252" s="2" t="s">
        <v>353</v>
      </c>
      <c r="D252" s="2" t="s">
        <v>265</v>
      </c>
      <c r="E252" s="2" t="s">
        <v>371</v>
      </c>
      <c r="F252" s="2" t="s">
        <v>89</v>
      </c>
      <c r="G252" s="3">
        <v>390000</v>
      </c>
      <c r="H252" s="8">
        <v>20</v>
      </c>
      <c r="I252" s="3">
        <v>0</v>
      </c>
      <c r="J252" s="3">
        <v>0</v>
      </c>
    </row>
    <row r="253" spans="1:10" x14ac:dyDescent="0.25">
      <c r="A253" s="2">
        <v>253</v>
      </c>
      <c r="B253" s="18">
        <v>45694.708287037036</v>
      </c>
      <c r="C253" s="2" t="s">
        <v>353</v>
      </c>
      <c r="D253" s="2" t="s">
        <v>265</v>
      </c>
      <c r="E253" s="2" t="s">
        <v>371</v>
      </c>
      <c r="F253" s="2" t="s">
        <v>25</v>
      </c>
      <c r="G253" s="3">
        <v>890000</v>
      </c>
      <c r="H253" s="8">
        <v>20</v>
      </c>
      <c r="I253" s="3">
        <v>8900000</v>
      </c>
      <c r="J253" s="3">
        <v>8900000</v>
      </c>
    </row>
    <row r="254" spans="1:10" x14ac:dyDescent="0.25">
      <c r="A254" s="2">
        <v>254</v>
      </c>
      <c r="B254" s="18">
        <v>45694.708287037036</v>
      </c>
      <c r="C254" s="2" t="s">
        <v>353</v>
      </c>
      <c r="D254" s="2" t="s">
        <v>211</v>
      </c>
      <c r="E254" s="2" t="s">
        <v>367</v>
      </c>
      <c r="F254" s="2" t="s">
        <v>51</v>
      </c>
      <c r="G254" s="3">
        <v>465000</v>
      </c>
      <c r="H254" s="8">
        <v>1</v>
      </c>
      <c r="I254" s="3">
        <v>0</v>
      </c>
      <c r="J254" s="3">
        <v>0</v>
      </c>
    </row>
    <row r="255" spans="1:10" x14ac:dyDescent="0.25">
      <c r="A255" s="2">
        <v>255</v>
      </c>
      <c r="B255" s="18">
        <v>45694.708287037036</v>
      </c>
      <c r="C255" s="2" t="s">
        <v>353</v>
      </c>
      <c r="D255" s="2" t="s">
        <v>199</v>
      </c>
      <c r="E255" s="2" t="s">
        <v>367</v>
      </c>
      <c r="F255" s="2" t="s">
        <v>51</v>
      </c>
      <c r="G255" s="3">
        <v>465000</v>
      </c>
      <c r="H255" s="8">
        <v>1</v>
      </c>
      <c r="I255" s="3">
        <v>0</v>
      </c>
      <c r="J255" s="3">
        <v>0</v>
      </c>
    </row>
    <row r="256" spans="1:10" x14ac:dyDescent="0.25">
      <c r="A256" s="2">
        <v>256</v>
      </c>
      <c r="B256" s="18">
        <v>45694.708287037036</v>
      </c>
      <c r="C256" s="2" t="s">
        <v>353</v>
      </c>
      <c r="D256" s="2" t="s">
        <v>141</v>
      </c>
      <c r="E256" s="2" t="s">
        <v>367</v>
      </c>
      <c r="F256" s="2" t="s">
        <v>51</v>
      </c>
      <c r="G256" s="3">
        <v>465000</v>
      </c>
      <c r="H256" s="8">
        <v>1</v>
      </c>
      <c r="I256" s="3">
        <v>0</v>
      </c>
      <c r="J256" s="3">
        <v>0</v>
      </c>
    </row>
    <row r="257" spans="1:10" x14ac:dyDescent="0.25">
      <c r="A257" s="2">
        <v>257</v>
      </c>
      <c r="B257" s="18">
        <v>45694.708287037036</v>
      </c>
      <c r="C257" s="2" t="s">
        <v>353</v>
      </c>
      <c r="D257" s="2" t="s">
        <v>197</v>
      </c>
      <c r="E257" s="2" t="s">
        <v>367</v>
      </c>
      <c r="F257" s="2" t="s">
        <v>51</v>
      </c>
      <c r="G257" s="3">
        <v>465000</v>
      </c>
      <c r="H257" s="8">
        <v>1</v>
      </c>
      <c r="I257" s="3">
        <v>0</v>
      </c>
      <c r="J257" s="3">
        <v>0</v>
      </c>
    </row>
    <row r="258" spans="1:10" x14ac:dyDescent="0.25">
      <c r="A258" s="2">
        <v>258</v>
      </c>
      <c r="B258" s="18">
        <v>45694.708287037036</v>
      </c>
      <c r="C258" s="2" t="s">
        <v>353</v>
      </c>
      <c r="D258" s="2" t="s">
        <v>182</v>
      </c>
      <c r="E258" s="2" t="s">
        <v>367</v>
      </c>
      <c r="F258" s="2" t="s">
        <v>51</v>
      </c>
      <c r="G258" s="3">
        <v>465000</v>
      </c>
      <c r="H258" s="8">
        <v>1</v>
      </c>
      <c r="I258" s="3">
        <v>0</v>
      </c>
      <c r="J258" s="3">
        <v>0</v>
      </c>
    </row>
    <row r="259" spans="1:10" x14ac:dyDescent="0.25">
      <c r="A259" s="2">
        <v>259</v>
      </c>
      <c r="B259" s="18">
        <v>45694.708287037036</v>
      </c>
      <c r="C259" s="2" t="s">
        <v>353</v>
      </c>
      <c r="D259" s="2" t="s">
        <v>142</v>
      </c>
      <c r="E259" s="2" t="s">
        <v>367</v>
      </c>
      <c r="F259" s="2" t="s">
        <v>51</v>
      </c>
      <c r="G259" s="3">
        <v>465000</v>
      </c>
      <c r="H259" s="8">
        <v>1</v>
      </c>
      <c r="I259" s="3">
        <v>0</v>
      </c>
      <c r="J259" s="3">
        <v>0</v>
      </c>
    </row>
    <row r="260" spans="1:10" x14ac:dyDescent="0.25">
      <c r="A260" s="2">
        <v>260</v>
      </c>
      <c r="B260" s="18">
        <v>45694.708287037036</v>
      </c>
      <c r="C260" s="2" t="s">
        <v>353</v>
      </c>
      <c r="D260" s="2" t="s">
        <v>139</v>
      </c>
      <c r="E260" s="2" t="s">
        <v>367</v>
      </c>
      <c r="F260" s="2" t="s">
        <v>51</v>
      </c>
      <c r="G260" s="3">
        <v>465000</v>
      </c>
      <c r="H260" s="8">
        <v>1</v>
      </c>
      <c r="I260" s="3">
        <v>0</v>
      </c>
      <c r="J260" s="3">
        <v>0</v>
      </c>
    </row>
    <row r="261" spans="1:10" x14ac:dyDescent="0.25">
      <c r="A261" s="2">
        <v>261</v>
      </c>
      <c r="B261" s="18">
        <v>45694.708287037036</v>
      </c>
      <c r="C261" s="2" t="s">
        <v>353</v>
      </c>
      <c r="D261" s="2" t="s">
        <v>218</v>
      </c>
      <c r="E261" s="2" t="s">
        <v>367</v>
      </c>
      <c r="F261" s="2" t="s">
        <v>51</v>
      </c>
      <c r="G261" s="3">
        <v>465000</v>
      </c>
      <c r="H261" s="8">
        <v>1</v>
      </c>
      <c r="I261" s="3">
        <v>0</v>
      </c>
      <c r="J261" s="3">
        <v>0</v>
      </c>
    </row>
    <row r="262" spans="1:10" x14ac:dyDescent="0.25">
      <c r="A262" s="2">
        <v>262</v>
      </c>
      <c r="B262" s="18">
        <v>45694.708287037036</v>
      </c>
      <c r="C262" s="2" t="s">
        <v>353</v>
      </c>
      <c r="D262" s="2" t="s">
        <v>178</v>
      </c>
      <c r="E262" s="2" t="s">
        <v>367</v>
      </c>
      <c r="F262" s="2" t="s">
        <v>51</v>
      </c>
      <c r="G262" s="3">
        <v>465000</v>
      </c>
      <c r="H262" s="8">
        <v>1</v>
      </c>
      <c r="I262" s="3">
        <v>0</v>
      </c>
      <c r="J262" s="3">
        <v>0</v>
      </c>
    </row>
    <row r="263" spans="1:10" x14ac:dyDescent="0.25">
      <c r="A263" s="2">
        <v>263</v>
      </c>
      <c r="B263" s="18">
        <v>45694.708287037036</v>
      </c>
      <c r="C263" s="2" t="s">
        <v>353</v>
      </c>
      <c r="D263" s="2" t="s">
        <v>216</v>
      </c>
      <c r="E263" s="2" t="s">
        <v>367</v>
      </c>
      <c r="F263" s="2" t="s">
        <v>51</v>
      </c>
      <c r="G263" s="3">
        <v>465000</v>
      </c>
      <c r="H263" s="8">
        <v>1</v>
      </c>
      <c r="I263" s="3">
        <v>0</v>
      </c>
      <c r="J263" s="3">
        <v>0</v>
      </c>
    </row>
    <row r="264" spans="1:10" x14ac:dyDescent="0.25">
      <c r="A264" s="2">
        <v>264</v>
      </c>
      <c r="B264" s="18">
        <v>45694.708287037036</v>
      </c>
      <c r="C264" s="2" t="s">
        <v>353</v>
      </c>
      <c r="D264" s="2" t="s">
        <v>167</v>
      </c>
      <c r="E264" s="2" t="s">
        <v>367</v>
      </c>
      <c r="F264" s="2" t="s">
        <v>51</v>
      </c>
      <c r="G264" s="3">
        <v>465000</v>
      </c>
      <c r="H264" s="8">
        <v>1</v>
      </c>
      <c r="I264" s="3">
        <v>0</v>
      </c>
      <c r="J264" s="3">
        <v>0</v>
      </c>
    </row>
    <row r="265" spans="1:10" x14ac:dyDescent="0.25">
      <c r="A265" s="2">
        <v>265</v>
      </c>
      <c r="B265" s="18">
        <v>45694.708287037036</v>
      </c>
      <c r="C265" s="2" t="s">
        <v>353</v>
      </c>
      <c r="D265" s="2" t="s">
        <v>194</v>
      </c>
      <c r="E265" s="2" t="s">
        <v>367</v>
      </c>
      <c r="F265" s="2" t="s">
        <v>51</v>
      </c>
      <c r="G265" s="3">
        <v>465000</v>
      </c>
      <c r="H265" s="8">
        <v>1</v>
      </c>
      <c r="I265" s="3">
        <v>0</v>
      </c>
      <c r="J265" s="3">
        <v>0</v>
      </c>
    </row>
    <row r="266" spans="1:10" x14ac:dyDescent="0.25">
      <c r="A266" s="2">
        <v>266</v>
      </c>
      <c r="B266" s="18">
        <v>45694.708287037036</v>
      </c>
      <c r="C266" s="2" t="s">
        <v>353</v>
      </c>
      <c r="D266" s="2" t="s">
        <v>219</v>
      </c>
      <c r="E266" s="2" t="s">
        <v>367</v>
      </c>
      <c r="F266" s="2" t="s">
        <v>51</v>
      </c>
      <c r="G266" s="3">
        <v>465000</v>
      </c>
      <c r="H266" s="8">
        <v>1</v>
      </c>
      <c r="I266" s="3">
        <v>0</v>
      </c>
      <c r="J266" s="3">
        <v>0</v>
      </c>
    </row>
    <row r="267" spans="1:10" x14ac:dyDescent="0.25">
      <c r="A267" s="2">
        <v>267</v>
      </c>
      <c r="B267" s="18">
        <v>45694.708287037036</v>
      </c>
      <c r="C267" s="2" t="s">
        <v>353</v>
      </c>
      <c r="D267" s="2" t="s">
        <v>201</v>
      </c>
      <c r="E267" s="2" t="s">
        <v>367</v>
      </c>
      <c r="F267" s="2" t="s">
        <v>51</v>
      </c>
      <c r="G267" s="3">
        <v>465000</v>
      </c>
      <c r="H267" s="8">
        <v>1</v>
      </c>
      <c r="I267" s="3">
        <v>0</v>
      </c>
      <c r="J267" s="3">
        <v>0</v>
      </c>
    </row>
    <row r="268" spans="1:10" x14ac:dyDescent="0.25">
      <c r="A268" s="2">
        <v>268</v>
      </c>
      <c r="B268" s="18">
        <v>45694.708287037036</v>
      </c>
      <c r="C268" s="2" t="s">
        <v>353</v>
      </c>
      <c r="D268" s="2" t="s">
        <v>150</v>
      </c>
      <c r="E268" s="2" t="s">
        <v>367</v>
      </c>
      <c r="F268" s="2" t="s">
        <v>51</v>
      </c>
      <c r="G268" s="3">
        <v>465000</v>
      </c>
      <c r="H268" s="8">
        <v>1</v>
      </c>
      <c r="I268" s="3">
        <v>0</v>
      </c>
      <c r="J268" s="3">
        <v>0</v>
      </c>
    </row>
    <row r="269" spans="1:10" x14ac:dyDescent="0.25">
      <c r="A269" s="2">
        <v>269</v>
      </c>
      <c r="B269" s="18">
        <v>45694.708287037036</v>
      </c>
      <c r="C269" s="2" t="s">
        <v>353</v>
      </c>
      <c r="D269" s="2" t="s">
        <v>155</v>
      </c>
      <c r="E269" s="2" t="s">
        <v>367</v>
      </c>
      <c r="F269" s="2" t="s">
        <v>51</v>
      </c>
      <c r="G269" s="3">
        <v>465000</v>
      </c>
      <c r="H269" s="8">
        <v>1</v>
      </c>
      <c r="I269" s="3">
        <v>0</v>
      </c>
      <c r="J269" s="3">
        <v>0</v>
      </c>
    </row>
    <row r="270" spans="1:10" x14ac:dyDescent="0.25">
      <c r="A270" s="2">
        <v>270</v>
      </c>
      <c r="B270" s="18">
        <v>45694.708287037036</v>
      </c>
      <c r="C270" s="2" t="s">
        <v>353</v>
      </c>
      <c r="D270" s="2" t="s">
        <v>209</v>
      </c>
      <c r="E270" s="2" t="s">
        <v>367</v>
      </c>
      <c r="F270" s="2" t="s">
        <v>51</v>
      </c>
      <c r="G270" s="3">
        <v>465000</v>
      </c>
      <c r="H270" s="8">
        <v>1</v>
      </c>
      <c r="I270" s="3">
        <v>0</v>
      </c>
      <c r="J270" s="3">
        <v>0</v>
      </c>
    </row>
    <row r="271" spans="1:10" x14ac:dyDescent="0.25">
      <c r="A271" s="2">
        <v>271</v>
      </c>
      <c r="B271" s="18">
        <v>45694.708287037036</v>
      </c>
      <c r="C271" s="2" t="s">
        <v>353</v>
      </c>
      <c r="D271" s="2" t="s">
        <v>133</v>
      </c>
      <c r="E271" s="2" t="s">
        <v>367</v>
      </c>
      <c r="F271" s="2" t="s">
        <v>51</v>
      </c>
      <c r="G271" s="3">
        <v>465000</v>
      </c>
      <c r="H271" s="8">
        <v>1</v>
      </c>
      <c r="I271" s="3">
        <v>0</v>
      </c>
      <c r="J271" s="3">
        <v>0</v>
      </c>
    </row>
    <row r="272" spans="1:10" x14ac:dyDescent="0.25">
      <c r="A272" s="2">
        <v>272</v>
      </c>
      <c r="B272" s="18">
        <v>45694.708287037036</v>
      </c>
      <c r="C272" s="2" t="s">
        <v>353</v>
      </c>
      <c r="D272" s="2" t="s">
        <v>168</v>
      </c>
      <c r="E272" s="2" t="s">
        <v>367</v>
      </c>
      <c r="F272" s="2" t="s">
        <v>51</v>
      </c>
      <c r="G272" s="3">
        <v>465000</v>
      </c>
      <c r="H272" s="8">
        <v>1</v>
      </c>
      <c r="I272" s="3">
        <v>0</v>
      </c>
      <c r="J272" s="3">
        <v>0</v>
      </c>
    </row>
    <row r="273" spans="1:10" x14ac:dyDescent="0.25">
      <c r="A273" s="2">
        <v>273</v>
      </c>
      <c r="B273" s="18">
        <v>45694.708287037036</v>
      </c>
      <c r="C273" s="2" t="s">
        <v>353</v>
      </c>
      <c r="D273" s="2" t="s">
        <v>166</v>
      </c>
      <c r="E273" s="2" t="s">
        <v>367</v>
      </c>
      <c r="F273" s="2" t="s">
        <v>51</v>
      </c>
      <c r="G273" s="3">
        <v>465000</v>
      </c>
      <c r="H273" s="8">
        <v>1</v>
      </c>
      <c r="I273" s="3">
        <v>0</v>
      </c>
      <c r="J273" s="3">
        <v>0</v>
      </c>
    </row>
    <row r="274" spans="1:10" x14ac:dyDescent="0.25">
      <c r="A274" s="2">
        <v>274</v>
      </c>
      <c r="B274" s="18">
        <v>45694.708287037036</v>
      </c>
      <c r="C274" s="2" t="s">
        <v>353</v>
      </c>
      <c r="D274" s="2" t="s">
        <v>208</v>
      </c>
      <c r="E274" s="2" t="s">
        <v>367</v>
      </c>
      <c r="F274" s="2" t="s">
        <v>51</v>
      </c>
      <c r="G274" s="3">
        <v>465000</v>
      </c>
      <c r="H274" s="8">
        <v>1</v>
      </c>
      <c r="I274" s="3">
        <v>0</v>
      </c>
      <c r="J274" s="3">
        <v>0</v>
      </c>
    </row>
    <row r="275" spans="1:10" x14ac:dyDescent="0.25">
      <c r="A275" s="2">
        <v>275</v>
      </c>
      <c r="B275" s="18">
        <v>45694.708287037036</v>
      </c>
      <c r="C275" s="2" t="s">
        <v>353</v>
      </c>
      <c r="D275" s="2" t="s">
        <v>148</v>
      </c>
      <c r="E275" s="2" t="s">
        <v>367</v>
      </c>
      <c r="F275" s="2" t="s">
        <v>51</v>
      </c>
      <c r="G275" s="3">
        <v>465000</v>
      </c>
      <c r="H275" s="8">
        <v>1</v>
      </c>
      <c r="I275" s="3">
        <v>0</v>
      </c>
      <c r="J275" s="3">
        <v>0</v>
      </c>
    </row>
    <row r="276" spans="1:10" x14ac:dyDescent="0.25">
      <c r="A276" s="2">
        <v>276</v>
      </c>
      <c r="B276" s="18">
        <v>45694.708287037036</v>
      </c>
      <c r="C276" s="2" t="s">
        <v>353</v>
      </c>
      <c r="D276" s="2" t="s">
        <v>162</v>
      </c>
      <c r="E276" s="2" t="s">
        <v>367</v>
      </c>
      <c r="F276" s="2" t="s">
        <v>51</v>
      </c>
      <c r="G276" s="3">
        <v>465000</v>
      </c>
      <c r="H276" s="8">
        <v>1</v>
      </c>
      <c r="I276" s="3">
        <v>0</v>
      </c>
      <c r="J276" s="3">
        <v>0</v>
      </c>
    </row>
    <row r="277" spans="1:10" x14ac:dyDescent="0.25">
      <c r="A277" s="2">
        <v>277</v>
      </c>
      <c r="B277" s="18">
        <v>45694.708287037036</v>
      </c>
      <c r="C277" s="2" t="s">
        <v>353</v>
      </c>
      <c r="D277" s="2" t="s">
        <v>132</v>
      </c>
      <c r="E277" s="2" t="s">
        <v>367</v>
      </c>
      <c r="F277" s="2" t="s">
        <v>51</v>
      </c>
      <c r="G277" s="3">
        <v>465000</v>
      </c>
      <c r="H277" s="8">
        <v>1</v>
      </c>
      <c r="I277" s="3">
        <v>0</v>
      </c>
      <c r="J277" s="3">
        <v>0</v>
      </c>
    </row>
    <row r="278" spans="1:10" x14ac:dyDescent="0.25">
      <c r="A278" s="2">
        <v>278</v>
      </c>
      <c r="B278" s="18">
        <v>45694.708287037036</v>
      </c>
      <c r="C278" s="2" t="s">
        <v>353</v>
      </c>
      <c r="D278" s="2" t="s">
        <v>221</v>
      </c>
      <c r="E278" s="2" t="s">
        <v>367</v>
      </c>
      <c r="F278" s="2" t="s">
        <v>51</v>
      </c>
      <c r="G278" s="3">
        <v>465000</v>
      </c>
      <c r="H278" s="8">
        <v>1</v>
      </c>
      <c r="I278" s="3">
        <v>0</v>
      </c>
      <c r="J278" s="3">
        <v>0</v>
      </c>
    </row>
    <row r="279" spans="1:10" x14ac:dyDescent="0.25">
      <c r="A279" s="2">
        <v>279</v>
      </c>
      <c r="B279" s="18">
        <v>45694.708287037036</v>
      </c>
      <c r="C279" s="2" t="s">
        <v>353</v>
      </c>
      <c r="D279" s="2" t="s">
        <v>190</v>
      </c>
      <c r="E279" s="2" t="s">
        <v>367</v>
      </c>
      <c r="F279" s="2" t="s">
        <v>51</v>
      </c>
      <c r="G279" s="3">
        <v>465000</v>
      </c>
      <c r="H279" s="8">
        <v>1</v>
      </c>
      <c r="I279" s="3">
        <v>0</v>
      </c>
      <c r="J279" s="3">
        <v>0</v>
      </c>
    </row>
    <row r="280" spans="1:10" x14ac:dyDescent="0.25">
      <c r="A280" s="2">
        <v>280</v>
      </c>
      <c r="B280" s="18">
        <v>45694.708287037036</v>
      </c>
      <c r="C280" s="2" t="s">
        <v>353</v>
      </c>
      <c r="D280" s="2" t="s">
        <v>172</v>
      </c>
      <c r="E280" s="2" t="s">
        <v>367</v>
      </c>
      <c r="F280" s="2" t="s">
        <v>51</v>
      </c>
      <c r="G280" s="3">
        <v>465000</v>
      </c>
      <c r="H280" s="8">
        <v>1</v>
      </c>
      <c r="I280" s="3">
        <v>0</v>
      </c>
      <c r="J280" s="3">
        <v>0</v>
      </c>
    </row>
    <row r="281" spans="1:10" x14ac:dyDescent="0.25">
      <c r="A281" s="2">
        <v>281</v>
      </c>
      <c r="B281" s="18">
        <v>45694.708287037036</v>
      </c>
      <c r="C281" s="2" t="s">
        <v>353</v>
      </c>
      <c r="D281" s="2" t="s">
        <v>183</v>
      </c>
      <c r="E281" s="2" t="s">
        <v>367</v>
      </c>
      <c r="F281" s="2" t="s">
        <v>51</v>
      </c>
      <c r="G281" s="3">
        <v>465000</v>
      </c>
      <c r="H281" s="8">
        <v>1</v>
      </c>
      <c r="I281" s="3">
        <v>0</v>
      </c>
      <c r="J281" s="3">
        <v>0</v>
      </c>
    </row>
    <row r="282" spans="1:10" x14ac:dyDescent="0.25">
      <c r="A282" s="2">
        <v>282</v>
      </c>
      <c r="B282" s="18">
        <v>45694.708287037036</v>
      </c>
      <c r="C282" s="2" t="s">
        <v>353</v>
      </c>
      <c r="D282" s="2" t="s">
        <v>145</v>
      </c>
      <c r="E282" s="2" t="s">
        <v>367</v>
      </c>
      <c r="F282" s="2" t="s">
        <v>51</v>
      </c>
      <c r="G282" s="3">
        <v>465000</v>
      </c>
      <c r="H282" s="8">
        <v>1</v>
      </c>
      <c r="I282" s="3">
        <v>0</v>
      </c>
      <c r="J282" s="3">
        <v>0</v>
      </c>
    </row>
    <row r="283" spans="1:10" x14ac:dyDescent="0.25">
      <c r="A283" s="2">
        <v>283</v>
      </c>
      <c r="B283" s="18">
        <v>45694.708287037036</v>
      </c>
      <c r="C283" s="2" t="s">
        <v>353</v>
      </c>
      <c r="D283" s="2" t="s">
        <v>181</v>
      </c>
      <c r="E283" s="2" t="s">
        <v>367</v>
      </c>
      <c r="F283" s="2" t="s">
        <v>51</v>
      </c>
      <c r="G283" s="3">
        <v>465000</v>
      </c>
      <c r="H283" s="8">
        <v>1</v>
      </c>
      <c r="I283" s="3">
        <v>0</v>
      </c>
      <c r="J283" s="3">
        <v>0</v>
      </c>
    </row>
    <row r="284" spans="1:10" x14ac:dyDescent="0.25">
      <c r="A284" s="2">
        <v>284</v>
      </c>
      <c r="B284" s="18">
        <v>45694.708287037036</v>
      </c>
      <c r="C284" s="2" t="s">
        <v>353</v>
      </c>
      <c r="D284" s="2" t="s">
        <v>149</v>
      </c>
      <c r="E284" s="2" t="s">
        <v>367</v>
      </c>
      <c r="F284" s="2" t="s">
        <v>51</v>
      </c>
      <c r="G284" s="3">
        <v>465000</v>
      </c>
      <c r="H284" s="8">
        <v>1</v>
      </c>
      <c r="I284" s="3">
        <v>0</v>
      </c>
      <c r="J284" s="3">
        <v>0</v>
      </c>
    </row>
    <row r="285" spans="1:10" x14ac:dyDescent="0.25">
      <c r="A285" s="2">
        <v>285</v>
      </c>
      <c r="B285" s="18">
        <v>45694.708287037036</v>
      </c>
      <c r="C285" s="2" t="s">
        <v>353</v>
      </c>
      <c r="D285" s="2" t="s">
        <v>156</v>
      </c>
      <c r="E285" s="2" t="s">
        <v>367</v>
      </c>
      <c r="F285" s="2" t="s">
        <v>51</v>
      </c>
      <c r="G285" s="3">
        <v>465000</v>
      </c>
      <c r="H285" s="8">
        <v>1</v>
      </c>
      <c r="I285" s="3">
        <v>0</v>
      </c>
      <c r="J285" s="3">
        <v>0</v>
      </c>
    </row>
    <row r="286" spans="1:10" x14ac:dyDescent="0.25">
      <c r="A286" s="2">
        <v>286</v>
      </c>
      <c r="B286" s="18">
        <v>45694.708287037036</v>
      </c>
      <c r="C286" s="2" t="s">
        <v>353</v>
      </c>
      <c r="D286" s="2" t="s">
        <v>184</v>
      </c>
      <c r="E286" s="2" t="s">
        <v>367</v>
      </c>
      <c r="F286" s="2" t="s">
        <v>51</v>
      </c>
      <c r="G286" s="3">
        <v>465000</v>
      </c>
      <c r="H286" s="8">
        <v>1</v>
      </c>
      <c r="I286" s="3">
        <v>0</v>
      </c>
      <c r="J286" s="3">
        <v>0</v>
      </c>
    </row>
    <row r="287" spans="1:10" x14ac:dyDescent="0.25">
      <c r="A287" s="2">
        <v>287</v>
      </c>
      <c r="B287" s="18">
        <v>45694.708287037036</v>
      </c>
      <c r="C287" s="2" t="s">
        <v>353</v>
      </c>
      <c r="D287" s="2" t="s">
        <v>189</v>
      </c>
      <c r="E287" s="2" t="s">
        <v>367</v>
      </c>
      <c r="F287" s="2" t="s">
        <v>51</v>
      </c>
      <c r="G287" s="3">
        <v>465000</v>
      </c>
      <c r="H287" s="8">
        <v>1</v>
      </c>
      <c r="I287" s="3">
        <v>0</v>
      </c>
      <c r="J287" s="3">
        <v>0</v>
      </c>
    </row>
    <row r="288" spans="1:10" x14ac:dyDescent="0.25">
      <c r="A288" s="2">
        <v>288</v>
      </c>
      <c r="B288" s="18">
        <v>45697.708287037036</v>
      </c>
      <c r="C288" s="2" t="s">
        <v>353</v>
      </c>
      <c r="D288" s="2" t="s">
        <v>18</v>
      </c>
      <c r="E288" s="2" t="s">
        <v>367</v>
      </c>
      <c r="F288" s="2" t="s">
        <v>63</v>
      </c>
      <c r="G288" s="3">
        <v>550000</v>
      </c>
      <c r="H288" s="8">
        <v>1</v>
      </c>
      <c r="I288" s="3">
        <v>357500</v>
      </c>
      <c r="J288" s="3">
        <v>357500</v>
      </c>
    </row>
    <row r="289" spans="1:10" x14ac:dyDescent="0.25">
      <c r="A289" s="2">
        <v>289</v>
      </c>
      <c r="B289" s="18">
        <v>45697.708287037036</v>
      </c>
      <c r="C289" s="2" t="s">
        <v>353</v>
      </c>
      <c r="D289" s="2" t="s">
        <v>267</v>
      </c>
      <c r="E289" s="2" t="s">
        <v>371</v>
      </c>
      <c r="F289" s="2" t="s">
        <v>59</v>
      </c>
      <c r="G289" s="3">
        <v>475000</v>
      </c>
      <c r="H289" s="8">
        <v>32</v>
      </c>
      <c r="I289" s="3">
        <v>6839999.999999999</v>
      </c>
      <c r="J289" s="3">
        <v>6839999.999999999</v>
      </c>
    </row>
    <row r="290" spans="1:10" x14ac:dyDescent="0.25">
      <c r="A290" s="2">
        <v>290</v>
      </c>
      <c r="B290" s="18">
        <v>45697.708287037036</v>
      </c>
      <c r="C290" s="2" t="s">
        <v>353</v>
      </c>
      <c r="D290" s="2" t="s">
        <v>267</v>
      </c>
      <c r="E290" s="2" t="s">
        <v>371</v>
      </c>
      <c r="F290" s="2" t="s">
        <v>57</v>
      </c>
      <c r="G290" s="3">
        <v>745000</v>
      </c>
      <c r="H290" s="8">
        <v>32</v>
      </c>
      <c r="I290" s="3">
        <v>11920000</v>
      </c>
      <c r="J290" s="3">
        <v>11920000</v>
      </c>
    </row>
    <row r="291" spans="1:10" x14ac:dyDescent="0.25">
      <c r="A291" s="2">
        <v>291</v>
      </c>
      <c r="B291" s="18">
        <v>45697.708287037036</v>
      </c>
      <c r="C291" s="2" t="s">
        <v>353</v>
      </c>
      <c r="D291" s="2" t="s">
        <v>267</v>
      </c>
      <c r="E291" s="2" t="s">
        <v>371</v>
      </c>
      <c r="F291" s="2" t="s">
        <v>89</v>
      </c>
      <c r="G291" s="3">
        <v>390000</v>
      </c>
      <c r="H291" s="8">
        <v>21</v>
      </c>
      <c r="I291" s="3">
        <v>0</v>
      </c>
      <c r="J291" s="3">
        <v>0</v>
      </c>
    </row>
    <row r="292" spans="1:10" x14ac:dyDescent="0.25">
      <c r="A292" s="2">
        <v>292</v>
      </c>
      <c r="B292" s="18">
        <v>45697.708287037036</v>
      </c>
      <c r="C292" s="2" t="s">
        <v>353</v>
      </c>
      <c r="D292" s="2" t="s">
        <v>267</v>
      </c>
      <c r="E292" s="2" t="s">
        <v>371</v>
      </c>
      <c r="F292" s="2" t="s">
        <v>19</v>
      </c>
      <c r="G292" s="3">
        <v>590000</v>
      </c>
      <c r="H292" s="8">
        <v>54</v>
      </c>
      <c r="I292" s="3">
        <v>15930000</v>
      </c>
      <c r="J292" s="3">
        <v>15930000</v>
      </c>
    </row>
    <row r="293" spans="1:10" x14ac:dyDescent="0.25">
      <c r="A293" s="2">
        <v>293</v>
      </c>
      <c r="B293" s="18">
        <v>45697.708287037036</v>
      </c>
      <c r="C293" s="2" t="s">
        <v>353</v>
      </c>
      <c r="D293" s="2" t="s">
        <v>267</v>
      </c>
      <c r="E293" s="2" t="s">
        <v>371</v>
      </c>
      <c r="F293" s="2" t="s">
        <v>25</v>
      </c>
      <c r="G293" s="3">
        <v>890000</v>
      </c>
      <c r="H293" s="8">
        <v>21</v>
      </c>
      <c r="I293" s="3">
        <v>9345000</v>
      </c>
      <c r="J293" s="3">
        <v>9345000</v>
      </c>
    </row>
    <row r="294" spans="1:10" x14ac:dyDescent="0.25">
      <c r="A294" s="2">
        <v>294</v>
      </c>
      <c r="B294" s="18">
        <v>45697.708287037036</v>
      </c>
      <c r="C294" s="2" t="s">
        <v>353</v>
      </c>
      <c r="D294" s="2" t="s">
        <v>267</v>
      </c>
      <c r="E294" s="2" t="s">
        <v>371</v>
      </c>
      <c r="F294" s="2" t="s">
        <v>27</v>
      </c>
      <c r="G294" s="3">
        <v>935000</v>
      </c>
      <c r="H294" s="8">
        <v>80</v>
      </c>
      <c r="I294" s="3">
        <v>37400000</v>
      </c>
      <c r="J294" s="3">
        <v>37400000</v>
      </c>
    </row>
    <row r="295" spans="1:10" x14ac:dyDescent="0.25">
      <c r="A295" s="2">
        <v>295</v>
      </c>
      <c r="B295" s="18">
        <v>45697.708287037036</v>
      </c>
      <c r="C295" s="2" t="s">
        <v>353</v>
      </c>
      <c r="D295" s="2" t="s">
        <v>34</v>
      </c>
      <c r="E295" s="2" t="s">
        <v>370</v>
      </c>
      <c r="F295" s="2" t="s">
        <v>33</v>
      </c>
      <c r="G295" s="3">
        <v>485000</v>
      </c>
      <c r="H295" s="8">
        <v>7</v>
      </c>
      <c r="I295" s="3">
        <v>2037000</v>
      </c>
      <c r="J295" s="3">
        <v>2037000</v>
      </c>
    </row>
    <row r="296" spans="1:10" x14ac:dyDescent="0.25">
      <c r="A296" s="2">
        <v>296</v>
      </c>
      <c r="B296" s="18">
        <v>45697.708287037036</v>
      </c>
      <c r="C296" s="2" t="s">
        <v>353</v>
      </c>
      <c r="D296" s="2" t="s">
        <v>34</v>
      </c>
      <c r="E296" s="2" t="s">
        <v>370</v>
      </c>
      <c r="F296" s="2" t="s">
        <v>59</v>
      </c>
      <c r="G296" s="3">
        <v>475000</v>
      </c>
      <c r="H296" s="8">
        <v>16</v>
      </c>
      <c r="I296" s="3">
        <v>4560000</v>
      </c>
      <c r="J296" s="3">
        <v>4560000</v>
      </c>
    </row>
    <row r="297" spans="1:10" x14ac:dyDescent="0.25">
      <c r="A297" s="2">
        <v>297</v>
      </c>
      <c r="B297" s="18">
        <v>45697.708287037036</v>
      </c>
      <c r="C297" s="2" t="s">
        <v>353</v>
      </c>
      <c r="D297" s="2" t="s">
        <v>34</v>
      </c>
      <c r="E297" s="2" t="s">
        <v>370</v>
      </c>
      <c r="F297" s="2" t="s">
        <v>23</v>
      </c>
      <c r="G297" s="3">
        <v>775000</v>
      </c>
      <c r="H297" s="8">
        <v>8</v>
      </c>
      <c r="I297" s="3">
        <v>4030000</v>
      </c>
      <c r="J297" s="3">
        <v>4030000</v>
      </c>
    </row>
    <row r="298" spans="1:10" x14ac:dyDescent="0.25">
      <c r="A298" s="2">
        <v>298</v>
      </c>
      <c r="B298" s="18">
        <v>45697.708287037036</v>
      </c>
      <c r="C298" s="2" t="s">
        <v>353</v>
      </c>
      <c r="D298" s="2" t="s">
        <v>34</v>
      </c>
      <c r="E298" s="2" t="s">
        <v>370</v>
      </c>
      <c r="F298" s="2" t="s">
        <v>19</v>
      </c>
      <c r="G298" s="3">
        <v>590000</v>
      </c>
      <c r="H298" s="8">
        <v>0</v>
      </c>
      <c r="I298" s="3">
        <v>0</v>
      </c>
      <c r="J298" s="3">
        <v>0</v>
      </c>
    </row>
    <row r="299" spans="1:10" x14ac:dyDescent="0.25">
      <c r="A299" s="2">
        <v>299</v>
      </c>
      <c r="B299" s="18">
        <v>45697.708287037036</v>
      </c>
      <c r="C299" s="2" t="s">
        <v>353</v>
      </c>
      <c r="D299" s="2" t="s">
        <v>48</v>
      </c>
      <c r="E299" s="2" t="s">
        <v>367</v>
      </c>
      <c r="F299" s="2" t="s">
        <v>61</v>
      </c>
      <c r="G299" s="3">
        <v>890000</v>
      </c>
      <c r="H299" s="8">
        <v>2</v>
      </c>
      <c r="I299" s="3">
        <v>890000</v>
      </c>
      <c r="J299" s="3">
        <v>890000</v>
      </c>
    </row>
    <row r="300" spans="1:10" x14ac:dyDescent="0.25">
      <c r="A300" s="2">
        <v>300</v>
      </c>
      <c r="B300" s="18">
        <v>45697.708287037036</v>
      </c>
      <c r="C300" s="2" t="s">
        <v>353</v>
      </c>
      <c r="D300" s="2" t="s">
        <v>48</v>
      </c>
      <c r="E300" s="2" t="s">
        <v>367</v>
      </c>
      <c r="F300" s="2" t="s">
        <v>63</v>
      </c>
      <c r="G300" s="3">
        <v>550000</v>
      </c>
      <c r="H300" s="8">
        <v>1</v>
      </c>
      <c r="I300" s="3">
        <v>275000</v>
      </c>
      <c r="J300" s="3">
        <v>275000</v>
      </c>
    </row>
    <row r="301" spans="1:10" x14ac:dyDescent="0.25">
      <c r="A301" s="2">
        <v>301</v>
      </c>
      <c r="B301" s="18">
        <v>45697.708287037036</v>
      </c>
      <c r="C301" s="2" t="s">
        <v>353</v>
      </c>
      <c r="D301" s="2" t="s">
        <v>48</v>
      </c>
      <c r="E301" s="2" t="s">
        <v>367</v>
      </c>
      <c r="F301" s="2" t="s">
        <v>59</v>
      </c>
      <c r="G301" s="3">
        <v>475000</v>
      </c>
      <c r="H301" s="8">
        <v>1</v>
      </c>
      <c r="I301" s="3">
        <v>237500</v>
      </c>
      <c r="J301" s="3">
        <v>237500</v>
      </c>
    </row>
    <row r="302" spans="1:10" x14ac:dyDescent="0.25">
      <c r="A302" s="2">
        <v>302</v>
      </c>
      <c r="B302" s="18">
        <v>45697.708287037036</v>
      </c>
      <c r="C302" s="2" t="s">
        <v>353</v>
      </c>
      <c r="D302" s="2" t="s">
        <v>48</v>
      </c>
      <c r="E302" s="2" t="s">
        <v>367</v>
      </c>
      <c r="F302" s="2" t="s">
        <v>31</v>
      </c>
      <c r="G302" s="3">
        <v>745000</v>
      </c>
      <c r="H302" s="8">
        <v>1</v>
      </c>
      <c r="I302" s="3">
        <v>320000.0735</v>
      </c>
      <c r="J302" s="3">
        <v>320000.0735</v>
      </c>
    </row>
    <row r="303" spans="1:10" x14ac:dyDescent="0.25">
      <c r="A303" s="2">
        <v>303</v>
      </c>
      <c r="B303" s="18">
        <v>45697.708287037036</v>
      </c>
      <c r="C303" s="2" t="s">
        <v>353</v>
      </c>
      <c r="D303" s="2" t="s">
        <v>296</v>
      </c>
      <c r="E303" s="2" t="s">
        <v>363</v>
      </c>
      <c r="F303" s="2" t="s">
        <v>29</v>
      </c>
      <c r="G303" s="3">
        <v>590000</v>
      </c>
      <c r="H303" s="8">
        <v>50</v>
      </c>
      <c r="I303" s="3">
        <v>29500000</v>
      </c>
      <c r="J303" s="3">
        <v>29500000</v>
      </c>
    </row>
    <row r="304" spans="1:10" x14ac:dyDescent="0.25">
      <c r="A304" s="2">
        <v>304</v>
      </c>
      <c r="B304" s="18">
        <v>45697.708287037036</v>
      </c>
      <c r="C304" s="2" t="s">
        <v>353</v>
      </c>
      <c r="D304" s="2" t="s">
        <v>296</v>
      </c>
      <c r="E304" s="2" t="s">
        <v>363</v>
      </c>
      <c r="F304" s="2" t="s">
        <v>29</v>
      </c>
      <c r="G304" s="3">
        <v>590000</v>
      </c>
      <c r="H304" s="8">
        <v>15</v>
      </c>
      <c r="I304" s="3">
        <v>0</v>
      </c>
      <c r="J304" s="3">
        <v>0</v>
      </c>
    </row>
    <row r="305" spans="1:10" x14ac:dyDescent="0.25">
      <c r="A305" s="2">
        <v>305</v>
      </c>
      <c r="B305" s="18">
        <v>45697.708287037036</v>
      </c>
      <c r="C305" s="2" t="s">
        <v>353</v>
      </c>
      <c r="D305" s="2" t="s">
        <v>296</v>
      </c>
      <c r="E305" s="2" t="s">
        <v>363</v>
      </c>
      <c r="F305" s="2" t="s">
        <v>51</v>
      </c>
      <c r="G305" s="3">
        <v>465000</v>
      </c>
      <c r="H305" s="8">
        <v>50</v>
      </c>
      <c r="I305" s="3">
        <v>0</v>
      </c>
      <c r="J305" s="3">
        <v>0</v>
      </c>
    </row>
    <row r="306" spans="1:10" x14ac:dyDescent="0.25">
      <c r="A306" s="2">
        <v>306</v>
      </c>
      <c r="B306" s="18">
        <v>45698.708287037036</v>
      </c>
      <c r="C306" s="2" t="s">
        <v>353</v>
      </c>
      <c r="D306" s="2" t="s">
        <v>2</v>
      </c>
      <c r="E306" s="2" t="s">
        <v>370</v>
      </c>
      <c r="F306" s="2" t="s">
        <v>19</v>
      </c>
      <c r="G306" s="3">
        <v>590000</v>
      </c>
      <c r="H306" s="8">
        <v>2</v>
      </c>
      <c r="I306" s="3">
        <v>826000</v>
      </c>
      <c r="J306" s="3">
        <v>826000</v>
      </c>
    </row>
    <row r="307" spans="1:10" x14ac:dyDescent="0.25">
      <c r="A307" s="2">
        <v>307</v>
      </c>
      <c r="B307" s="18">
        <v>45698.708287037036</v>
      </c>
      <c r="C307" s="2" t="s">
        <v>353</v>
      </c>
      <c r="D307" s="2" t="s">
        <v>48</v>
      </c>
      <c r="E307" s="2" t="s">
        <v>367</v>
      </c>
      <c r="F307" s="2" t="s">
        <v>35</v>
      </c>
      <c r="G307" s="3">
        <v>525000</v>
      </c>
      <c r="H307" s="8">
        <v>1</v>
      </c>
      <c r="I307" s="3">
        <v>341250</v>
      </c>
      <c r="J307" s="3">
        <v>341250</v>
      </c>
    </row>
    <row r="308" spans="1:10" x14ac:dyDescent="0.25">
      <c r="A308" s="2">
        <v>308</v>
      </c>
      <c r="B308" s="18">
        <v>45698.708287037036</v>
      </c>
      <c r="C308" s="2" t="s">
        <v>353</v>
      </c>
      <c r="D308" s="2" t="s">
        <v>311</v>
      </c>
      <c r="E308" s="2" t="s">
        <v>369</v>
      </c>
      <c r="F308" s="2" t="s">
        <v>27</v>
      </c>
      <c r="G308" s="3">
        <v>935000</v>
      </c>
      <c r="H308" s="8">
        <v>10</v>
      </c>
      <c r="I308" s="3">
        <v>9350000</v>
      </c>
      <c r="J308" s="3">
        <v>9350000</v>
      </c>
    </row>
    <row r="309" spans="1:10" x14ac:dyDescent="0.25">
      <c r="A309" s="2">
        <v>309</v>
      </c>
      <c r="B309" s="18">
        <v>45698.708287037036</v>
      </c>
      <c r="C309" s="2" t="s">
        <v>353</v>
      </c>
      <c r="D309" s="2" t="s">
        <v>311</v>
      </c>
      <c r="E309" s="2" t="s">
        <v>369</v>
      </c>
      <c r="F309" s="2" t="s">
        <v>27</v>
      </c>
      <c r="G309" s="3">
        <v>935000</v>
      </c>
      <c r="H309" s="8">
        <v>5</v>
      </c>
      <c r="I309" s="3">
        <v>0</v>
      </c>
      <c r="J309" s="3">
        <v>0</v>
      </c>
    </row>
    <row r="310" spans="1:10" x14ac:dyDescent="0.25">
      <c r="A310" s="2">
        <v>310</v>
      </c>
      <c r="B310" s="18">
        <v>45698.708287037036</v>
      </c>
      <c r="C310" s="2" t="s">
        <v>353</v>
      </c>
      <c r="D310" s="2" t="s">
        <v>311</v>
      </c>
      <c r="E310" s="2" t="s">
        <v>369</v>
      </c>
      <c r="F310" s="2" t="s">
        <v>89</v>
      </c>
      <c r="G310" s="3">
        <v>390000</v>
      </c>
      <c r="H310" s="8">
        <v>7</v>
      </c>
      <c r="I310" s="3">
        <v>0</v>
      </c>
      <c r="J310" s="3">
        <v>0</v>
      </c>
    </row>
    <row r="311" spans="1:10" x14ac:dyDescent="0.25">
      <c r="A311" s="2">
        <v>311</v>
      </c>
      <c r="B311" s="18">
        <v>45699.708287037036</v>
      </c>
      <c r="C311" s="2" t="s">
        <v>353</v>
      </c>
      <c r="D311" s="2" t="s">
        <v>96</v>
      </c>
      <c r="E311" s="2" t="s">
        <v>369</v>
      </c>
      <c r="F311" s="2" t="s">
        <v>29</v>
      </c>
      <c r="G311" s="3">
        <v>590000</v>
      </c>
      <c r="H311" s="8">
        <v>50</v>
      </c>
      <c r="I311" s="3">
        <v>25375000.25</v>
      </c>
      <c r="J311" s="3">
        <v>25375000.25</v>
      </c>
    </row>
    <row r="312" spans="1:10" x14ac:dyDescent="0.25">
      <c r="A312" s="2">
        <v>312</v>
      </c>
      <c r="B312" s="18">
        <v>45699.708287037036</v>
      </c>
      <c r="C312" s="2" t="s">
        <v>353</v>
      </c>
      <c r="D312" s="2" t="s">
        <v>96</v>
      </c>
      <c r="E312" s="2" t="s">
        <v>369</v>
      </c>
      <c r="F312" s="2" t="s">
        <v>29</v>
      </c>
      <c r="G312" s="3">
        <v>590000</v>
      </c>
      <c r="H312" s="8">
        <v>15</v>
      </c>
      <c r="I312" s="3">
        <v>0</v>
      </c>
      <c r="J312" s="3">
        <v>0</v>
      </c>
    </row>
    <row r="313" spans="1:10" x14ac:dyDescent="0.25">
      <c r="A313" s="2">
        <v>313</v>
      </c>
      <c r="B313" s="18">
        <v>45699.708287037036</v>
      </c>
      <c r="C313" s="2" t="s">
        <v>353</v>
      </c>
      <c r="D313" s="2" t="s">
        <v>253</v>
      </c>
      <c r="E313" s="2" t="s">
        <v>370</v>
      </c>
      <c r="F313" s="2" t="s">
        <v>63</v>
      </c>
      <c r="G313" s="3">
        <v>550000</v>
      </c>
      <c r="H313" s="8">
        <v>1</v>
      </c>
      <c r="I313" s="3">
        <v>0</v>
      </c>
      <c r="J313" s="3">
        <v>0</v>
      </c>
    </row>
    <row r="314" spans="1:10" x14ac:dyDescent="0.25">
      <c r="A314" s="2">
        <v>314</v>
      </c>
      <c r="B314" s="18">
        <v>45699.708287037036</v>
      </c>
      <c r="C314" s="2" t="s">
        <v>353</v>
      </c>
      <c r="D314" s="2" t="s">
        <v>253</v>
      </c>
      <c r="E314" s="2" t="s">
        <v>370</v>
      </c>
      <c r="F314" s="2" t="s">
        <v>85</v>
      </c>
      <c r="G314" s="3">
        <v>480000</v>
      </c>
      <c r="H314" s="8">
        <v>1</v>
      </c>
      <c r="I314" s="3">
        <v>0</v>
      </c>
      <c r="J314" s="3">
        <v>0</v>
      </c>
    </row>
    <row r="315" spans="1:10" x14ac:dyDescent="0.25">
      <c r="A315" s="2">
        <v>315</v>
      </c>
      <c r="B315" s="18">
        <v>45699.708287037036</v>
      </c>
      <c r="C315" s="2" t="s">
        <v>353</v>
      </c>
      <c r="D315" s="2" t="s">
        <v>253</v>
      </c>
      <c r="E315" s="2" t="s">
        <v>370</v>
      </c>
      <c r="F315" s="2" t="s">
        <v>33</v>
      </c>
      <c r="G315" s="3">
        <v>485000</v>
      </c>
      <c r="H315" s="8">
        <v>1</v>
      </c>
      <c r="I315" s="3">
        <v>0</v>
      </c>
      <c r="J315" s="3">
        <v>0</v>
      </c>
    </row>
    <row r="316" spans="1:10" x14ac:dyDescent="0.25">
      <c r="A316" s="2">
        <v>316</v>
      </c>
      <c r="B316" s="18">
        <v>45699.708287037036</v>
      </c>
      <c r="C316" s="2" t="s">
        <v>353</v>
      </c>
      <c r="D316" s="2" t="s">
        <v>253</v>
      </c>
      <c r="E316" s="2" t="s">
        <v>370</v>
      </c>
      <c r="F316" s="2" t="s">
        <v>59</v>
      </c>
      <c r="G316" s="3">
        <v>475000</v>
      </c>
      <c r="H316" s="8">
        <v>1</v>
      </c>
      <c r="I316" s="3">
        <v>0</v>
      </c>
      <c r="J316" s="3">
        <v>0</v>
      </c>
    </row>
    <row r="317" spans="1:10" x14ac:dyDescent="0.25">
      <c r="A317" s="2">
        <v>317</v>
      </c>
      <c r="B317" s="18">
        <v>45699.708287037036</v>
      </c>
      <c r="C317" s="2" t="s">
        <v>353</v>
      </c>
      <c r="D317" s="2" t="s">
        <v>253</v>
      </c>
      <c r="E317" s="2" t="s">
        <v>370</v>
      </c>
      <c r="F317" s="2" t="s">
        <v>67</v>
      </c>
      <c r="G317" s="3">
        <v>945000</v>
      </c>
      <c r="H317" s="8">
        <v>1</v>
      </c>
      <c r="I317" s="3">
        <v>0</v>
      </c>
      <c r="J317" s="3">
        <v>0</v>
      </c>
    </row>
    <row r="318" spans="1:10" x14ac:dyDescent="0.25">
      <c r="A318" s="2">
        <v>318</v>
      </c>
      <c r="B318" s="18">
        <v>45699.708287037036</v>
      </c>
      <c r="C318" s="2" t="s">
        <v>353</v>
      </c>
      <c r="D318" s="2" t="s">
        <v>253</v>
      </c>
      <c r="E318" s="2" t="s">
        <v>370</v>
      </c>
      <c r="F318" s="2" t="s">
        <v>69</v>
      </c>
      <c r="G318" s="3">
        <v>1450000</v>
      </c>
      <c r="H318" s="8">
        <v>1</v>
      </c>
      <c r="I318" s="3">
        <v>0</v>
      </c>
      <c r="J318" s="3">
        <v>0</v>
      </c>
    </row>
    <row r="319" spans="1:10" x14ac:dyDescent="0.25">
      <c r="A319" s="2">
        <v>319</v>
      </c>
      <c r="B319" s="18">
        <v>45699.708287037036</v>
      </c>
      <c r="C319" s="2" t="s">
        <v>353</v>
      </c>
      <c r="D319" s="2" t="s">
        <v>108</v>
      </c>
      <c r="E319" s="2" t="s">
        <v>367</v>
      </c>
      <c r="F319" s="2" t="s">
        <v>51</v>
      </c>
      <c r="G319" s="3">
        <v>465000</v>
      </c>
      <c r="H319" s="8">
        <v>1</v>
      </c>
      <c r="I319" s="3">
        <v>0</v>
      </c>
      <c r="J319" s="3">
        <v>0</v>
      </c>
    </row>
    <row r="320" spans="1:10" x14ac:dyDescent="0.25">
      <c r="A320" s="2">
        <v>320</v>
      </c>
      <c r="B320" s="18">
        <v>45699.708287037036</v>
      </c>
      <c r="C320" s="2" t="s">
        <v>353</v>
      </c>
      <c r="D320" s="2" t="s">
        <v>200</v>
      </c>
      <c r="E320" s="2" t="s">
        <v>367</v>
      </c>
      <c r="F320" s="2" t="s">
        <v>51</v>
      </c>
      <c r="G320" s="3">
        <v>465000</v>
      </c>
      <c r="H320" s="8">
        <v>1</v>
      </c>
      <c r="I320" s="3">
        <v>0</v>
      </c>
      <c r="J320" s="3">
        <v>0</v>
      </c>
    </row>
    <row r="321" spans="1:10" x14ac:dyDescent="0.25">
      <c r="A321" s="2">
        <v>321</v>
      </c>
      <c r="B321" s="18">
        <v>45699.708287037036</v>
      </c>
      <c r="C321" s="2" t="s">
        <v>353</v>
      </c>
      <c r="D321" s="2" t="s">
        <v>186</v>
      </c>
      <c r="E321" s="2" t="s">
        <v>367</v>
      </c>
      <c r="F321" s="2" t="s">
        <v>51</v>
      </c>
      <c r="G321" s="3">
        <v>465000</v>
      </c>
      <c r="H321" s="8">
        <v>1</v>
      </c>
      <c r="I321" s="3">
        <v>0</v>
      </c>
      <c r="J321" s="3">
        <v>0</v>
      </c>
    </row>
    <row r="322" spans="1:10" x14ac:dyDescent="0.25">
      <c r="A322" s="2">
        <v>322</v>
      </c>
      <c r="B322" s="18">
        <v>45699.708287037036</v>
      </c>
      <c r="C322" s="2" t="s">
        <v>353</v>
      </c>
      <c r="D322" s="2" t="s">
        <v>158</v>
      </c>
      <c r="E322" s="2" t="s">
        <v>367</v>
      </c>
      <c r="F322" s="2" t="s">
        <v>51</v>
      </c>
      <c r="G322" s="3">
        <v>465000</v>
      </c>
      <c r="H322" s="8">
        <v>1</v>
      </c>
      <c r="I322" s="3">
        <v>0</v>
      </c>
      <c r="J322" s="3">
        <v>0</v>
      </c>
    </row>
    <row r="323" spans="1:10" x14ac:dyDescent="0.25">
      <c r="A323" s="2">
        <v>323</v>
      </c>
      <c r="B323" s="18">
        <v>45699.708287037036</v>
      </c>
      <c r="C323" s="2" t="s">
        <v>353</v>
      </c>
      <c r="D323" s="2" t="s">
        <v>187</v>
      </c>
      <c r="E323" s="2" t="s">
        <v>367</v>
      </c>
      <c r="F323" s="2" t="s">
        <v>51</v>
      </c>
      <c r="G323" s="3">
        <v>465000</v>
      </c>
      <c r="H323" s="8">
        <v>1</v>
      </c>
      <c r="I323" s="3">
        <v>0</v>
      </c>
      <c r="J323" s="3">
        <v>0</v>
      </c>
    </row>
    <row r="324" spans="1:10" x14ac:dyDescent="0.25">
      <c r="A324" s="2">
        <v>324</v>
      </c>
      <c r="B324" s="18">
        <v>45699.708287037036</v>
      </c>
      <c r="C324" s="2" t="s">
        <v>353</v>
      </c>
      <c r="D324" s="2" t="s">
        <v>169</v>
      </c>
      <c r="E324" s="2" t="s">
        <v>367</v>
      </c>
      <c r="F324" s="2" t="s">
        <v>51</v>
      </c>
      <c r="G324" s="3">
        <v>465000</v>
      </c>
      <c r="H324" s="8">
        <v>1</v>
      </c>
      <c r="I324" s="3">
        <v>0</v>
      </c>
      <c r="J324" s="3">
        <v>0</v>
      </c>
    </row>
    <row r="325" spans="1:10" x14ac:dyDescent="0.25">
      <c r="A325" s="2">
        <v>325</v>
      </c>
      <c r="B325" s="18">
        <v>45699.708287037036</v>
      </c>
      <c r="C325" s="2" t="s">
        <v>353</v>
      </c>
      <c r="D325" s="2" t="s">
        <v>223</v>
      </c>
      <c r="E325" s="2" t="s">
        <v>367</v>
      </c>
      <c r="F325" s="2" t="s">
        <v>51</v>
      </c>
      <c r="G325" s="3">
        <v>465000</v>
      </c>
      <c r="H325" s="8">
        <v>1</v>
      </c>
      <c r="I325" s="3">
        <v>0</v>
      </c>
      <c r="J325" s="3">
        <v>0</v>
      </c>
    </row>
    <row r="326" spans="1:10" x14ac:dyDescent="0.25">
      <c r="A326" s="2">
        <v>326</v>
      </c>
      <c r="B326" s="18">
        <v>45699.708287037036</v>
      </c>
      <c r="C326" s="2" t="s">
        <v>353</v>
      </c>
      <c r="D326" s="2" t="s">
        <v>151</v>
      </c>
      <c r="E326" s="2" t="s">
        <v>367</v>
      </c>
      <c r="F326" s="2" t="s">
        <v>51</v>
      </c>
      <c r="G326" s="3">
        <v>465000</v>
      </c>
      <c r="H326" s="8">
        <v>1</v>
      </c>
      <c r="I326" s="3">
        <v>0</v>
      </c>
      <c r="J326" s="3">
        <v>0</v>
      </c>
    </row>
    <row r="327" spans="1:10" x14ac:dyDescent="0.25">
      <c r="A327" s="2">
        <v>327</v>
      </c>
      <c r="B327" s="18">
        <v>45699.708287037036</v>
      </c>
      <c r="C327" s="2" t="s">
        <v>353</v>
      </c>
      <c r="D327" s="2" t="s">
        <v>173</v>
      </c>
      <c r="E327" s="2" t="s">
        <v>367</v>
      </c>
      <c r="F327" s="2" t="s">
        <v>51</v>
      </c>
      <c r="G327" s="3">
        <v>465000</v>
      </c>
      <c r="H327" s="8">
        <v>1</v>
      </c>
      <c r="I327" s="3">
        <v>0</v>
      </c>
      <c r="J327" s="3">
        <v>0</v>
      </c>
    </row>
    <row r="328" spans="1:10" x14ac:dyDescent="0.25">
      <c r="A328" s="2">
        <v>328</v>
      </c>
      <c r="B328" s="18">
        <v>45699.708287037036</v>
      </c>
      <c r="C328" s="2" t="s">
        <v>353</v>
      </c>
      <c r="D328" s="2" t="s">
        <v>222</v>
      </c>
      <c r="E328" s="2" t="s">
        <v>367</v>
      </c>
      <c r="F328" s="2" t="s">
        <v>51</v>
      </c>
      <c r="G328" s="3">
        <v>465000</v>
      </c>
      <c r="H328" s="8">
        <v>1</v>
      </c>
      <c r="I328" s="3">
        <v>0</v>
      </c>
      <c r="J328" s="3">
        <v>0</v>
      </c>
    </row>
    <row r="329" spans="1:10" x14ac:dyDescent="0.25">
      <c r="A329" s="2">
        <v>329</v>
      </c>
      <c r="B329" s="18">
        <v>45699.708287037036</v>
      </c>
      <c r="C329" s="2" t="s">
        <v>353</v>
      </c>
      <c r="D329" s="2" t="s">
        <v>212</v>
      </c>
      <c r="E329" s="2" t="s">
        <v>367</v>
      </c>
      <c r="F329" s="2" t="s">
        <v>51</v>
      </c>
      <c r="G329" s="3">
        <v>465000</v>
      </c>
      <c r="H329" s="8">
        <v>1</v>
      </c>
      <c r="I329" s="3">
        <v>0</v>
      </c>
      <c r="J329" s="3">
        <v>0</v>
      </c>
    </row>
    <row r="330" spans="1:10" x14ac:dyDescent="0.25">
      <c r="A330" s="2">
        <v>330</v>
      </c>
      <c r="B330" s="18">
        <v>45699.708287037036</v>
      </c>
      <c r="C330" s="2" t="s">
        <v>353</v>
      </c>
      <c r="D330" s="2" t="s">
        <v>164</v>
      </c>
      <c r="E330" s="2" t="s">
        <v>367</v>
      </c>
      <c r="F330" s="2" t="s">
        <v>51</v>
      </c>
      <c r="G330" s="3">
        <v>465000</v>
      </c>
      <c r="H330" s="8">
        <v>1</v>
      </c>
      <c r="I330" s="3">
        <v>0</v>
      </c>
      <c r="J330" s="3">
        <v>0</v>
      </c>
    </row>
    <row r="331" spans="1:10" x14ac:dyDescent="0.25">
      <c r="A331" s="2">
        <v>331</v>
      </c>
      <c r="B331" s="18">
        <v>45699.708287037036</v>
      </c>
      <c r="C331" s="2" t="s">
        <v>353</v>
      </c>
      <c r="D331" s="2" t="s">
        <v>154</v>
      </c>
      <c r="E331" s="2" t="s">
        <v>367</v>
      </c>
      <c r="F331" s="2" t="s">
        <v>51</v>
      </c>
      <c r="G331" s="3">
        <v>465000</v>
      </c>
      <c r="H331" s="8">
        <v>1</v>
      </c>
      <c r="I331" s="3">
        <v>0</v>
      </c>
      <c r="J331" s="3">
        <v>0</v>
      </c>
    </row>
    <row r="332" spans="1:10" x14ac:dyDescent="0.25">
      <c r="A332" s="2">
        <v>332</v>
      </c>
      <c r="B332" s="18">
        <v>45699.708287037036</v>
      </c>
      <c r="C332" s="2" t="s">
        <v>353</v>
      </c>
      <c r="D332" s="2" t="s">
        <v>153</v>
      </c>
      <c r="E332" s="2" t="s">
        <v>367</v>
      </c>
      <c r="F332" s="2" t="s">
        <v>51</v>
      </c>
      <c r="G332" s="3">
        <v>465000</v>
      </c>
      <c r="H332" s="8">
        <v>1</v>
      </c>
      <c r="I332" s="3">
        <v>0</v>
      </c>
      <c r="J332" s="3">
        <v>0</v>
      </c>
    </row>
    <row r="333" spans="1:10" x14ac:dyDescent="0.25">
      <c r="A333" s="2">
        <v>333</v>
      </c>
      <c r="B333" s="18">
        <v>45699.708287037036</v>
      </c>
      <c r="C333" s="2" t="s">
        <v>353</v>
      </c>
      <c r="D333" s="2" t="s">
        <v>134</v>
      </c>
      <c r="E333" s="2" t="s">
        <v>367</v>
      </c>
      <c r="F333" s="2" t="s">
        <v>51</v>
      </c>
      <c r="G333" s="3">
        <v>465000</v>
      </c>
      <c r="H333" s="8">
        <v>1</v>
      </c>
      <c r="I333" s="3">
        <v>0</v>
      </c>
      <c r="J333" s="3">
        <v>0</v>
      </c>
    </row>
    <row r="334" spans="1:10" x14ac:dyDescent="0.25">
      <c r="A334" s="2">
        <v>334</v>
      </c>
      <c r="B334" s="18">
        <v>45699.708287037036</v>
      </c>
      <c r="C334" s="2" t="s">
        <v>353</v>
      </c>
      <c r="D334" s="2" t="s">
        <v>203</v>
      </c>
      <c r="E334" s="2" t="s">
        <v>367</v>
      </c>
      <c r="F334" s="2" t="s">
        <v>51</v>
      </c>
      <c r="G334" s="3">
        <v>465000</v>
      </c>
      <c r="H334" s="8">
        <v>1</v>
      </c>
      <c r="I334" s="3">
        <v>0</v>
      </c>
      <c r="J334" s="3">
        <v>0</v>
      </c>
    </row>
    <row r="335" spans="1:10" x14ac:dyDescent="0.25">
      <c r="A335" s="2">
        <v>335</v>
      </c>
      <c r="B335" s="18">
        <v>45699.708287037036</v>
      </c>
      <c r="C335" s="2" t="s">
        <v>353</v>
      </c>
      <c r="D335" s="2" t="s">
        <v>198</v>
      </c>
      <c r="E335" s="2" t="s">
        <v>367</v>
      </c>
      <c r="F335" s="2" t="s">
        <v>51</v>
      </c>
      <c r="G335" s="3">
        <v>465000</v>
      </c>
      <c r="H335" s="8">
        <v>1</v>
      </c>
      <c r="I335" s="3">
        <v>0</v>
      </c>
      <c r="J335" s="3">
        <v>0</v>
      </c>
    </row>
    <row r="336" spans="1:10" x14ac:dyDescent="0.25">
      <c r="A336" s="2">
        <v>336</v>
      </c>
      <c r="B336" s="18">
        <v>45699.708287037036</v>
      </c>
      <c r="C336" s="2" t="s">
        <v>353</v>
      </c>
      <c r="D336" s="2" t="s">
        <v>174</v>
      </c>
      <c r="E336" s="2" t="s">
        <v>367</v>
      </c>
      <c r="F336" s="2" t="s">
        <v>51</v>
      </c>
      <c r="G336" s="3">
        <v>465000</v>
      </c>
      <c r="H336" s="8">
        <v>1</v>
      </c>
      <c r="I336" s="3">
        <v>0</v>
      </c>
      <c r="J336" s="3">
        <v>0</v>
      </c>
    </row>
    <row r="337" spans="1:10" x14ac:dyDescent="0.25">
      <c r="A337" s="2">
        <v>337</v>
      </c>
      <c r="B337" s="18">
        <v>45699.708287037036</v>
      </c>
      <c r="C337" s="2" t="s">
        <v>353</v>
      </c>
      <c r="D337" s="2" t="s">
        <v>193</v>
      </c>
      <c r="E337" s="2" t="s">
        <v>367</v>
      </c>
      <c r="F337" s="2" t="s">
        <v>51</v>
      </c>
      <c r="G337" s="3">
        <v>465000</v>
      </c>
      <c r="H337" s="8">
        <v>1</v>
      </c>
      <c r="I337" s="3">
        <v>0</v>
      </c>
      <c r="J337" s="3">
        <v>0</v>
      </c>
    </row>
    <row r="338" spans="1:10" x14ac:dyDescent="0.25">
      <c r="A338" s="2">
        <v>338</v>
      </c>
      <c r="B338" s="18">
        <v>45699.708287037036</v>
      </c>
      <c r="C338" s="2" t="s">
        <v>353</v>
      </c>
      <c r="D338" s="2" t="s">
        <v>213</v>
      </c>
      <c r="E338" s="2" t="s">
        <v>367</v>
      </c>
      <c r="F338" s="2" t="s">
        <v>51</v>
      </c>
      <c r="G338" s="3">
        <v>465000</v>
      </c>
      <c r="H338" s="8">
        <v>1</v>
      </c>
      <c r="I338" s="3">
        <v>0</v>
      </c>
      <c r="J338" s="3">
        <v>0</v>
      </c>
    </row>
    <row r="339" spans="1:10" x14ac:dyDescent="0.25">
      <c r="A339" s="2">
        <v>339</v>
      </c>
      <c r="B339" s="18">
        <v>45699.708287037036</v>
      </c>
      <c r="C339" s="2" t="s">
        <v>353</v>
      </c>
      <c r="D339" s="2" t="s">
        <v>159</v>
      </c>
      <c r="E339" s="2" t="s">
        <v>367</v>
      </c>
      <c r="F339" s="2" t="s">
        <v>51</v>
      </c>
      <c r="G339" s="3">
        <v>465000</v>
      </c>
      <c r="H339" s="8">
        <v>1</v>
      </c>
      <c r="I339" s="3">
        <v>0</v>
      </c>
      <c r="J339" s="3">
        <v>0</v>
      </c>
    </row>
    <row r="340" spans="1:10" x14ac:dyDescent="0.25">
      <c r="A340" s="2">
        <v>340</v>
      </c>
      <c r="B340" s="18">
        <v>45699.708287037036</v>
      </c>
      <c r="C340" s="2" t="s">
        <v>353</v>
      </c>
      <c r="D340" s="2" t="s">
        <v>144</v>
      </c>
      <c r="E340" s="2" t="s">
        <v>367</v>
      </c>
      <c r="F340" s="2" t="s">
        <v>51</v>
      </c>
      <c r="G340" s="3">
        <v>465000</v>
      </c>
      <c r="H340" s="8">
        <v>1</v>
      </c>
      <c r="I340" s="3">
        <v>0</v>
      </c>
      <c r="J340" s="3">
        <v>0</v>
      </c>
    </row>
    <row r="341" spans="1:10" x14ac:dyDescent="0.25">
      <c r="A341" s="2">
        <v>341</v>
      </c>
      <c r="B341" s="18">
        <v>45699.708287037036</v>
      </c>
      <c r="C341" s="2" t="s">
        <v>353</v>
      </c>
      <c r="D341" s="2" t="s">
        <v>165</v>
      </c>
      <c r="E341" s="2" t="s">
        <v>367</v>
      </c>
      <c r="F341" s="2" t="s">
        <v>51</v>
      </c>
      <c r="G341" s="3">
        <v>465000</v>
      </c>
      <c r="H341" s="8">
        <v>1</v>
      </c>
      <c r="I341" s="3">
        <v>0</v>
      </c>
      <c r="J341" s="3">
        <v>0</v>
      </c>
    </row>
    <row r="342" spans="1:10" x14ac:dyDescent="0.25">
      <c r="A342" s="2">
        <v>342</v>
      </c>
      <c r="B342" s="18">
        <v>45699.708287037036</v>
      </c>
      <c r="C342" s="2" t="s">
        <v>353</v>
      </c>
      <c r="D342" s="2" t="s">
        <v>215</v>
      </c>
      <c r="E342" s="2" t="s">
        <v>367</v>
      </c>
      <c r="F342" s="2" t="s">
        <v>51</v>
      </c>
      <c r="G342" s="3">
        <v>465000</v>
      </c>
      <c r="H342" s="8">
        <v>1</v>
      </c>
      <c r="I342" s="3">
        <v>0</v>
      </c>
      <c r="J342" s="3">
        <v>0</v>
      </c>
    </row>
    <row r="343" spans="1:10" x14ac:dyDescent="0.25">
      <c r="A343" s="2">
        <v>343</v>
      </c>
      <c r="B343" s="18">
        <v>45699.708287037036</v>
      </c>
      <c r="C343" s="2" t="s">
        <v>353</v>
      </c>
      <c r="D343" s="2" t="s">
        <v>214</v>
      </c>
      <c r="E343" s="2" t="s">
        <v>367</v>
      </c>
      <c r="F343" s="2" t="s">
        <v>51</v>
      </c>
      <c r="G343" s="3">
        <v>465000</v>
      </c>
      <c r="H343" s="8">
        <v>1</v>
      </c>
      <c r="I343" s="3">
        <v>0</v>
      </c>
      <c r="J343" s="3">
        <v>0</v>
      </c>
    </row>
    <row r="344" spans="1:10" x14ac:dyDescent="0.25">
      <c r="A344" s="2">
        <v>344</v>
      </c>
      <c r="B344" s="18">
        <v>45699.708287037036</v>
      </c>
      <c r="C344" s="2" t="s">
        <v>353</v>
      </c>
      <c r="D344" s="2" t="s">
        <v>220</v>
      </c>
      <c r="E344" s="2" t="s">
        <v>367</v>
      </c>
      <c r="F344" s="2" t="s">
        <v>51</v>
      </c>
      <c r="G344" s="3">
        <v>465000</v>
      </c>
      <c r="H344" s="8">
        <v>1</v>
      </c>
      <c r="I344" s="3">
        <v>0</v>
      </c>
      <c r="J344" s="3">
        <v>0</v>
      </c>
    </row>
    <row r="345" spans="1:10" x14ac:dyDescent="0.25">
      <c r="A345" s="2">
        <v>345</v>
      </c>
      <c r="B345" s="18">
        <v>45699.708287037036</v>
      </c>
      <c r="C345" s="2" t="s">
        <v>353</v>
      </c>
      <c r="D345" s="2" t="s">
        <v>195</v>
      </c>
      <c r="E345" s="2" t="s">
        <v>367</v>
      </c>
      <c r="F345" s="2" t="s">
        <v>51</v>
      </c>
      <c r="G345" s="3">
        <v>465000</v>
      </c>
      <c r="H345" s="8">
        <v>1</v>
      </c>
      <c r="I345" s="3">
        <v>0</v>
      </c>
      <c r="J345" s="3">
        <v>0</v>
      </c>
    </row>
    <row r="346" spans="1:10" x14ac:dyDescent="0.25">
      <c r="A346" s="2">
        <v>346</v>
      </c>
      <c r="B346" s="18">
        <v>45699.708287037036</v>
      </c>
      <c r="C346" s="2" t="s">
        <v>353</v>
      </c>
      <c r="D346" s="2" t="s">
        <v>188</v>
      </c>
      <c r="E346" s="2" t="s">
        <v>367</v>
      </c>
      <c r="F346" s="2" t="s">
        <v>51</v>
      </c>
      <c r="G346" s="3">
        <v>465000</v>
      </c>
      <c r="H346" s="8">
        <v>1</v>
      </c>
      <c r="I346" s="3">
        <v>0</v>
      </c>
      <c r="J346" s="3">
        <v>0</v>
      </c>
    </row>
    <row r="347" spans="1:10" x14ac:dyDescent="0.25">
      <c r="A347" s="2">
        <v>347</v>
      </c>
      <c r="B347" s="18">
        <v>45699.708287037036</v>
      </c>
      <c r="C347" s="2" t="s">
        <v>353</v>
      </c>
      <c r="D347" s="2" t="s">
        <v>224</v>
      </c>
      <c r="E347" s="2" t="s">
        <v>367</v>
      </c>
      <c r="F347" s="2" t="s">
        <v>51</v>
      </c>
      <c r="G347" s="3">
        <v>465000</v>
      </c>
      <c r="H347" s="8">
        <v>1</v>
      </c>
      <c r="I347" s="3">
        <v>0</v>
      </c>
      <c r="J347" s="3">
        <v>0</v>
      </c>
    </row>
    <row r="348" spans="1:10" x14ac:dyDescent="0.25">
      <c r="A348" s="2">
        <v>348</v>
      </c>
      <c r="B348" s="18">
        <v>45699.708287037036</v>
      </c>
      <c r="C348" s="2" t="s">
        <v>353</v>
      </c>
      <c r="D348" s="2" t="s">
        <v>180</v>
      </c>
      <c r="E348" s="2" t="s">
        <v>367</v>
      </c>
      <c r="F348" s="2" t="s">
        <v>51</v>
      </c>
      <c r="G348" s="3">
        <v>465000</v>
      </c>
      <c r="H348" s="8">
        <v>1</v>
      </c>
      <c r="I348" s="3">
        <v>0</v>
      </c>
      <c r="J348" s="3">
        <v>0</v>
      </c>
    </row>
    <row r="349" spans="1:10" x14ac:dyDescent="0.25">
      <c r="A349" s="2">
        <v>349</v>
      </c>
      <c r="B349" s="18">
        <v>45699.708287037036</v>
      </c>
      <c r="C349" s="2" t="s">
        <v>353</v>
      </c>
      <c r="D349" s="2" t="s">
        <v>119</v>
      </c>
      <c r="E349" s="2" t="s">
        <v>370</v>
      </c>
      <c r="F349" s="2" t="s">
        <v>19</v>
      </c>
      <c r="G349" s="3">
        <v>590000</v>
      </c>
      <c r="H349" s="8">
        <v>2</v>
      </c>
      <c r="I349" s="3">
        <v>849600</v>
      </c>
      <c r="J349" s="3">
        <v>849600</v>
      </c>
    </row>
    <row r="350" spans="1:10" x14ac:dyDescent="0.25">
      <c r="A350" s="2">
        <v>350</v>
      </c>
      <c r="B350" s="18">
        <v>45699.708287037036</v>
      </c>
      <c r="C350" s="2" t="s">
        <v>353</v>
      </c>
      <c r="D350" s="2" t="s">
        <v>119</v>
      </c>
      <c r="E350" s="2" t="s">
        <v>370</v>
      </c>
      <c r="F350" s="2" t="s">
        <v>63</v>
      </c>
      <c r="G350" s="3">
        <v>550000</v>
      </c>
      <c r="H350" s="8">
        <v>1</v>
      </c>
      <c r="I350" s="3">
        <v>396000</v>
      </c>
      <c r="J350" s="3">
        <v>396000</v>
      </c>
    </row>
    <row r="351" spans="1:10" x14ac:dyDescent="0.25">
      <c r="A351" s="2">
        <v>351</v>
      </c>
      <c r="B351" s="18">
        <v>45699.708287037036</v>
      </c>
      <c r="C351" s="2" t="s">
        <v>353</v>
      </c>
      <c r="D351" s="2" t="s">
        <v>119</v>
      </c>
      <c r="E351" s="2" t="s">
        <v>370</v>
      </c>
      <c r="F351" s="2" t="s">
        <v>35</v>
      </c>
      <c r="G351" s="3">
        <v>525000</v>
      </c>
      <c r="H351" s="8">
        <v>1</v>
      </c>
      <c r="I351" s="3">
        <v>378000</v>
      </c>
      <c r="J351" s="3">
        <v>378000</v>
      </c>
    </row>
    <row r="352" spans="1:10" x14ac:dyDescent="0.25">
      <c r="A352" s="2">
        <v>352</v>
      </c>
      <c r="B352" s="18">
        <v>45699.708287037036</v>
      </c>
      <c r="C352" s="2" t="s">
        <v>353</v>
      </c>
      <c r="D352" s="2" t="s">
        <v>303</v>
      </c>
      <c r="E352" s="2" t="s">
        <v>366</v>
      </c>
      <c r="F352" s="2" t="s">
        <v>33</v>
      </c>
      <c r="G352" s="3">
        <v>485000</v>
      </c>
      <c r="H352" s="8">
        <v>20</v>
      </c>
      <c r="I352" s="3">
        <v>4750000.081</v>
      </c>
      <c r="J352" s="3">
        <v>4750000.081</v>
      </c>
    </row>
    <row r="353" spans="1:10" x14ac:dyDescent="0.25">
      <c r="A353" s="2">
        <v>353</v>
      </c>
      <c r="B353" s="18">
        <v>45700.708287037036</v>
      </c>
      <c r="C353" s="2" t="s">
        <v>353</v>
      </c>
      <c r="D353" s="2" t="s">
        <v>74</v>
      </c>
      <c r="E353" s="2" t="s">
        <v>369</v>
      </c>
      <c r="F353" s="2" t="s">
        <v>49</v>
      </c>
      <c r="G353" s="3">
        <v>200000</v>
      </c>
      <c r="H353" s="8">
        <v>4</v>
      </c>
      <c r="I353" s="3">
        <v>0</v>
      </c>
      <c r="J353" s="3">
        <v>0</v>
      </c>
    </row>
    <row r="354" spans="1:10" x14ac:dyDescent="0.25">
      <c r="A354" s="2">
        <v>354</v>
      </c>
      <c r="B354" s="18">
        <v>45700.708287037036</v>
      </c>
      <c r="C354" s="2" t="s">
        <v>353</v>
      </c>
      <c r="D354" s="2" t="s">
        <v>74</v>
      </c>
      <c r="E354" s="2" t="s">
        <v>369</v>
      </c>
      <c r="F354" s="2" t="s">
        <v>85</v>
      </c>
      <c r="G354" s="3">
        <v>480000</v>
      </c>
      <c r="H354" s="8">
        <v>9</v>
      </c>
      <c r="I354" s="3">
        <v>2160000</v>
      </c>
      <c r="J354" s="3">
        <v>2160000</v>
      </c>
    </row>
    <row r="355" spans="1:10" x14ac:dyDescent="0.25">
      <c r="A355" s="2">
        <v>355</v>
      </c>
      <c r="B355" s="18">
        <v>45700.708287037036</v>
      </c>
      <c r="C355" s="2" t="s">
        <v>353</v>
      </c>
      <c r="D355" s="2" t="s">
        <v>74</v>
      </c>
      <c r="E355" s="2" t="s">
        <v>369</v>
      </c>
      <c r="F355" s="2" t="s">
        <v>19</v>
      </c>
      <c r="G355" s="3">
        <v>590000</v>
      </c>
      <c r="H355" s="8">
        <v>3</v>
      </c>
      <c r="I355" s="3">
        <v>885000</v>
      </c>
      <c r="J355" s="3">
        <v>885000</v>
      </c>
    </row>
    <row r="356" spans="1:10" x14ac:dyDescent="0.25">
      <c r="A356" s="2">
        <v>356</v>
      </c>
      <c r="B356" s="18">
        <v>45700.708287037036</v>
      </c>
      <c r="C356" s="2" t="s">
        <v>353</v>
      </c>
      <c r="D356" s="2" t="s">
        <v>74</v>
      </c>
      <c r="E356" s="2" t="s">
        <v>369</v>
      </c>
      <c r="F356" s="2" t="s">
        <v>29</v>
      </c>
      <c r="G356" s="3">
        <v>590000</v>
      </c>
      <c r="H356" s="8">
        <v>5</v>
      </c>
      <c r="I356" s="3">
        <v>1475000</v>
      </c>
      <c r="J356" s="3">
        <v>1475000</v>
      </c>
    </row>
    <row r="357" spans="1:10" x14ac:dyDescent="0.25">
      <c r="A357" s="2">
        <v>357</v>
      </c>
      <c r="B357" s="18">
        <v>45700.708287037036</v>
      </c>
      <c r="C357" s="2" t="s">
        <v>353</v>
      </c>
      <c r="D357" s="2" t="s">
        <v>74</v>
      </c>
      <c r="E357" s="2" t="s">
        <v>369</v>
      </c>
      <c r="F357" s="2" t="s">
        <v>63</v>
      </c>
      <c r="G357" s="3">
        <v>550000</v>
      </c>
      <c r="H357" s="8">
        <v>1</v>
      </c>
      <c r="I357" s="3">
        <v>275000</v>
      </c>
      <c r="J357" s="3">
        <v>275000</v>
      </c>
    </row>
    <row r="358" spans="1:10" x14ac:dyDescent="0.25">
      <c r="A358" s="2">
        <v>358</v>
      </c>
      <c r="B358" s="18">
        <v>45700.708287037036</v>
      </c>
      <c r="C358" s="2" t="s">
        <v>353</v>
      </c>
      <c r="D358" s="2" t="s">
        <v>74</v>
      </c>
      <c r="E358" s="2" t="s">
        <v>369</v>
      </c>
      <c r="F358" s="2" t="s">
        <v>33</v>
      </c>
      <c r="G358" s="3">
        <v>485000</v>
      </c>
      <c r="H358" s="8">
        <v>6</v>
      </c>
      <c r="I358" s="3">
        <v>1455000</v>
      </c>
      <c r="J358" s="3">
        <v>1455000</v>
      </c>
    </row>
    <row r="359" spans="1:10" x14ac:dyDescent="0.25">
      <c r="A359" s="2">
        <v>359</v>
      </c>
      <c r="B359" s="18">
        <v>45700.708287037036</v>
      </c>
      <c r="C359" s="2" t="s">
        <v>353</v>
      </c>
      <c r="D359" s="2" t="s">
        <v>74</v>
      </c>
      <c r="E359" s="2" t="s">
        <v>369</v>
      </c>
      <c r="F359" s="2" t="s">
        <v>89</v>
      </c>
      <c r="G359" s="3">
        <v>390000</v>
      </c>
      <c r="H359" s="8">
        <v>17</v>
      </c>
      <c r="I359" s="3">
        <v>0</v>
      </c>
      <c r="J359" s="3">
        <v>0</v>
      </c>
    </row>
    <row r="360" spans="1:10" x14ac:dyDescent="0.25">
      <c r="A360" s="2">
        <v>360</v>
      </c>
      <c r="B360" s="18">
        <v>45701.708287037036</v>
      </c>
      <c r="C360" s="2" t="s">
        <v>353</v>
      </c>
      <c r="D360" s="2" t="s">
        <v>98</v>
      </c>
      <c r="E360" s="2" t="s">
        <v>369</v>
      </c>
      <c r="F360" s="2" t="s">
        <v>29</v>
      </c>
      <c r="G360" s="3">
        <v>590000</v>
      </c>
      <c r="H360" s="8">
        <v>10</v>
      </c>
      <c r="I360" s="3">
        <v>5900000</v>
      </c>
      <c r="J360" s="3">
        <v>5900000</v>
      </c>
    </row>
    <row r="361" spans="1:10" x14ac:dyDescent="0.25">
      <c r="A361" s="2">
        <v>361</v>
      </c>
      <c r="B361" s="18">
        <v>45701.708287037036</v>
      </c>
      <c r="C361" s="2" t="s">
        <v>353</v>
      </c>
      <c r="D361" s="2" t="s">
        <v>98</v>
      </c>
      <c r="E361" s="2" t="s">
        <v>369</v>
      </c>
      <c r="F361" s="2" t="s">
        <v>29</v>
      </c>
      <c r="G361" s="3">
        <v>590000</v>
      </c>
      <c r="H361" s="8">
        <v>3</v>
      </c>
      <c r="I361" s="3">
        <v>0</v>
      </c>
      <c r="J361" s="3">
        <v>0</v>
      </c>
    </row>
    <row r="362" spans="1:10" x14ac:dyDescent="0.25">
      <c r="A362" s="2">
        <v>362</v>
      </c>
      <c r="B362" s="18">
        <v>45701.708287037036</v>
      </c>
      <c r="C362" s="2" t="s">
        <v>353</v>
      </c>
      <c r="D362" s="2" t="s">
        <v>98</v>
      </c>
      <c r="E362" s="2" t="s">
        <v>369</v>
      </c>
      <c r="F362" s="2" t="s">
        <v>19</v>
      </c>
      <c r="G362" s="3">
        <v>590000</v>
      </c>
      <c r="H362" s="8">
        <v>10</v>
      </c>
      <c r="I362" s="3">
        <v>5900000</v>
      </c>
      <c r="J362" s="3">
        <v>5900000</v>
      </c>
    </row>
    <row r="363" spans="1:10" x14ac:dyDescent="0.25">
      <c r="A363" s="2">
        <v>363</v>
      </c>
      <c r="B363" s="18">
        <v>45701.708287037036</v>
      </c>
      <c r="C363" s="2" t="s">
        <v>353</v>
      </c>
      <c r="D363" s="2" t="s">
        <v>98</v>
      </c>
      <c r="E363" s="2" t="s">
        <v>369</v>
      </c>
      <c r="F363" s="2" t="s">
        <v>19</v>
      </c>
      <c r="G363" s="3">
        <v>590000</v>
      </c>
      <c r="H363" s="8">
        <v>3</v>
      </c>
      <c r="I363" s="3">
        <v>0</v>
      </c>
      <c r="J363" s="3">
        <v>0</v>
      </c>
    </row>
    <row r="364" spans="1:10" x14ac:dyDescent="0.25">
      <c r="A364" s="2">
        <v>364</v>
      </c>
      <c r="B364" s="18">
        <v>45701.708287037036</v>
      </c>
      <c r="C364" s="2" t="s">
        <v>353</v>
      </c>
      <c r="D364" s="2" t="s">
        <v>98</v>
      </c>
      <c r="E364" s="2" t="s">
        <v>369</v>
      </c>
      <c r="F364" s="2" t="s">
        <v>13</v>
      </c>
      <c r="G364" s="3">
        <v>-165000</v>
      </c>
      <c r="H364" s="8">
        <v>10</v>
      </c>
      <c r="I364" s="3">
        <v>-1650000</v>
      </c>
      <c r="J364" s="3">
        <v>-1650000</v>
      </c>
    </row>
    <row r="365" spans="1:10" x14ac:dyDescent="0.25">
      <c r="A365" s="2">
        <v>365</v>
      </c>
      <c r="B365" s="18">
        <v>45701.708287037036</v>
      </c>
      <c r="C365" s="2" t="s">
        <v>353</v>
      </c>
      <c r="D365" s="2" t="s">
        <v>253</v>
      </c>
      <c r="E365" s="2" t="s">
        <v>370</v>
      </c>
      <c r="F365" s="2" t="s">
        <v>61</v>
      </c>
      <c r="G365" s="3">
        <v>890000</v>
      </c>
      <c r="H365" s="8">
        <v>2</v>
      </c>
      <c r="I365" s="3">
        <v>1281600</v>
      </c>
      <c r="J365" s="3">
        <v>1281600</v>
      </c>
    </row>
    <row r="366" spans="1:10" x14ac:dyDescent="0.25">
      <c r="A366" s="2">
        <v>366</v>
      </c>
      <c r="B366" s="18">
        <v>45701.708287037036</v>
      </c>
      <c r="C366" s="2" t="s">
        <v>353</v>
      </c>
      <c r="D366" s="2" t="s">
        <v>253</v>
      </c>
      <c r="E366" s="2" t="s">
        <v>370</v>
      </c>
      <c r="F366" s="2" t="s">
        <v>83</v>
      </c>
      <c r="G366" s="3">
        <v>790000</v>
      </c>
      <c r="H366" s="8">
        <v>2</v>
      </c>
      <c r="I366" s="3">
        <v>1137600</v>
      </c>
      <c r="J366" s="3">
        <v>1137600</v>
      </c>
    </row>
    <row r="367" spans="1:10" x14ac:dyDescent="0.25">
      <c r="A367" s="2">
        <v>367</v>
      </c>
      <c r="B367" s="18">
        <v>45701.708287037036</v>
      </c>
      <c r="C367" s="2" t="s">
        <v>353</v>
      </c>
      <c r="D367" s="2" t="s">
        <v>253</v>
      </c>
      <c r="E367" s="2" t="s">
        <v>370</v>
      </c>
      <c r="F367" s="2" t="s">
        <v>57</v>
      </c>
      <c r="G367" s="3">
        <v>745000</v>
      </c>
      <c r="H367" s="8">
        <v>5</v>
      </c>
      <c r="I367" s="3">
        <v>2682000</v>
      </c>
      <c r="J367" s="3">
        <v>2682000</v>
      </c>
    </row>
    <row r="368" spans="1:10" x14ac:dyDescent="0.25">
      <c r="A368" s="2">
        <v>368</v>
      </c>
      <c r="B368" s="18">
        <v>45701.708287037036</v>
      </c>
      <c r="C368" s="2" t="s">
        <v>353</v>
      </c>
      <c r="D368" s="2" t="s">
        <v>253</v>
      </c>
      <c r="E368" s="2" t="s">
        <v>370</v>
      </c>
      <c r="F368" s="2" t="s">
        <v>31</v>
      </c>
      <c r="G368" s="3">
        <v>745000</v>
      </c>
      <c r="H368" s="8">
        <v>7</v>
      </c>
      <c r="I368" s="3">
        <v>3754800</v>
      </c>
      <c r="J368" s="3">
        <v>3754800</v>
      </c>
    </row>
    <row r="369" spans="1:10" x14ac:dyDescent="0.25">
      <c r="A369" s="2">
        <v>369</v>
      </c>
      <c r="B369" s="18">
        <v>45701.708287037036</v>
      </c>
      <c r="C369" s="2" t="s">
        <v>353</v>
      </c>
      <c r="D369" s="2" t="s">
        <v>253</v>
      </c>
      <c r="E369" s="2" t="s">
        <v>370</v>
      </c>
      <c r="F369" s="2" t="s">
        <v>19</v>
      </c>
      <c r="G369" s="3">
        <v>590000</v>
      </c>
      <c r="H369" s="8">
        <v>5</v>
      </c>
      <c r="I369" s="3">
        <v>2124000</v>
      </c>
      <c r="J369" s="3">
        <v>2124000</v>
      </c>
    </row>
    <row r="370" spans="1:10" x14ac:dyDescent="0.25">
      <c r="A370" s="2">
        <v>370</v>
      </c>
      <c r="B370" s="18">
        <v>45701.708287037036</v>
      </c>
      <c r="C370" s="2" t="s">
        <v>353</v>
      </c>
      <c r="D370" s="2" t="s">
        <v>253</v>
      </c>
      <c r="E370" s="2" t="s">
        <v>370</v>
      </c>
      <c r="F370" s="2" t="s">
        <v>35</v>
      </c>
      <c r="G370" s="3">
        <v>525000</v>
      </c>
      <c r="H370" s="8">
        <v>5</v>
      </c>
      <c r="I370" s="3">
        <v>1890000</v>
      </c>
      <c r="J370" s="3">
        <v>1890000</v>
      </c>
    </row>
    <row r="371" spans="1:10" x14ac:dyDescent="0.25">
      <c r="A371" s="2">
        <v>371</v>
      </c>
      <c r="B371" s="18">
        <v>45701.708287037036</v>
      </c>
      <c r="C371" s="2" t="s">
        <v>353</v>
      </c>
      <c r="D371" s="2" t="s">
        <v>253</v>
      </c>
      <c r="E371" s="2" t="s">
        <v>370</v>
      </c>
      <c r="F371" s="2" t="s">
        <v>27</v>
      </c>
      <c r="G371" s="3">
        <v>935000</v>
      </c>
      <c r="H371" s="8">
        <v>1</v>
      </c>
      <c r="I371" s="3">
        <v>673200</v>
      </c>
      <c r="J371" s="3">
        <v>673200</v>
      </c>
    </row>
    <row r="372" spans="1:10" x14ac:dyDescent="0.25">
      <c r="A372" s="2">
        <v>372</v>
      </c>
      <c r="B372" s="18">
        <v>45701.708287037036</v>
      </c>
      <c r="C372" s="2" t="s">
        <v>353</v>
      </c>
      <c r="D372" s="2" t="s">
        <v>253</v>
      </c>
      <c r="E372" s="2" t="s">
        <v>370</v>
      </c>
      <c r="F372" s="2" t="s">
        <v>91</v>
      </c>
      <c r="G372" s="3">
        <v>750000</v>
      </c>
      <c r="H372" s="8">
        <v>1</v>
      </c>
      <c r="I372" s="3">
        <v>540000</v>
      </c>
      <c r="J372" s="3">
        <v>540000</v>
      </c>
    </row>
    <row r="373" spans="1:10" x14ac:dyDescent="0.25">
      <c r="A373" s="2">
        <v>373</v>
      </c>
      <c r="B373" s="18">
        <v>45701.708287037036</v>
      </c>
      <c r="C373" s="2" t="s">
        <v>353</v>
      </c>
      <c r="D373" s="2" t="s">
        <v>108</v>
      </c>
      <c r="E373" s="2" t="s">
        <v>367</v>
      </c>
      <c r="F373" s="2" t="s">
        <v>63</v>
      </c>
      <c r="G373" s="3">
        <v>550000</v>
      </c>
      <c r="H373" s="8">
        <v>1</v>
      </c>
      <c r="I373" s="3">
        <v>357500</v>
      </c>
      <c r="J373" s="3">
        <v>357500</v>
      </c>
    </row>
    <row r="374" spans="1:10" x14ac:dyDescent="0.25">
      <c r="A374" s="2">
        <v>374</v>
      </c>
      <c r="B374" s="18">
        <v>45701.708287037036</v>
      </c>
      <c r="C374" s="2" t="s">
        <v>353</v>
      </c>
      <c r="D374" s="2" t="s">
        <v>122</v>
      </c>
      <c r="E374" s="2" t="s">
        <v>370</v>
      </c>
      <c r="F374" s="2" t="s">
        <v>33</v>
      </c>
      <c r="G374" s="3">
        <v>485000</v>
      </c>
      <c r="H374" s="8">
        <v>1</v>
      </c>
      <c r="I374" s="3">
        <v>0</v>
      </c>
      <c r="J374" s="3">
        <v>0</v>
      </c>
    </row>
    <row r="375" spans="1:10" x14ac:dyDescent="0.25">
      <c r="A375" s="2">
        <v>375</v>
      </c>
      <c r="B375" s="18">
        <v>45701.708287037036</v>
      </c>
      <c r="C375" s="2" t="s">
        <v>353</v>
      </c>
      <c r="D375" s="2" t="s">
        <v>122</v>
      </c>
      <c r="E375" s="2" t="s">
        <v>370</v>
      </c>
      <c r="F375" s="2" t="s">
        <v>59</v>
      </c>
      <c r="G375" s="3">
        <v>475000</v>
      </c>
      <c r="H375" s="8">
        <v>1</v>
      </c>
      <c r="I375" s="3">
        <v>0</v>
      </c>
      <c r="J375" s="3">
        <v>0</v>
      </c>
    </row>
    <row r="376" spans="1:10" x14ac:dyDescent="0.25">
      <c r="A376" s="2">
        <v>376</v>
      </c>
      <c r="B376" s="18">
        <v>45705.708287037036</v>
      </c>
      <c r="C376" s="2" t="s">
        <v>353</v>
      </c>
      <c r="D376" s="2" t="s">
        <v>268</v>
      </c>
      <c r="E376" s="2" t="s">
        <v>371</v>
      </c>
      <c r="F376" s="2" t="s">
        <v>25</v>
      </c>
      <c r="G376" s="3">
        <v>890000</v>
      </c>
      <c r="H376" s="8">
        <v>20</v>
      </c>
      <c r="I376" s="3">
        <v>8900000</v>
      </c>
      <c r="J376" s="3">
        <v>8900000</v>
      </c>
    </row>
    <row r="377" spans="1:10" x14ac:dyDescent="0.25">
      <c r="A377" s="2">
        <v>377</v>
      </c>
      <c r="B377" s="18">
        <v>45705.708287037036</v>
      </c>
      <c r="C377" s="2" t="s">
        <v>353</v>
      </c>
      <c r="D377" s="2" t="s">
        <v>268</v>
      </c>
      <c r="E377" s="2" t="s">
        <v>371</v>
      </c>
      <c r="F377" s="2" t="s">
        <v>89</v>
      </c>
      <c r="G377" s="3">
        <v>390000</v>
      </c>
      <c r="H377" s="8">
        <v>20</v>
      </c>
      <c r="I377" s="3">
        <v>0</v>
      </c>
      <c r="J377" s="3">
        <v>0</v>
      </c>
    </row>
    <row r="378" spans="1:10" x14ac:dyDescent="0.25">
      <c r="A378" s="2">
        <v>378</v>
      </c>
      <c r="B378" s="18">
        <v>45705.708287037036</v>
      </c>
      <c r="C378" s="2" t="s">
        <v>353</v>
      </c>
      <c r="D378" s="2" t="s">
        <v>267</v>
      </c>
      <c r="E378" s="2" t="s">
        <v>371</v>
      </c>
      <c r="F378" s="2" t="s">
        <v>25</v>
      </c>
      <c r="G378" s="3">
        <v>890000</v>
      </c>
      <c r="H378" s="8">
        <v>50</v>
      </c>
      <c r="I378" s="3">
        <v>22250000</v>
      </c>
      <c r="J378" s="3">
        <v>22250000</v>
      </c>
    </row>
    <row r="379" spans="1:10" x14ac:dyDescent="0.25">
      <c r="A379" s="2">
        <v>379</v>
      </c>
      <c r="B379" s="18">
        <v>45705.708287037036</v>
      </c>
      <c r="C379" s="2" t="s">
        <v>353</v>
      </c>
      <c r="D379" s="2" t="s">
        <v>267</v>
      </c>
      <c r="E379" s="2" t="s">
        <v>371</v>
      </c>
      <c r="F379" s="2" t="s">
        <v>89</v>
      </c>
      <c r="G379" s="3">
        <v>390000</v>
      </c>
      <c r="H379" s="8">
        <v>50</v>
      </c>
      <c r="I379" s="3">
        <v>0</v>
      </c>
      <c r="J379" s="3">
        <v>0</v>
      </c>
    </row>
    <row r="380" spans="1:10" x14ac:dyDescent="0.25">
      <c r="A380" s="2">
        <v>380</v>
      </c>
      <c r="B380" s="18">
        <v>45705.708287037036</v>
      </c>
      <c r="C380" s="2" t="s">
        <v>353</v>
      </c>
      <c r="D380" s="2" t="s">
        <v>264</v>
      </c>
      <c r="E380" s="2" t="s">
        <v>371</v>
      </c>
      <c r="F380" s="2" t="s">
        <v>25</v>
      </c>
      <c r="G380" s="3">
        <v>890000</v>
      </c>
      <c r="H380" s="8">
        <v>60</v>
      </c>
      <c r="I380" s="3">
        <v>26700000</v>
      </c>
      <c r="J380" s="3">
        <v>26700000</v>
      </c>
    </row>
    <row r="381" spans="1:10" x14ac:dyDescent="0.25">
      <c r="A381" s="2">
        <v>381</v>
      </c>
      <c r="B381" s="18">
        <v>45705.708287037036</v>
      </c>
      <c r="C381" s="2" t="s">
        <v>353</v>
      </c>
      <c r="D381" s="2" t="s">
        <v>264</v>
      </c>
      <c r="E381" s="2" t="s">
        <v>371</v>
      </c>
      <c r="F381" s="2" t="s">
        <v>89</v>
      </c>
      <c r="G381" s="3">
        <v>390000</v>
      </c>
      <c r="H381" s="8">
        <v>60</v>
      </c>
      <c r="I381" s="3">
        <v>0</v>
      </c>
      <c r="J381" s="3">
        <v>0</v>
      </c>
    </row>
    <row r="382" spans="1:10" x14ac:dyDescent="0.25">
      <c r="A382" s="2">
        <v>382</v>
      </c>
      <c r="B382" s="18">
        <v>45705.708287037036</v>
      </c>
      <c r="C382" s="2" t="s">
        <v>353</v>
      </c>
      <c r="D382" s="2" t="s">
        <v>293</v>
      </c>
      <c r="E382" s="2" t="s">
        <v>369</v>
      </c>
      <c r="F382" s="2" t="s">
        <v>35</v>
      </c>
      <c r="G382" s="3">
        <v>525000</v>
      </c>
      <c r="H382" s="8">
        <v>10</v>
      </c>
      <c r="I382" s="3">
        <v>3150000</v>
      </c>
      <c r="J382" s="3">
        <v>3150000</v>
      </c>
    </row>
    <row r="383" spans="1:10" x14ac:dyDescent="0.25">
      <c r="A383" s="2">
        <v>383</v>
      </c>
      <c r="B383" s="18">
        <v>45705.708287037036</v>
      </c>
      <c r="C383" s="2" t="s">
        <v>353</v>
      </c>
      <c r="D383" s="2" t="s">
        <v>303</v>
      </c>
      <c r="E383" s="2" t="s">
        <v>366</v>
      </c>
      <c r="F383" s="2" t="s">
        <v>33</v>
      </c>
      <c r="G383" s="3">
        <v>485000</v>
      </c>
      <c r="H383" s="8">
        <v>20</v>
      </c>
      <c r="I383" s="3">
        <v>4750000.081</v>
      </c>
      <c r="J383" s="3">
        <v>4750000.081</v>
      </c>
    </row>
    <row r="384" spans="1:10" x14ac:dyDescent="0.25">
      <c r="A384" s="2">
        <v>384</v>
      </c>
      <c r="B384" s="18">
        <v>45705.708287037036</v>
      </c>
      <c r="C384" s="2" t="s">
        <v>353</v>
      </c>
      <c r="D384" s="2" t="s">
        <v>86</v>
      </c>
      <c r="E384" s="2" t="s">
        <v>369</v>
      </c>
      <c r="F384" s="2" t="s">
        <v>33</v>
      </c>
      <c r="G384" s="3">
        <v>485000</v>
      </c>
      <c r="H384" s="8">
        <v>20</v>
      </c>
      <c r="I384" s="3">
        <v>4850000</v>
      </c>
      <c r="J384" s="3">
        <v>4850000</v>
      </c>
    </row>
    <row r="385" spans="1:10" x14ac:dyDescent="0.25">
      <c r="A385" s="2">
        <v>385</v>
      </c>
      <c r="B385" s="18">
        <v>45705.708287037036</v>
      </c>
      <c r="C385" s="2" t="s">
        <v>353</v>
      </c>
      <c r="D385" s="2" t="s">
        <v>86</v>
      </c>
      <c r="E385" s="2" t="s">
        <v>369</v>
      </c>
      <c r="F385" s="2" t="s">
        <v>59</v>
      </c>
      <c r="G385" s="3">
        <v>475000</v>
      </c>
      <c r="H385" s="8">
        <v>10</v>
      </c>
      <c r="I385" s="3">
        <v>2375000</v>
      </c>
      <c r="J385" s="3">
        <v>2375000</v>
      </c>
    </row>
    <row r="386" spans="1:10" x14ac:dyDescent="0.25">
      <c r="A386" s="2">
        <v>386</v>
      </c>
      <c r="B386" s="18">
        <v>45705.708287037036</v>
      </c>
      <c r="C386" s="2" t="s">
        <v>353</v>
      </c>
      <c r="D386" s="2" t="s">
        <v>86</v>
      </c>
      <c r="E386" s="2" t="s">
        <v>369</v>
      </c>
      <c r="F386" s="2" t="s">
        <v>63</v>
      </c>
      <c r="G386" s="3">
        <v>550000</v>
      </c>
      <c r="H386" s="8">
        <v>10</v>
      </c>
      <c r="I386" s="3">
        <v>2750000</v>
      </c>
      <c r="J386" s="3">
        <v>2750000</v>
      </c>
    </row>
    <row r="387" spans="1:10" x14ac:dyDescent="0.25">
      <c r="A387" s="2">
        <v>387</v>
      </c>
      <c r="B387" s="18">
        <v>45705.708287037036</v>
      </c>
      <c r="C387" s="2" t="s">
        <v>353</v>
      </c>
      <c r="D387" s="2" t="s">
        <v>86</v>
      </c>
      <c r="E387" s="2" t="s">
        <v>369</v>
      </c>
      <c r="F387" s="2" t="s">
        <v>25</v>
      </c>
      <c r="G387" s="3">
        <v>890000</v>
      </c>
      <c r="H387" s="8">
        <v>5</v>
      </c>
      <c r="I387" s="3">
        <v>2225000</v>
      </c>
      <c r="J387" s="3">
        <v>2225000</v>
      </c>
    </row>
    <row r="388" spans="1:10" x14ac:dyDescent="0.25">
      <c r="A388" s="2">
        <v>388</v>
      </c>
      <c r="B388" s="18">
        <v>45705.708287037036</v>
      </c>
      <c r="C388" s="2" t="s">
        <v>353</v>
      </c>
      <c r="D388" s="2" t="s">
        <v>109</v>
      </c>
      <c r="E388" s="2" t="s">
        <v>367</v>
      </c>
      <c r="F388" s="2" t="s">
        <v>59</v>
      </c>
      <c r="G388" s="3">
        <v>475000</v>
      </c>
      <c r="H388" s="8">
        <v>11</v>
      </c>
      <c r="I388" s="3">
        <v>3396250</v>
      </c>
      <c r="J388" s="3">
        <v>3396250</v>
      </c>
    </row>
    <row r="389" spans="1:10" x14ac:dyDescent="0.25">
      <c r="A389" s="2">
        <v>389</v>
      </c>
      <c r="B389" s="18">
        <v>45705.708287037036</v>
      </c>
      <c r="C389" s="2" t="s">
        <v>353</v>
      </c>
      <c r="D389" s="2" t="s">
        <v>109</v>
      </c>
      <c r="E389" s="2" t="s">
        <v>367</v>
      </c>
      <c r="F389" s="2" t="s">
        <v>33</v>
      </c>
      <c r="G389" s="3">
        <v>485000</v>
      </c>
      <c r="H389" s="8">
        <v>12</v>
      </c>
      <c r="I389" s="3">
        <v>3783000</v>
      </c>
      <c r="J389" s="3">
        <v>3783000</v>
      </c>
    </row>
    <row r="390" spans="1:10" x14ac:dyDescent="0.25">
      <c r="A390" s="2">
        <v>390</v>
      </c>
      <c r="B390" s="18">
        <v>45705.708287037036</v>
      </c>
      <c r="C390" s="2" t="s">
        <v>353</v>
      </c>
      <c r="D390" s="2" t="s">
        <v>109</v>
      </c>
      <c r="E390" s="2" t="s">
        <v>367</v>
      </c>
      <c r="F390" s="2" t="s">
        <v>23</v>
      </c>
      <c r="G390" s="3">
        <v>775000</v>
      </c>
      <c r="H390" s="8">
        <v>8</v>
      </c>
      <c r="I390" s="3">
        <v>4030000</v>
      </c>
      <c r="J390" s="3">
        <v>4030000</v>
      </c>
    </row>
    <row r="391" spans="1:10" x14ac:dyDescent="0.25">
      <c r="A391" s="2">
        <v>391</v>
      </c>
      <c r="B391" s="18">
        <v>45705.708287037036</v>
      </c>
      <c r="C391" s="2" t="s">
        <v>353</v>
      </c>
      <c r="D391" s="2" t="s">
        <v>109</v>
      </c>
      <c r="E391" s="2" t="s">
        <v>367</v>
      </c>
      <c r="F391" s="2" t="s">
        <v>89</v>
      </c>
      <c r="G391" s="3">
        <v>390000</v>
      </c>
      <c r="H391" s="8">
        <v>6</v>
      </c>
      <c r="I391" s="3">
        <v>0</v>
      </c>
      <c r="J391" s="3">
        <v>0</v>
      </c>
    </row>
    <row r="392" spans="1:10" x14ac:dyDescent="0.25">
      <c r="A392" s="2">
        <v>392</v>
      </c>
      <c r="B392" s="18">
        <v>45705.708287037036</v>
      </c>
      <c r="C392" s="2" t="s">
        <v>353</v>
      </c>
      <c r="D392" s="2" t="s">
        <v>109</v>
      </c>
      <c r="E392" s="2" t="s">
        <v>367</v>
      </c>
      <c r="F392" s="2" t="s">
        <v>47</v>
      </c>
      <c r="G392" s="3">
        <v>200000</v>
      </c>
      <c r="H392" s="8">
        <v>9</v>
      </c>
      <c r="I392" s="3">
        <v>0</v>
      </c>
      <c r="J392" s="3">
        <v>0</v>
      </c>
    </row>
    <row r="393" spans="1:10" x14ac:dyDescent="0.25">
      <c r="A393" s="2">
        <v>393</v>
      </c>
      <c r="B393" s="18">
        <v>45705.708287037036</v>
      </c>
      <c r="C393" s="2" t="s">
        <v>353</v>
      </c>
      <c r="D393" s="2" t="s">
        <v>48</v>
      </c>
      <c r="E393" s="2" t="s">
        <v>367</v>
      </c>
      <c r="F393" s="2" t="s">
        <v>35</v>
      </c>
      <c r="G393" s="3">
        <v>525000</v>
      </c>
      <c r="H393" s="8">
        <v>1</v>
      </c>
      <c r="I393" s="3">
        <v>262500</v>
      </c>
      <c r="J393" s="3">
        <v>262500</v>
      </c>
    </row>
    <row r="394" spans="1:10" x14ac:dyDescent="0.25">
      <c r="A394" s="2">
        <v>394</v>
      </c>
      <c r="B394" s="18">
        <v>45705.708287037036</v>
      </c>
      <c r="C394" s="2" t="s">
        <v>353</v>
      </c>
      <c r="D394" s="2" t="s">
        <v>48</v>
      </c>
      <c r="E394" s="2" t="s">
        <v>367</v>
      </c>
      <c r="F394" s="2" t="s">
        <v>19</v>
      </c>
      <c r="G394" s="3">
        <v>590000</v>
      </c>
      <c r="H394" s="8">
        <v>1</v>
      </c>
      <c r="I394" s="3">
        <v>295000</v>
      </c>
      <c r="J394" s="3">
        <v>295000</v>
      </c>
    </row>
    <row r="395" spans="1:10" x14ac:dyDescent="0.25">
      <c r="A395" s="2">
        <v>395</v>
      </c>
      <c r="B395" s="18">
        <v>45705.708287037036</v>
      </c>
      <c r="C395" s="2" t="s">
        <v>353</v>
      </c>
      <c r="D395" s="2" t="s">
        <v>303</v>
      </c>
      <c r="E395" s="2" t="s">
        <v>366</v>
      </c>
      <c r="F395" s="2" t="s">
        <v>91</v>
      </c>
      <c r="G395" s="3">
        <v>750000</v>
      </c>
      <c r="H395" s="8">
        <v>1</v>
      </c>
      <c r="I395" s="3">
        <v>0</v>
      </c>
      <c r="J395" s="3">
        <v>0</v>
      </c>
    </row>
    <row r="396" spans="1:10" x14ac:dyDescent="0.25">
      <c r="A396" s="2">
        <v>396</v>
      </c>
      <c r="B396" s="18">
        <v>45705.708287037036</v>
      </c>
      <c r="C396" s="2" t="s">
        <v>353</v>
      </c>
      <c r="D396" s="2" t="s">
        <v>290</v>
      </c>
      <c r="E396" s="2" t="s">
        <v>367</v>
      </c>
      <c r="F396" s="2" t="s">
        <v>19</v>
      </c>
      <c r="G396" s="3">
        <v>590000</v>
      </c>
      <c r="H396" s="8">
        <v>5</v>
      </c>
      <c r="I396" s="3">
        <v>1859000.025</v>
      </c>
      <c r="J396" s="3">
        <v>1766050.02375</v>
      </c>
    </row>
    <row r="397" spans="1:10" x14ac:dyDescent="0.25">
      <c r="A397" s="2">
        <v>397</v>
      </c>
      <c r="B397" s="18">
        <v>45705.708287037036</v>
      </c>
      <c r="C397" s="2" t="s">
        <v>353</v>
      </c>
      <c r="D397" s="2" t="s">
        <v>290</v>
      </c>
      <c r="E397" s="2" t="s">
        <v>367</v>
      </c>
      <c r="F397" s="2" t="s">
        <v>29</v>
      </c>
      <c r="G397" s="3">
        <v>590000</v>
      </c>
      <c r="H397" s="8">
        <v>5</v>
      </c>
      <c r="I397" s="3">
        <v>1859000.025</v>
      </c>
      <c r="J397" s="3">
        <v>1766050.02375</v>
      </c>
    </row>
    <row r="398" spans="1:10" x14ac:dyDescent="0.25">
      <c r="A398" s="2">
        <v>398</v>
      </c>
      <c r="B398" s="18">
        <v>45705.708287037036</v>
      </c>
      <c r="C398" s="2" t="s">
        <v>353</v>
      </c>
      <c r="D398" s="2" t="s">
        <v>290</v>
      </c>
      <c r="E398" s="2" t="s">
        <v>367</v>
      </c>
      <c r="F398" s="2" t="s">
        <v>33</v>
      </c>
      <c r="G398" s="3">
        <v>485000</v>
      </c>
      <c r="H398" s="8">
        <v>5</v>
      </c>
      <c r="I398" s="3">
        <v>1867250</v>
      </c>
      <c r="J398" s="3">
        <v>1773887.5</v>
      </c>
    </row>
    <row r="399" spans="1:10" x14ac:dyDescent="0.25">
      <c r="A399" s="2">
        <v>399</v>
      </c>
      <c r="B399" s="18">
        <v>45705.708287037036</v>
      </c>
      <c r="C399" s="2" t="s">
        <v>353</v>
      </c>
      <c r="D399" s="2" t="s">
        <v>290</v>
      </c>
      <c r="E399" s="2" t="s">
        <v>367</v>
      </c>
      <c r="F399" s="2" t="s">
        <v>25</v>
      </c>
      <c r="G399" s="3">
        <v>890000</v>
      </c>
      <c r="H399" s="8">
        <v>5</v>
      </c>
      <c r="I399" s="3">
        <v>3114000.085</v>
      </c>
      <c r="J399" s="3">
        <v>2958300.0807499997</v>
      </c>
    </row>
    <row r="400" spans="1:10" x14ac:dyDescent="0.25">
      <c r="A400" s="2">
        <v>400</v>
      </c>
      <c r="B400" s="18">
        <v>45705.708287037036</v>
      </c>
      <c r="C400" s="2" t="s">
        <v>353</v>
      </c>
      <c r="D400" s="2" t="s">
        <v>290</v>
      </c>
      <c r="E400" s="2" t="s">
        <v>367</v>
      </c>
      <c r="F400" s="2" t="s">
        <v>59</v>
      </c>
      <c r="G400" s="3">
        <v>475000</v>
      </c>
      <c r="H400" s="8">
        <v>5</v>
      </c>
      <c r="I400" s="3">
        <v>1828750</v>
      </c>
      <c r="J400" s="3">
        <v>1737312.5</v>
      </c>
    </row>
    <row r="401" spans="1:10" x14ac:dyDescent="0.25">
      <c r="A401" s="2">
        <v>401</v>
      </c>
      <c r="B401" s="18">
        <v>45705.708287037036</v>
      </c>
      <c r="C401" s="2" t="s">
        <v>353</v>
      </c>
      <c r="D401" s="2" t="s">
        <v>290</v>
      </c>
      <c r="E401" s="2" t="s">
        <v>367</v>
      </c>
      <c r="F401" s="2" t="s">
        <v>11</v>
      </c>
      <c r="G401" s="3">
        <v>-75000</v>
      </c>
      <c r="H401" s="8">
        <v>5</v>
      </c>
      <c r="I401" s="3">
        <v>-375000</v>
      </c>
      <c r="J401" s="3">
        <v>-356250</v>
      </c>
    </row>
    <row r="402" spans="1:10" x14ac:dyDescent="0.25">
      <c r="A402" s="2">
        <v>402</v>
      </c>
      <c r="B402" s="18">
        <v>45706.708287037036</v>
      </c>
      <c r="C402" s="2" t="s">
        <v>353</v>
      </c>
      <c r="D402" s="2" t="s">
        <v>48</v>
      </c>
      <c r="E402" s="2" t="s">
        <v>367</v>
      </c>
      <c r="F402" s="2" t="s">
        <v>31</v>
      </c>
      <c r="G402" s="3">
        <v>745000</v>
      </c>
      <c r="H402" s="8">
        <v>1</v>
      </c>
      <c r="I402" s="3">
        <v>320000.0735</v>
      </c>
      <c r="J402" s="3">
        <v>320000.0735</v>
      </c>
    </row>
    <row r="403" spans="1:10" x14ac:dyDescent="0.25">
      <c r="A403" s="2">
        <v>403</v>
      </c>
      <c r="B403" s="18">
        <v>43881.70833333333</v>
      </c>
      <c r="C403" s="2" t="s">
        <v>418</v>
      </c>
      <c r="D403" s="2" t="s">
        <v>267</v>
      </c>
      <c r="E403" s="2" t="s">
        <v>371</v>
      </c>
      <c r="F403" s="2" t="s">
        <v>27</v>
      </c>
      <c r="G403" s="3">
        <v>935000</v>
      </c>
      <c r="H403" s="8">
        <v>114</v>
      </c>
      <c r="I403" s="3">
        <v>53295000</v>
      </c>
      <c r="J403" s="3">
        <v>53295000</v>
      </c>
    </row>
    <row r="404" spans="1:10" x14ac:dyDescent="0.25">
      <c r="A404" s="2">
        <v>404</v>
      </c>
      <c r="B404" s="18">
        <v>45708.708287037036</v>
      </c>
      <c r="C404" s="2" t="s">
        <v>353</v>
      </c>
      <c r="D404" s="2" t="s">
        <v>268</v>
      </c>
      <c r="E404" s="2" t="s">
        <v>371</v>
      </c>
      <c r="F404" s="2" t="s">
        <v>27</v>
      </c>
      <c r="G404" s="3">
        <v>935000</v>
      </c>
      <c r="H404" s="8">
        <v>23</v>
      </c>
      <c r="I404" s="3">
        <v>10752500</v>
      </c>
      <c r="J404" s="3">
        <v>10752500</v>
      </c>
    </row>
    <row r="405" spans="1:10" x14ac:dyDescent="0.25">
      <c r="A405" s="2">
        <v>405</v>
      </c>
      <c r="B405" s="18">
        <v>45708.708287037036</v>
      </c>
      <c r="C405" s="2" t="s">
        <v>353</v>
      </c>
      <c r="D405" s="2" t="s">
        <v>48</v>
      </c>
      <c r="E405" s="2" t="s">
        <v>367</v>
      </c>
      <c r="F405" s="2" t="s">
        <v>51</v>
      </c>
      <c r="G405" s="3">
        <v>465000</v>
      </c>
      <c r="H405" s="8">
        <v>5</v>
      </c>
      <c r="I405" s="3">
        <v>600000.0090000001</v>
      </c>
      <c r="J405" s="3">
        <v>600000.0090000001</v>
      </c>
    </row>
    <row r="406" spans="1:10" x14ac:dyDescent="0.25">
      <c r="A406" s="2">
        <v>406</v>
      </c>
      <c r="B406" s="18">
        <v>45708.708287037036</v>
      </c>
      <c r="C406" s="2" t="s">
        <v>353</v>
      </c>
      <c r="D406" s="2" t="s">
        <v>270</v>
      </c>
      <c r="E406" s="2" t="s">
        <v>367</v>
      </c>
      <c r="F406" s="2" t="s">
        <v>29</v>
      </c>
      <c r="G406" s="3">
        <v>590000</v>
      </c>
      <c r="H406" s="8">
        <v>5</v>
      </c>
      <c r="I406" s="3">
        <v>1855000.002</v>
      </c>
      <c r="J406" s="3">
        <v>1855000.002</v>
      </c>
    </row>
    <row r="407" spans="1:10" x14ac:dyDescent="0.25">
      <c r="A407" s="2">
        <v>407</v>
      </c>
      <c r="B407" s="18">
        <v>45708.708287037036</v>
      </c>
      <c r="C407" s="2" t="s">
        <v>353</v>
      </c>
      <c r="D407" s="2" t="s">
        <v>270</v>
      </c>
      <c r="E407" s="2" t="s">
        <v>367</v>
      </c>
      <c r="F407" s="2" t="s">
        <v>19</v>
      </c>
      <c r="G407" s="3">
        <v>590000</v>
      </c>
      <c r="H407" s="8">
        <v>5</v>
      </c>
      <c r="I407" s="3">
        <v>1855000.002</v>
      </c>
      <c r="J407" s="3">
        <v>1855000.002</v>
      </c>
    </row>
    <row r="408" spans="1:10" x14ac:dyDescent="0.25">
      <c r="A408" s="2">
        <v>408</v>
      </c>
      <c r="B408" s="18">
        <v>45711.708287037036</v>
      </c>
      <c r="C408" s="2" t="s">
        <v>353</v>
      </c>
      <c r="D408" s="2" t="s">
        <v>253</v>
      </c>
      <c r="E408" s="2" t="s">
        <v>370</v>
      </c>
      <c r="F408" s="2" t="s">
        <v>51</v>
      </c>
      <c r="G408" s="3">
        <v>465000</v>
      </c>
      <c r="H408" s="8">
        <v>2</v>
      </c>
      <c r="I408" s="3">
        <v>0</v>
      </c>
      <c r="J408" s="3">
        <v>0</v>
      </c>
    </row>
    <row r="409" spans="1:10" x14ac:dyDescent="0.25">
      <c r="A409" s="2">
        <v>409</v>
      </c>
      <c r="B409" s="18">
        <v>45711.708287037036</v>
      </c>
      <c r="C409" s="2" t="s">
        <v>353</v>
      </c>
      <c r="D409" s="2" t="s">
        <v>253</v>
      </c>
      <c r="E409" s="2" t="s">
        <v>370</v>
      </c>
      <c r="F409" s="2" t="s">
        <v>85</v>
      </c>
      <c r="G409" s="3">
        <v>480000</v>
      </c>
      <c r="H409" s="8">
        <v>2</v>
      </c>
      <c r="I409" s="3">
        <v>0</v>
      </c>
      <c r="J409" s="3">
        <v>0</v>
      </c>
    </row>
    <row r="410" spans="1:10" x14ac:dyDescent="0.25">
      <c r="A410" s="2">
        <v>410</v>
      </c>
      <c r="B410" s="18">
        <v>45711.708287037036</v>
      </c>
      <c r="C410" s="2" t="s">
        <v>353</v>
      </c>
      <c r="D410" s="2" t="s">
        <v>253</v>
      </c>
      <c r="E410" s="2" t="s">
        <v>370</v>
      </c>
      <c r="F410" s="2" t="s">
        <v>25</v>
      </c>
      <c r="G410" s="3">
        <v>890000</v>
      </c>
      <c r="H410" s="8">
        <v>1</v>
      </c>
      <c r="I410" s="3">
        <v>0</v>
      </c>
      <c r="J410" s="3">
        <v>0</v>
      </c>
    </row>
    <row r="411" spans="1:10" x14ac:dyDescent="0.25">
      <c r="A411" s="2">
        <v>411</v>
      </c>
      <c r="B411" s="18">
        <v>45711.708287037036</v>
      </c>
      <c r="C411" s="2" t="s">
        <v>353</v>
      </c>
      <c r="D411" s="2" t="s">
        <v>253</v>
      </c>
      <c r="E411" s="2" t="s">
        <v>370</v>
      </c>
      <c r="F411" s="2" t="s">
        <v>91</v>
      </c>
      <c r="G411" s="3">
        <v>750000</v>
      </c>
      <c r="H411" s="8">
        <v>1</v>
      </c>
      <c r="I411" s="3">
        <v>0</v>
      </c>
      <c r="J411" s="3">
        <v>0</v>
      </c>
    </row>
    <row r="412" spans="1:10" x14ac:dyDescent="0.25">
      <c r="A412" s="2">
        <v>412</v>
      </c>
      <c r="B412" s="18">
        <v>45711.708287037036</v>
      </c>
      <c r="C412" s="2" t="s">
        <v>353</v>
      </c>
      <c r="D412" s="2" t="s">
        <v>253</v>
      </c>
      <c r="E412" s="2" t="s">
        <v>370</v>
      </c>
      <c r="F412" s="2" t="s">
        <v>71</v>
      </c>
      <c r="G412" s="3">
        <v>850000</v>
      </c>
      <c r="H412" s="8">
        <v>1</v>
      </c>
      <c r="I412" s="3">
        <v>0</v>
      </c>
      <c r="J412" s="3">
        <v>0</v>
      </c>
    </row>
    <row r="413" spans="1:10" x14ac:dyDescent="0.25">
      <c r="A413" s="2">
        <v>413</v>
      </c>
      <c r="B413" s="18">
        <v>45713.708287037036</v>
      </c>
      <c r="C413" s="2" t="s">
        <v>353</v>
      </c>
      <c r="D413" s="2" t="s">
        <v>303</v>
      </c>
      <c r="E413" s="2" t="s">
        <v>366</v>
      </c>
      <c r="F413" s="2" t="s">
        <v>33</v>
      </c>
      <c r="G413" s="3">
        <v>485000</v>
      </c>
      <c r="H413" s="8">
        <v>20</v>
      </c>
      <c r="I413" s="3">
        <v>4750000.081</v>
      </c>
      <c r="J413" s="3">
        <v>4750000.081</v>
      </c>
    </row>
    <row r="414" spans="1:10" x14ac:dyDescent="0.25">
      <c r="A414" s="2">
        <v>414</v>
      </c>
      <c r="B414" s="18">
        <v>45713.708287037036</v>
      </c>
      <c r="C414" s="2" t="s">
        <v>353</v>
      </c>
      <c r="D414" s="2" t="s">
        <v>48</v>
      </c>
      <c r="E414" s="2" t="s">
        <v>367</v>
      </c>
      <c r="F414" s="2" t="s">
        <v>25</v>
      </c>
      <c r="G414" s="3">
        <v>890000</v>
      </c>
      <c r="H414" s="8">
        <v>1</v>
      </c>
      <c r="I414" s="3">
        <v>445000</v>
      </c>
      <c r="J414" s="3">
        <v>445000</v>
      </c>
    </row>
    <row r="415" spans="1:10" x14ac:dyDescent="0.25">
      <c r="A415" s="2">
        <v>415</v>
      </c>
      <c r="B415" s="18">
        <v>45713.708287037036</v>
      </c>
      <c r="C415" s="2" t="s">
        <v>353</v>
      </c>
      <c r="D415" s="2" t="s">
        <v>268</v>
      </c>
      <c r="E415" s="2" t="s">
        <v>371</v>
      </c>
      <c r="F415" s="2" t="s">
        <v>85</v>
      </c>
      <c r="G415" s="3">
        <v>480000</v>
      </c>
      <c r="H415" s="8">
        <v>52</v>
      </c>
      <c r="I415" s="3">
        <v>0</v>
      </c>
      <c r="J415" s="3">
        <v>0</v>
      </c>
    </row>
    <row r="416" spans="1:10" x14ac:dyDescent="0.25">
      <c r="A416" s="2">
        <v>416</v>
      </c>
      <c r="B416" s="18">
        <v>45713.708287037036</v>
      </c>
      <c r="C416" s="2" t="s">
        <v>353</v>
      </c>
      <c r="D416" s="2" t="s">
        <v>268</v>
      </c>
      <c r="E416" s="2" t="s">
        <v>371</v>
      </c>
      <c r="F416" s="2" t="s">
        <v>85</v>
      </c>
      <c r="G416" s="3">
        <v>480000</v>
      </c>
      <c r="H416" s="8">
        <v>208</v>
      </c>
      <c r="I416" s="3">
        <v>41932800</v>
      </c>
      <c r="J416" s="3">
        <v>41932800</v>
      </c>
    </row>
    <row r="417" spans="1:10" x14ac:dyDescent="0.25">
      <c r="A417" s="2">
        <v>417</v>
      </c>
      <c r="B417" s="18">
        <v>45714.708287037036</v>
      </c>
      <c r="C417" s="2" t="s">
        <v>353</v>
      </c>
      <c r="D417" s="2" t="s">
        <v>267</v>
      </c>
      <c r="E417" s="2" t="s">
        <v>371</v>
      </c>
      <c r="F417" s="2" t="s">
        <v>85</v>
      </c>
      <c r="G417" s="3">
        <v>480000</v>
      </c>
      <c r="H417" s="8">
        <v>160</v>
      </c>
      <c r="I417" s="3">
        <v>0</v>
      </c>
      <c r="J417" s="3">
        <v>0</v>
      </c>
    </row>
    <row r="418" spans="1:10" x14ac:dyDescent="0.25">
      <c r="A418" s="2">
        <v>418</v>
      </c>
      <c r="B418" s="18">
        <v>45714.708287037036</v>
      </c>
      <c r="C418" s="2" t="s">
        <v>353</v>
      </c>
      <c r="D418" s="2" t="s">
        <v>267</v>
      </c>
      <c r="E418" s="2" t="s">
        <v>371</v>
      </c>
      <c r="F418" s="2" t="s">
        <v>85</v>
      </c>
      <c r="G418" s="3">
        <v>480000</v>
      </c>
      <c r="H418" s="8">
        <v>640</v>
      </c>
      <c r="I418" s="3">
        <v>129024000</v>
      </c>
      <c r="J418" s="3">
        <v>129024000</v>
      </c>
    </row>
    <row r="419" spans="1:10" x14ac:dyDescent="0.25">
      <c r="A419" s="2">
        <v>419</v>
      </c>
      <c r="B419" s="18">
        <v>45714.708287037036</v>
      </c>
      <c r="C419" s="2" t="s">
        <v>353</v>
      </c>
      <c r="D419" s="2" t="s">
        <v>337</v>
      </c>
      <c r="E419" s="2" t="s">
        <v>363</v>
      </c>
      <c r="F419" s="2" t="s">
        <v>19</v>
      </c>
      <c r="G419" s="3">
        <v>590000</v>
      </c>
      <c r="H419" s="8">
        <v>0</v>
      </c>
      <c r="I419" s="3">
        <v>0</v>
      </c>
      <c r="J419" s="3">
        <v>0</v>
      </c>
    </row>
    <row r="420" spans="1:10" x14ac:dyDescent="0.25">
      <c r="A420" s="2">
        <v>420</v>
      </c>
      <c r="B420" s="18">
        <v>45714.708287037036</v>
      </c>
      <c r="C420" s="2" t="s">
        <v>353</v>
      </c>
      <c r="D420" s="2" t="s">
        <v>337</v>
      </c>
      <c r="E420" s="2" t="s">
        <v>363</v>
      </c>
      <c r="F420" s="2" t="s">
        <v>19</v>
      </c>
      <c r="G420" s="3">
        <v>590000</v>
      </c>
      <c r="H420" s="8">
        <v>0</v>
      </c>
      <c r="I420" s="3">
        <v>0</v>
      </c>
      <c r="J420" s="3">
        <v>0</v>
      </c>
    </row>
    <row r="421" spans="1:10" x14ac:dyDescent="0.25">
      <c r="A421" s="2">
        <v>421</v>
      </c>
      <c r="B421" s="18">
        <v>45714.708287037036</v>
      </c>
      <c r="C421" s="2" t="s">
        <v>353</v>
      </c>
      <c r="D421" s="2" t="s">
        <v>337</v>
      </c>
      <c r="E421" s="2" t="s">
        <v>363</v>
      </c>
      <c r="F421" s="2" t="s">
        <v>419</v>
      </c>
      <c r="G421" s="3">
        <v>-82500</v>
      </c>
      <c r="H421" s="8">
        <v>0</v>
      </c>
      <c r="I421" s="3">
        <v>0</v>
      </c>
      <c r="J421" s="3">
        <v>0</v>
      </c>
    </row>
    <row r="422" spans="1:10" x14ac:dyDescent="0.25">
      <c r="A422" s="2">
        <v>422</v>
      </c>
      <c r="B422" s="18">
        <v>45714.708287037036</v>
      </c>
      <c r="C422" s="2" t="s">
        <v>353</v>
      </c>
      <c r="D422" s="2" t="s">
        <v>337</v>
      </c>
      <c r="E422" s="2" t="s">
        <v>363</v>
      </c>
      <c r="F422" s="2" t="s">
        <v>33</v>
      </c>
      <c r="G422" s="3">
        <v>485000</v>
      </c>
      <c r="H422" s="8">
        <v>0</v>
      </c>
      <c r="I422" s="3">
        <v>0</v>
      </c>
      <c r="J422" s="3">
        <v>0</v>
      </c>
    </row>
    <row r="423" spans="1:10" x14ac:dyDescent="0.25">
      <c r="A423" s="2">
        <v>423</v>
      </c>
      <c r="B423" s="18">
        <v>45714.708287037036</v>
      </c>
      <c r="C423" s="2" t="s">
        <v>353</v>
      </c>
      <c r="D423" s="2" t="s">
        <v>337</v>
      </c>
      <c r="E423" s="2" t="s">
        <v>363</v>
      </c>
      <c r="F423" s="2" t="s">
        <v>33</v>
      </c>
      <c r="G423" s="3">
        <v>485000</v>
      </c>
      <c r="H423" s="8">
        <v>0</v>
      </c>
      <c r="I423" s="3">
        <v>0</v>
      </c>
      <c r="J423" s="3">
        <v>0</v>
      </c>
    </row>
    <row r="424" spans="1:10" x14ac:dyDescent="0.25">
      <c r="A424" s="2">
        <v>424</v>
      </c>
      <c r="B424" s="18">
        <v>45714.708287037036</v>
      </c>
      <c r="C424" s="2" t="s">
        <v>353</v>
      </c>
      <c r="D424" s="2" t="s">
        <v>337</v>
      </c>
      <c r="E424" s="2" t="s">
        <v>363</v>
      </c>
      <c r="F424" s="2" t="s">
        <v>59</v>
      </c>
      <c r="G424" s="3">
        <v>475000</v>
      </c>
      <c r="H424" s="8">
        <v>0</v>
      </c>
      <c r="I424" s="3">
        <v>0</v>
      </c>
      <c r="J424" s="3">
        <v>0</v>
      </c>
    </row>
    <row r="425" spans="1:10" x14ac:dyDescent="0.25">
      <c r="A425" s="2">
        <v>425</v>
      </c>
      <c r="B425" s="18">
        <v>45714.708287037036</v>
      </c>
      <c r="C425" s="2" t="s">
        <v>353</v>
      </c>
      <c r="D425" s="2" t="s">
        <v>337</v>
      </c>
      <c r="E425" s="2" t="s">
        <v>363</v>
      </c>
      <c r="F425" s="2" t="s">
        <v>59</v>
      </c>
      <c r="G425" s="3">
        <v>475000</v>
      </c>
      <c r="H425" s="8">
        <v>0</v>
      </c>
      <c r="I425" s="3">
        <v>0</v>
      </c>
      <c r="J425" s="3">
        <v>0</v>
      </c>
    </row>
    <row r="426" spans="1:10" x14ac:dyDescent="0.25">
      <c r="A426" s="2">
        <v>426</v>
      </c>
      <c r="B426" s="18">
        <v>45714.708287037036</v>
      </c>
      <c r="C426" s="2" t="s">
        <v>353</v>
      </c>
      <c r="D426" s="2" t="s">
        <v>337</v>
      </c>
      <c r="E426" s="2" t="s">
        <v>363</v>
      </c>
      <c r="F426" s="2" t="s">
        <v>11</v>
      </c>
      <c r="G426" s="3">
        <v>-75000</v>
      </c>
      <c r="H426" s="8">
        <v>0</v>
      </c>
      <c r="I426" s="3">
        <v>0</v>
      </c>
      <c r="J426" s="3">
        <v>0</v>
      </c>
    </row>
    <row r="427" spans="1:10" x14ac:dyDescent="0.25">
      <c r="A427" s="2">
        <v>427</v>
      </c>
      <c r="B427" s="18">
        <v>45714.708287037036</v>
      </c>
      <c r="C427" s="2" t="s">
        <v>353</v>
      </c>
      <c r="D427" s="2" t="s">
        <v>337</v>
      </c>
      <c r="E427" s="2" t="s">
        <v>363</v>
      </c>
      <c r="F427" s="2" t="s">
        <v>31</v>
      </c>
      <c r="G427" s="3">
        <v>745000</v>
      </c>
      <c r="H427" s="8">
        <v>0</v>
      </c>
      <c r="I427" s="3">
        <v>0</v>
      </c>
      <c r="J427" s="3">
        <v>0</v>
      </c>
    </row>
    <row r="428" spans="1:10" x14ac:dyDescent="0.25">
      <c r="A428" s="2">
        <v>428</v>
      </c>
      <c r="B428" s="18">
        <v>45714.708287037036</v>
      </c>
      <c r="C428" s="2" t="s">
        <v>353</v>
      </c>
      <c r="D428" s="2" t="s">
        <v>337</v>
      </c>
      <c r="E428" s="2" t="s">
        <v>363</v>
      </c>
      <c r="F428" s="2" t="s">
        <v>31</v>
      </c>
      <c r="G428" s="3">
        <v>745000</v>
      </c>
      <c r="H428" s="8">
        <v>0</v>
      </c>
      <c r="I428" s="3">
        <v>0</v>
      </c>
      <c r="J428" s="3">
        <v>0</v>
      </c>
    </row>
    <row r="429" spans="1:10" x14ac:dyDescent="0.25">
      <c r="A429" s="2">
        <v>429</v>
      </c>
      <c r="B429" s="18">
        <v>45714.708287037036</v>
      </c>
      <c r="C429" s="2" t="s">
        <v>353</v>
      </c>
      <c r="D429" s="2" t="s">
        <v>337</v>
      </c>
      <c r="E429" s="2" t="s">
        <v>363</v>
      </c>
      <c r="F429" s="2" t="s">
        <v>57</v>
      </c>
      <c r="G429" s="3">
        <v>745000</v>
      </c>
      <c r="H429" s="8">
        <v>0</v>
      </c>
      <c r="I429" s="3">
        <v>0</v>
      </c>
      <c r="J429" s="3">
        <v>0</v>
      </c>
    </row>
    <row r="430" spans="1:10" x14ac:dyDescent="0.25">
      <c r="A430" s="2">
        <v>430</v>
      </c>
      <c r="B430" s="18">
        <v>45714.708287037036</v>
      </c>
      <c r="C430" s="2" t="s">
        <v>353</v>
      </c>
      <c r="D430" s="2" t="s">
        <v>337</v>
      </c>
      <c r="E430" s="2" t="s">
        <v>363</v>
      </c>
      <c r="F430" s="2" t="s">
        <v>57</v>
      </c>
      <c r="G430" s="3">
        <v>745000</v>
      </c>
      <c r="H430" s="8">
        <v>0</v>
      </c>
      <c r="I430" s="3">
        <v>0</v>
      </c>
      <c r="J430" s="3">
        <v>0</v>
      </c>
    </row>
    <row r="431" spans="1:10" x14ac:dyDescent="0.25">
      <c r="A431" s="2">
        <v>431</v>
      </c>
      <c r="B431" s="18">
        <v>45714.708287037036</v>
      </c>
      <c r="C431" s="2" t="s">
        <v>353</v>
      </c>
      <c r="D431" s="2" t="s">
        <v>337</v>
      </c>
      <c r="E431" s="2" t="s">
        <v>363</v>
      </c>
      <c r="F431" s="2" t="s">
        <v>420</v>
      </c>
      <c r="G431" s="3">
        <v>-165000</v>
      </c>
      <c r="H431" s="8">
        <v>0</v>
      </c>
      <c r="I431" s="3">
        <v>0</v>
      </c>
      <c r="J431" s="3">
        <v>0</v>
      </c>
    </row>
    <row r="432" spans="1:10" x14ac:dyDescent="0.25">
      <c r="A432" s="2">
        <v>432</v>
      </c>
      <c r="B432" s="18">
        <v>45714.708287037036</v>
      </c>
      <c r="C432" s="2" t="s">
        <v>353</v>
      </c>
      <c r="D432" s="2" t="s">
        <v>337</v>
      </c>
      <c r="E432" s="2" t="s">
        <v>363</v>
      </c>
      <c r="F432" s="2" t="s">
        <v>23</v>
      </c>
      <c r="G432" s="3">
        <v>775000</v>
      </c>
      <c r="H432" s="8">
        <v>0</v>
      </c>
      <c r="I432" s="3">
        <v>0</v>
      </c>
      <c r="J432" s="3">
        <v>0</v>
      </c>
    </row>
    <row r="433" spans="1:10" x14ac:dyDescent="0.25">
      <c r="A433" s="2">
        <v>433</v>
      </c>
      <c r="B433" s="18">
        <v>45714.708287037036</v>
      </c>
      <c r="C433" s="2" t="s">
        <v>353</v>
      </c>
      <c r="D433" s="2" t="s">
        <v>337</v>
      </c>
      <c r="E433" s="2" t="s">
        <v>363</v>
      </c>
      <c r="F433" s="2" t="s">
        <v>23</v>
      </c>
      <c r="G433" s="3">
        <v>775000</v>
      </c>
      <c r="H433" s="8">
        <v>0</v>
      </c>
      <c r="I433" s="3">
        <v>0</v>
      </c>
      <c r="J433" s="3">
        <v>0</v>
      </c>
    </row>
    <row r="434" spans="1:10" x14ac:dyDescent="0.25">
      <c r="A434" s="2">
        <v>434</v>
      </c>
      <c r="B434" s="18">
        <v>45714.708287037036</v>
      </c>
      <c r="C434" s="2" t="s">
        <v>353</v>
      </c>
      <c r="D434" s="2" t="s">
        <v>337</v>
      </c>
      <c r="E434" s="2" t="s">
        <v>363</v>
      </c>
      <c r="F434" s="2" t="s">
        <v>87</v>
      </c>
      <c r="G434" s="3">
        <v>-33807600</v>
      </c>
      <c r="H434" s="8">
        <v>0</v>
      </c>
      <c r="I434" s="3">
        <v>0</v>
      </c>
      <c r="J434" s="3">
        <v>0</v>
      </c>
    </row>
    <row r="435" spans="1:10" x14ac:dyDescent="0.25">
      <c r="A435" s="2">
        <v>435</v>
      </c>
      <c r="B435" s="18">
        <v>45714.708287037036</v>
      </c>
      <c r="C435" s="2" t="s">
        <v>353</v>
      </c>
      <c r="D435" s="2" t="s">
        <v>48</v>
      </c>
      <c r="E435" s="2" t="s">
        <v>367</v>
      </c>
      <c r="F435" s="2" t="s">
        <v>25</v>
      </c>
      <c r="G435" s="3">
        <v>890000</v>
      </c>
      <c r="H435" s="8">
        <v>1</v>
      </c>
      <c r="I435" s="3">
        <v>445000</v>
      </c>
      <c r="J435" s="3">
        <v>445000</v>
      </c>
    </row>
    <row r="436" spans="1:10" x14ac:dyDescent="0.25">
      <c r="A436" s="2">
        <v>436</v>
      </c>
      <c r="B436" s="18">
        <v>45714.708287037036</v>
      </c>
      <c r="C436" s="2" t="s">
        <v>353</v>
      </c>
      <c r="D436" s="2" t="s">
        <v>277</v>
      </c>
      <c r="E436" s="2" t="s">
        <v>369</v>
      </c>
      <c r="F436" s="2" t="s">
        <v>29</v>
      </c>
      <c r="G436" s="3">
        <v>590000</v>
      </c>
      <c r="H436" s="8">
        <v>10</v>
      </c>
      <c r="I436" s="3">
        <v>5900000</v>
      </c>
      <c r="J436" s="3">
        <v>5900000</v>
      </c>
    </row>
    <row r="437" spans="1:10" x14ac:dyDescent="0.25">
      <c r="A437" s="2">
        <v>437</v>
      </c>
      <c r="B437" s="18">
        <v>45714.708287037036</v>
      </c>
      <c r="C437" s="2" t="s">
        <v>353</v>
      </c>
      <c r="D437" s="2" t="s">
        <v>277</v>
      </c>
      <c r="E437" s="2" t="s">
        <v>369</v>
      </c>
      <c r="F437" s="2" t="s">
        <v>29</v>
      </c>
      <c r="G437" s="3">
        <v>590000</v>
      </c>
      <c r="H437" s="8">
        <v>3</v>
      </c>
      <c r="I437" s="3">
        <v>0</v>
      </c>
      <c r="J437" s="3">
        <v>0</v>
      </c>
    </row>
    <row r="438" spans="1:10" x14ac:dyDescent="0.25">
      <c r="A438" s="2">
        <v>438</v>
      </c>
      <c r="B438" s="18">
        <v>45714.708287037036</v>
      </c>
      <c r="C438" s="2" t="s">
        <v>353</v>
      </c>
      <c r="D438" s="2" t="s">
        <v>277</v>
      </c>
      <c r="E438" s="2" t="s">
        <v>369</v>
      </c>
      <c r="F438" s="2" t="s">
        <v>15</v>
      </c>
      <c r="G438" s="3">
        <v>-82500</v>
      </c>
      <c r="H438" s="8">
        <v>10</v>
      </c>
      <c r="I438" s="3">
        <v>-825000</v>
      </c>
      <c r="J438" s="3">
        <v>-825000</v>
      </c>
    </row>
    <row r="439" spans="1:10" x14ac:dyDescent="0.25">
      <c r="A439" s="2">
        <v>439</v>
      </c>
      <c r="B439" s="18">
        <v>45715.708287037036</v>
      </c>
      <c r="C439" s="2" t="s">
        <v>353</v>
      </c>
      <c r="D439" s="2" t="s">
        <v>268</v>
      </c>
      <c r="E439" s="2" t="s">
        <v>371</v>
      </c>
      <c r="F439" s="2" t="s">
        <v>33</v>
      </c>
      <c r="G439" s="3">
        <v>485000</v>
      </c>
      <c r="H439" s="8">
        <v>40</v>
      </c>
      <c r="I439" s="3">
        <v>8730000</v>
      </c>
      <c r="J439" s="3">
        <v>8730000</v>
      </c>
    </row>
    <row r="440" spans="1:10" x14ac:dyDescent="0.25">
      <c r="A440" s="2">
        <v>440</v>
      </c>
      <c r="B440" s="18">
        <v>45715.708287037036</v>
      </c>
      <c r="C440" s="2" t="s">
        <v>353</v>
      </c>
      <c r="D440" s="2" t="s">
        <v>268</v>
      </c>
      <c r="E440" s="2" t="s">
        <v>371</v>
      </c>
      <c r="F440" s="2" t="s">
        <v>31</v>
      </c>
      <c r="G440" s="3">
        <v>745000</v>
      </c>
      <c r="H440" s="8">
        <v>40</v>
      </c>
      <c r="I440" s="3">
        <v>14900000</v>
      </c>
      <c r="J440" s="3">
        <v>14900000</v>
      </c>
    </row>
    <row r="441" spans="1:10" x14ac:dyDescent="0.25">
      <c r="A441" s="2">
        <v>441</v>
      </c>
      <c r="B441" s="18">
        <v>45715.708287037036</v>
      </c>
      <c r="C441" s="2" t="s">
        <v>353</v>
      </c>
      <c r="D441" s="2" t="s">
        <v>268</v>
      </c>
      <c r="E441" s="2" t="s">
        <v>371</v>
      </c>
      <c r="F441" s="2" t="s">
        <v>89</v>
      </c>
      <c r="G441" s="3">
        <v>390000</v>
      </c>
      <c r="H441" s="8">
        <v>12</v>
      </c>
      <c r="I441" s="3">
        <v>0</v>
      </c>
      <c r="J441" s="3">
        <v>0</v>
      </c>
    </row>
    <row r="442" spans="1:10" x14ac:dyDescent="0.25">
      <c r="A442" s="2">
        <v>442</v>
      </c>
      <c r="B442" s="18">
        <v>45715.708287037036</v>
      </c>
      <c r="C442" s="2" t="s">
        <v>353</v>
      </c>
      <c r="D442" s="2" t="s">
        <v>268</v>
      </c>
      <c r="E442" s="2" t="s">
        <v>371</v>
      </c>
      <c r="F442" s="2" t="s">
        <v>25</v>
      </c>
      <c r="G442" s="3">
        <v>890000</v>
      </c>
      <c r="H442" s="8">
        <v>12</v>
      </c>
      <c r="I442" s="3">
        <v>5340000</v>
      </c>
      <c r="J442" s="3">
        <v>5340000</v>
      </c>
    </row>
    <row r="443" spans="1:10" x14ac:dyDescent="0.25">
      <c r="A443" s="2">
        <v>443</v>
      </c>
      <c r="B443" s="18">
        <v>45715.708287037036</v>
      </c>
      <c r="C443" s="2" t="s">
        <v>353</v>
      </c>
      <c r="D443" s="2" t="s">
        <v>267</v>
      </c>
      <c r="E443" s="2" t="s">
        <v>371</v>
      </c>
      <c r="F443" s="2" t="s">
        <v>33</v>
      </c>
      <c r="G443" s="3">
        <v>485000</v>
      </c>
      <c r="H443" s="8">
        <v>80</v>
      </c>
      <c r="I443" s="3">
        <v>17460000</v>
      </c>
      <c r="J443" s="3">
        <v>17460000</v>
      </c>
    </row>
    <row r="444" spans="1:10" x14ac:dyDescent="0.25">
      <c r="A444" s="2">
        <v>444</v>
      </c>
      <c r="B444" s="18">
        <v>45715.708287037036</v>
      </c>
      <c r="C444" s="2" t="s">
        <v>353</v>
      </c>
      <c r="D444" s="2" t="s">
        <v>267</v>
      </c>
      <c r="E444" s="2" t="s">
        <v>371</v>
      </c>
      <c r="F444" s="2" t="s">
        <v>31</v>
      </c>
      <c r="G444" s="3">
        <v>745000</v>
      </c>
      <c r="H444" s="8">
        <v>80</v>
      </c>
      <c r="I444" s="3">
        <v>29800000</v>
      </c>
      <c r="J444" s="3">
        <v>29800000</v>
      </c>
    </row>
    <row r="445" spans="1:10" x14ac:dyDescent="0.25">
      <c r="A445" s="2">
        <v>445</v>
      </c>
      <c r="B445" s="18">
        <v>45715.708287037036</v>
      </c>
      <c r="C445" s="2" t="s">
        <v>353</v>
      </c>
      <c r="D445" s="2" t="s">
        <v>267</v>
      </c>
      <c r="E445" s="2" t="s">
        <v>371</v>
      </c>
      <c r="F445" s="2" t="s">
        <v>89</v>
      </c>
      <c r="G445" s="3">
        <v>390000</v>
      </c>
      <c r="H445" s="8">
        <v>138</v>
      </c>
      <c r="I445" s="3">
        <v>0</v>
      </c>
      <c r="J445" s="3">
        <v>0</v>
      </c>
    </row>
    <row r="446" spans="1:10" x14ac:dyDescent="0.25">
      <c r="A446" s="2">
        <v>446</v>
      </c>
      <c r="B446" s="18">
        <v>45715.708287037036</v>
      </c>
      <c r="C446" s="2" t="s">
        <v>353</v>
      </c>
      <c r="D446" s="2" t="s">
        <v>267</v>
      </c>
      <c r="E446" s="2" t="s">
        <v>371</v>
      </c>
      <c r="F446" s="2" t="s">
        <v>25</v>
      </c>
      <c r="G446" s="3">
        <v>890000</v>
      </c>
      <c r="H446" s="8">
        <v>138</v>
      </c>
      <c r="I446" s="3">
        <v>61410000</v>
      </c>
      <c r="J446" s="3">
        <v>61410000</v>
      </c>
    </row>
    <row r="447" spans="1:10" x14ac:dyDescent="0.25">
      <c r="A447" s="2">
        <v>447</v>
      </c>
      <c r="B447" s="18">
        <v>45715.708287037036</v>
      </c>
      <c r="C447" s="2" t="s">
        <v>353</v>
      </c>
      <c r="D447" s="2" t="s">
        <v>90</v>
      </c>
      <c r="E447" s="2" t="s">
        <v>365</v>
      </c>
      <c r="F447" s="2" t="s">
        <v>29</v>
      </c>
      <c r="G447" s="3">
        <v>590000</v>
      </c>
      <c r="H447" s="8">
        <v>20</v>
      </c>
      <c r="I447" s="3">
        <v>7080000</v>
      </c>
      <c r="J447" s="3">
        <v>7080000</v>
      </c>
    </row>
    <row r="448" spans="1:10" x14ac:dyDescent="0.25">
      <c r="A448" s="2">
        <v>448</v>
      </c>
      <c r="B448" s="18">
        <v>45715.708287037036</v>
      </c>
      <c r="C448" s="2" t="s">
        <v>353</v>
      </c>
      <c r="D448" s="2" t="s">
        <v>90</v>
      </c>
      <c r="E448" s="2" t="s">
        <v>365</v>
      </c>
      <c r="F448" s="2" t="s">
        <v>35</v>
      </c>
      <c r="G448" s="3">
        <v>525000</v>
      </c>
      <c r="H448" s="8">
        <v>20</v>
      </c>
      <c r="I448" s="3">
        <v>6300000</v>
      </c>
      <c r="J448" s="3">
        <v>6300000</v>
      </c>
    </row>
    <row r="449" spans="1:10" x14ac:dyDescent="0.25">
      <c r="A449" s="2">
        <v>449</v>
      </c>
      <c r="B449" s="18">
        <v>45715.708287037036</v>
      </c>
      <c r="C449" s="2" t="s">
        <v>353</v>
      </c>
      <c r="D449" s="2" t="s">
        <v>90</v>
      </c>
      <c r="E449" s="2" t="s">
        <v>365</v>
      </c>
      <c r="F449" s="2" t="s">
        <v>19</v>
      </c>
      <c r="G449" s="3">
        <v>590000</v>
      </c>
      <c r="H449" s="8">
        <v>50</v>
      </c>
      <c r="I449" s="3">
        <v>17700000</v>
      </c>
      <c r="J449" s="3">
        <v>17700000</v>
      </c>
    </row>
    <row r="450" spans="1:10" x14ac:dyDescent="0.25">
      <c r="A450" s="2">
        <v>450</v>
      </c>
      <c r="B450" s="18">
        <v>45715.708287037036</v>
      </c>
      <c r="C450" s="2" t="s">
        <v>353</v>
      </c>
      <c r="D450" s="2" t="s">
        <v>303</v>
      </c>
      <c r="E450" s="2" t="s">
        <v>366</v>
      </c>
      <c r="F450" s="2" t="s">
        <v>33</v>
      </c>
      <c r="G450" s="3">
        <v>485000</v>
      </c>
      <c r="H450" s="8">
        <v>20</v>
      </c>
      <c r="I450" s="3">
        <v>4750000.081</v>
      </c>
      <c r="J450" s="3">
        <v>4750000.081</v>
      </c>
    </row>
    <row r="451" spans="1:10" x14ac:dyDescent="0.25">
      <c r="A451" s="2">
        <v>451</v>
      </c>
      <c r="B451" s="18">
        <v>45715.708287037036</v>
      </c>
      <c r="C451" s="2" t="s">
        <v>353</v>
      </c>
      <c r="D451" s="2" t="s">
        <v>338</v>
      </c>
      <c r="E451" s="2" t="s">
        <v>370</v>
      </c>
      <c r="F451" s="2" t="s">
        <v>27</v>
      </c>
      <c r="G451" s="3">
        <v>935000</v>
      </c>
      <c r="H451" s="8">
        <v>1</v>
      </c>
      <c r="I451" s="3">
        <v>516750.19</v>
      </c>
      <c r="J451" s="3">
        <v>516750.19</v>
      </c>
    </row>
    <row r="452" spans="1:10" x14ac:dyDescent="0.25">
      <c r="A452" s="2">
        <v>452</v>
      </c>
      <c r="B452" s="18">
        <v>45715.708287037036</v>
      </c>
      <c r="C452" s="2" t="s">
        <v>353</v>
      </c>
      <c r="D452" s="2" t="s">
        <v>338</v>
      </c>
      <c r="E452" s="2" t="s">
        <v>370</v>
      </c>
      <c r="F452" s="2" t="s">
        <v>19</v>
      </c>
      <c r="G452" s="3">
        <v>590000</v>
      </c>
      <c r="H452" s="8">
        <v>5</v>
      </c>
      <c r="I452" s="3">
        <v>1534000</v>
      </c>
      <c r="J452" s="3">
        <v>1534000</v>
      </c>
    </row>
    <row r="453" spans="1:10" x14ac:dyDescent="0.25">
      <c r="A453" s="2">
        <v>453</v>
      </c>
      <c r="B453" s="18">
        <v>45715.708287037036</v>
      </c>
      <c r="C453" s="2" t="s">
        <v>353</v>
      </c>
      <c r="D453" s="2" t="s">
        <v>338</v>
      </c>
      <c r="E453" s="2" t="s">
        <v>370</v>
      </c>
      <c r="F453" s="2" t="s">
        <v>61</v>
      </c>
      <c r="G453" s="3">
        <v>890000</v>
      </c>
      <c r="H453" s="8">
        <v>1</v>
      </c>
      <c r="I453" s="3">
        <v>492050.0013</v>
      </c>
      <c r="J453" s="3">
        <v>492050.0013</v>
      </c>
    </row>
    <row r="454" spans="1:10" x14ac:dyDescent="0.25">
      <c r="A454" s="2">
        <v>454</v>
      </c>
      <c r="B454" s="18">
        <v>45715.708287037036</v>
      </c>
      <c r="C454" s="2" t="s">
        <v>353</v>
      </c>
      <c r="D454" s="2" t="s">
        <v>338</v>
      </c>
      <c r="E454" s="2" t="s">
        <v>370</v>
      </c>
      <c r="F454" s="2" t="s">
        <v>85</v>
      </c>
      <c r="G454" s="3">
        <v>480000</v>
      </c>
      <c r="H454" s="8">
        <v>3</v>
      </c>
      <c r="I454" s="3">
        <v>702000.0000000001</v>
      </c>
      <c r="J454" s="3">
        <v>702000.0000000001</v>
      </c>
    </row>
    <row r="455" spans="1:10" x14ac:dyDescent="0.25">
      <c r="A455" s="2">
        <v>455</v>
      </c>
      <c r="B455" s="18">
        <v>45715.708287037036</v>
      </c>
      <c r="C455" s="2" t="s">
        <v>353</v>
      </c>
      <c r="D455" s="2" t="s">
        <v>338</v>
      </c>
      <c r="E455" s="2" t="s">
        <v>370</v>
      </c>
      <c r="F455" s="2" t="s">
        <v>35</v>
      </c>
      <c r="G455" s="3">
        <v>525000</v>
      </c>
      <c r="H455" s="8">
        <v>1</v>
      </c>
      <c r="I455" s="3">
        <v>273000</v>
      </c>
      <c r="J455" s="3">
        <v>273000</v>
      </c>
    </row>
    <row r="456" spans="1:10" x14ac:dyDescent="0.25">
      <c r="A456" s="2">
        <v>456</v>
      </c>
      <c r="B456" s="18">
        <v>45715.708287037036</v>
      </c>
      <c r="C456" s="2" t="s">
        <v>353</v>
      </c>
      <c r="D456" s="2" t="s">
        <v>338</v>
      </c>
      <c r="E456" s="2" t="s">
        <v>370</v>
      </c>
      <c r="F456" s="2" t="s">
        <v>33</v>
      </c>
      <c r="G456" s="3">
        <v>485000</v>
      </c>
      <c r="H456" s="8">
        <v>2</v>
      </c>
      <c r="I456" s="3">
        <v>504400</v>
      </c>
      <c r="J456" s="3">
        <v>504400</v>
      </c>
    </row>
    <row r="457" spans="1:10" x14ac:dyDescent="0.25">
      <c r="A457" s="2">
        <v>457</v>
      </c>
      <c r="B457" s="18">
        <v>45658.708287037036</v>
      </c>
      <c r="C457" s="2" t="s">
        <v>352</v>
      </c>
      <c r="D457" s="2" t="s">
        <v>68</v>
      </c>
      <c r="E457" s="2" t="s">
        <v>363</v>
      </c>
      <c r="F457" s="2" t="s">
        <v>89</v>
      </c>
      <c r="G457" s="3">
        <v>390000</v>
      </c>
      <c r="H457" s="8">
        <v>30</v>
      </c>
      <c r="I457" s="3">
        <v>0</v>
      </c>
      <c r="J457" s="3">
        <v>0</v>
      </c>
    </row>
    <row r="458" spans="1:10" x14ac:dyDescent="0.25">
      <c r="A458" s="2">
        <v>458</v>
      </c>
      <c r="B458" s="18">
        <v>45658.708287037036</v>
      </c>
      <c r="C458" s="2" t="s">
        <v>352</v>
      </c>
      <c r="D458" s="2" t="s">
        <v>268</v>
      </c>
      <c r="E458" s="2" t="s">
        <v>371</v>
      </c>
      <c r="F458" s="2" t="s">
        <v>51</v>
      </c>
      <c r="G458" s="3">
        <v>465000</v>
      </c>
      <c r="H458" s="8">
        <v>20</v>
      </c>
      <c r="I458" s="3">
        <v>0</v>
      </c>
      <c r="J458" s="3">
        <v>0</v>
      </c>
    </row>
    <row r="459" spans="1:10" x14ac:dyDescent="0.25">
      <c r="A459" s="2">
        <v>459</v>
      </c>
      <c r="B459" s="18">
        <v>45659.708287037036</v>
      </c>
      <c r="C459" s="2" t="s">
        <v>352</v>
      </c>
      <c r="D459" s="2" t="s">
        <v>272</v>
      </c>
      <c r="E459" s="2" t="s">
        <v>369</v>
      </c>
      <c r="F459" s="2" t="s">
        <v>29</v>
      </c>
      <c r="G459" s="3">
        <v>590000</v>
      </c>
      <c r="H459" s="8">
        <v>10</v>
      </c>
      <c r="I459" s="3">
        <v>5900000</v>
      </c>
      <c r="J459" s="3">
        <v>5449999.979</v>
      </c>
    </row>
    <row r="460" spans="1:10" x14ac:dyDescent="0.25">
      <c r="A460" s="2">
        <v>460</v>
      </c>
      <c r="B460" s="18">
        <v>45659.708287037036</v>
      </c>
      <c r="C460" s="2" t="s">
        <v>352</v>
      </c>
      <c r="D460" s="2" t="s">
        <v>272</v>
      </c>
      <c r="E460" s="2" t="s">
        <v>369</v>
      </c>
      <c r="F460" s="2" t="s">
        <v>29</v>
      </c>
      <c r="G460" s="3">
        <v>590000</v>
      </c>
      <c r="H460" s="8">
        <v>3</v>
      </c>
      <c r="I460" s="3">
        <v>0</v>
      </c>
      <c r="J460" s="3">
        <v>0</v>
      </c>
    </row>
    <row r="461" spans="1:10" x14ac:dyDescent="0.25">
      <c r="A461" s="2">
        <v>461</v>
      </c>
      <c r="B461" s="18">
        <v>45659.708287037036</v>
      </c>
      <c r="C461" s="2" t="s">
        <v>352</v>
      </c>
      <c r="D461" s="2" t="s">
        <v>272</v>
      </c>
      <c r="E461" s="2" t="s">
        <v>369</v>
      </c>
      <c r="F461" s="2" t="s">
        <v>19</v>
      </c>
      <c r="G461" s="3">
        <v>590000</v>
      </c>
      <c r="H461" s="8">
        <v>10</v>
      </c>
      <c r="I461" s="3">
        <v>5900000</v>
      </c>
      <c r="J461" s="3">
        <v>5449999.979</v>
      </c>
    </row>
    <row r="462" spans="1:10" x14ac:dyDescent="0.25">
      <c r="A462" s="2">
        <v>462</v>
      </c>
      <c r="B462" s="18">
        <v>45659.708287037036</v>
      </c>
      <c r="C462" s="2" t="s">
        <v>352</v>
      </c>
      <c r="D462" s="2" t="s">
        <v>272</v>
      </c>
      <c r="E462" s="2" t="s">
        <v>369</v>
      </c>
      <c r="F462" s="2" t="s">
        <v>19</v>
      </c>
      <c r="G462" s="3">
        <v>590000</v>
      </c>
      <c r="H462" s="8">
        <v>3</v>
      </c>
      <c r="I462" s="3">
        <v>0</v>
      </c>
      <c r="J462" s="3">
        <v>0</v>
      </c>
    </row>
    <row r="463" spans="1:10" x14ac:dyDescent="0.25">
      <c r="A463" s="2">
        <v>463</v>
      </c>
      <c r="B463" s="18">
        <v>45659.708287037036</v>
      </c>
      <c r="C463" s="2" t="s">
        <v>352</v>
      </c>
      <c r="D463" s="2" t="s">
        <v>2</v>
      </c>
      <c r="E463" s="2" t="s">
        <v>370</v>
      </c>
      <c r="F463" s="2" t="s">
        <v>61</v>
      </c>
      <c r="G463" s="3">
        <v>890000</v>
      </c>
      <c r="H463" s="8">
        <v>4</v>
      </c>
      <c r="I463" s="3">
        <v>2492000</v>
      </c>
      <c r="J463" s="3">
        <v>2492000</v>
      </c>
    </row>
    <row r="464" spans="1:10" x14ac:dyDescent="0.25">
      <c r="A464" s="2">
        <v>464</v>
      </c>
      <c r="B464" s="18">
        <v>45659.708287037036</v>
      </c>
      <c r="C464" s="2" t="s">
        <v>352</v>
      </c>
      <c r="D464" s="2" t="s">
        <v>268</v>
      </c>
      <c r="E464" s="2" t="s">
        <v>371</v>
      </c>
      <c r="F464" s="2" t="s">
        <v>31</v>
      </c>
      <c r="G464" s="3">
        <v>745000</v>
      </c>
      <c r="H464" s="8">
        <v>60</v>
      </c>
      <c r="I464" s="3">
        <v>22350000</v>
      </c>
      <c r="J464" s="3">
        <v>22350000</v>
      </c>
    </row>
    <row r="465" spans="1:10" x14ac:dyDescent="0.25">
      <c r="A465" s="2">
        <v>465</v>
      </c>
      <c r="B465" s="18">
        <v>45660.708287037036</v>
      </c>
      <c r="C465" s="2" t="s">
        <v>352</v>
      </c>
      <c r="D465" s="2" t="s">
        <v>267</v>
      </c>
      <c r="E465" s="2" t="s">
        <v>371</v>
      </c>
      <c r="F465" s="2" t="s">
        <v>31</v>
      </c>
      <c r="G465" s="3">
        <v>745000</v>
      </c>
      <c r="H465" s="8">
        <v>191</v>
      </c>
      <c r="I465" s="3">
        <v>71147500</v>
      </c>
      <c r="J465" s="3">
        <v>71147500</v>
      </c>
    </row>
    <row r="466" spans="1:10" x14ac:dyDescent="0.25">
      <c r="A466" s="2">
        <v>466</v>
      </c>
      <c r="B466" s="18">
        <v>45660.708287037036</v>
      </c>
      <c r="C466" s="2" t="s">
        <v>352</v>
      </c>
      <c r="D466" s="2" t="s">
        <v>72</v>
      </c>
      <c r="E466" s="2" t="s">
        <v>364</v>
      </c>
      <c r="F466" s="2" t="s">
        <v>35</v>
      </c>
      <c r="G466" s="3">
        <v>525000</v>
      </c>
      <c r="H466" s="8">
        <v>20</v>
      </c>
      <c r="I466" s="3">
        <v>5250000</v>
      </c>
      <c r="J466" s="3">
        <v>5250000</v>
      </c>
    </row>
    <row r="467" spans="1:10" x14ac:dyDescent="0.25">
      <c r="A467" s="2">
        <v>467</v>
      </c>
      <c r="B467" s="18">
        <v>45662.708287037036</v>
      </c>
      <c r="C467" s="2" t="s">
        <v>352</v>
      </c>
      <c r="D467" s="2" t="s">
        <v>283</v>
      </c>
      <c r="E467" s="2" t="s">
        <v>369</v>
      </c>
      <c r="F467" s="2" t="s">
        <v>23</v>
      </c>
      <c r="G467" s="3">
        <v>775000</v>
      </c>
      <c r="H467" s="8">
        <v>2</v>
      </c>
      <c r="I467" s="3">
        <v>0</v>
      </c>
      <c r="J467" s="3">
        <v>0</v>
      </c>
    </row>
    <row r="468" spans="1:10" x14ac:dyDescent="0.25">
      <c r="A468" s="2">
        <v>468</v>
      </c>
      <c r="B468" s="18">
        <v>45663.708287037036</v>
      </c>
      <c r="C468" s="2" t="s">
        <v>352</v>
      </c>
      <c r="D468" s="2" t="s">
        <v>74</v>
      </c>
      <c r="E468" s="2" t="s">
        <v>369</v>
      </c>
      <c r="F468" s="2" t="s">
        <v>33</v>
      </c>
      <c r="G468" s="3">
        <v>485000</v>
      </c>
      <c r="H468" s="8">
        <v>11</v>
      </c>
      <c r="I468" s="3">
        <v>2667500</v>
      </c>
      <c r="J468" s="3">
        <v>2667500</v>
      </c>
    </row>
    <row r="469" spans="1:10" x14ac:dyDescent="0.25">
      <c r="A469" s="2">
        <v>469</v>
      </c>
      <c r="B469" s="18">
        <v>45663.708287037036</v>
      </c>
      <c r="C469" s="2" t="s">
        <v>352</v>
      </c>
      <c r="D469" s="2" t="s">
        <v>74</v>
      </c>
      <c r="E469" s="2" t="s">
        <v>369</v>
      </c>
      <c r="F469" s="2" t="s">
        <v>85</v>
      </c>
      <c r="G469" s="3">
        <v>480000</v>
      </c>
      <c r="H469" s="8">
        <v>5</v>
      </c>
      <c r="I469" s="3">
        <v>1200000</v>
      </c>
      <c r="J469" s="3">
        <v>1200000</v>
      </c>
    </row>
    <row r="470" spans="1:10" x14ac:dyDescent="0.25">
      <c r="A470" s="2">
        <v>470</v>
      </c>
      <c r="B470" s="18">
        <v>45663.708287037036</v>
      </c>
      <c r="C470" s="2" t="s">
        <v>352</v>
      </c>
      <c r="D470" s="2" t="s">
        <v>74</v>
      </c>
      <c r="E470" s="2" t="s">
        <v>369</v>
      </c>
      <c r="F470" s="2" t="s">
        <v>19</v>
      </c>
      <c r="G470" s="3">
        <v>590000</v>
      </c>
      <c r="H470" s="8">
        <v>4</v>
      </c>
      <c r="I470" s="3">
        <v>1180000</v>
      </c>
      <c r="J470" s="3">
        <v>1180000</v>
      </c>
    </row>
    <row r="471" spans="1:10" x14ac:dyDescent="0.25">
      <c r="A471" s="2">
        <v>471</v>
      </c>
      <c r="B471" s="18">
        <v>45663.708287037036</v>
      </c>
      <c r="C471" s="2" t="s">
        <v>352</v>
      </c>
      <c r="D471" s="2" t="s">
        <v>74</v>
      </c>
      <c r="E471" s="2" t="s">
        <v>369</v>
      </c>
      <c r="F471" s="2" t="s">
        <v>29</v>
      </c>
      <c r="G471" s="3">
        <v>590000</v>
      </c>
      <c r="H471" s="8">
        <v>4</v>
      </c>
      <c r="I471" s="3">
        <v>1180000</v>
      </c>
      <c r="J471" s="3">
        <v>1180000</v>
      </c>
    </row>
    <row r="472" spans="1:10" x14ac:dyDescent="0.25">
      <c r="A472" s="2">
        <v>472</v>
      </c>
      <c r="B472" s="18">
        <v>45663.708287037036</v>
      </c>
      <c r="C472" s="2" t="s">
        <v>352</v>
      </c>
      <c r="D472" s="2" t="s">
        <v>74</v>
      </c>
      <c r="E472" s="2" t="s">
        <v>369</v>
      </c>
      <c r="F472" s="2" t="s">
        <v>63</v>
      </c>
      <c r="G472" s="3">
        <v>550000</v>
      </c>
      <c r="H472" s="8">
        <v>2</v>
      </c>
      <c r="I472" s="3">
        <v>550000</v>
      </c>
      <c r="J472" s="3">
        <v>550000</v>
      </c>
    </row>
    <row r="473" spans="1:10" x14ac:dyDescent="0.25">
      <c r="A473" s="2">
        <v>473</v>
      </c>
      <c r="B473" s="18">
        <v>45663.708287037036</v>
      </c>
      <c r="C473" s="2" t="s">
        <v>352</v>
      </c>
      <c r="D473" s="2" t="s">
        <v>74</v>
      </c>
      <c r="E473" s="2" t="s">
        <v>369</v>
      </c>
      <c r="F473" s="2" t="s">
        <v>59</v>
      </c>
      <c r="G473" s="3">
        <v>475000</v>
      </c>
      <c r="H473" s="8">
        <v>1</v>
      </c>
      <c r="I473" s="3">
        <v>237500</v>
      </c>
      <c r="J473" s="3">
        <v>237500</v>
      </c>
    </row>
    <row r="474" spans="1:10" x14ac:dyDescent="0.25">
      <c r="A474" s="2">
        <v>474</v>
      </c>
      <c r="B474" s="18">
        <v>45663.708287037036</v>
      </c>
      <c r="C474" s="2" t="s">
        <v>352</v>
      </c>
      <c r="D474" s="2" t="s">
        <v>74</v>
      </c>
      <c r="E474" s="2" t="s">
        <v>369</v>
      </c>
      <c r="F474" s="2" t="s">
        <v>89</v>
      </c>
      <c r="G474" s="3">
        <v>390000</v>
      </c>
      <c r="H474" s="8">
        <v>32</v>
      </c>
      <c r="I474" s="3">
        <v>0</v>
      </c>
      <c r="J474" s="3">
        <v>0</v>
      </c>
    </row>
    <row r="475" spans="1:10" x14ac:dyDescent="0.25">
      <c r="A475" s="2">
        <v>475</v>
      </c>
      <c r="B475" s="18">
        <v>45663.708287037036</v>
      </c>
      <c r="C475" s="2" t="s">
        <v>352</v>
      </c>
      <c r="D475" s="2" t="s">
        <v>74</v>
      </c>
      <c r="E475" s="2" t="s">
        <v>369</v>
      </c>
      <c r="F475" s="2" t="s">
        <v>49</v>
      </c>
      <c r="G475" s="3">
        <v>200000</v>
      </c>
      <c r="H475" s="8">
        <v>11</v>
      </c>
      <c r="I475" s="3">
        <v>0</v>
      </c>
      <c r="J475" s="3">
        <v>0</v>
      </c>
    </row>
    <row r="476" spans="1:10" x14ac:dyDescent="0.25">
      <c r="A476" s="2">
        <v>476</v>
      </c>
      <c r="B476" s="18">
        <v>45663.708287037036</v>
      </c>
      <c r="C476" s="2" t="s">
        <v>352</v>
      </c>
      <c r="D476" s="2" t="s">
        <v>338</v>
      </c>
      <c r="E476" s="2" t="s">
        <v>370</v>
      </c>
      <c r="F476" s="2" t="s">
        <v>61</v>
      </c>
      <c r="G476" s="3">
        <v>890000</v>
      </c>
      <c r="H476" s="8">
        <v>4</v>
      </c>
      <c r="I476" s="3">
        <v>1968200.0052</v>
      </c>
      <c r="J476" s="3">
        <v>1968200.0052</v>
      </c>
    </row>
    <row r="477" spans="1:10" x14ac:dyDescent="0.25">
      <c r="A477" s="2">
        <v>477</v>
      </c>
      <c r="B477" s="18">
        <v>45663.708287037036</v>
      </c>
      <c r="C477" s="2" t="s">
        <v>352</v>
      </c>
      <c r="D477" s="2" t="s">
        <v>338</v>
      </c>
      <c r="E477" s="2" t="s">
        <v>370</v>
      </c>
      <c r="F477" s="2" t="s">
        <v>19</v>
      </c>
      <c r="G477" s="3">
        <v>590000</v>
      </c>
      <c r="H477" s="8">
        <v>1</v>
      </c>
      <c r="I477" s="3">
        <v>306800</v>
      </c>
      <c r="J477" s="3">
        <v>306800</v>
      </c>
    </row>
    <row r="478" spans="1:10" x14ac:dyDescent="0.25">
      <c r="A478" s="2">
        <v>478</v>
      </c>
      <c r="B478" s="18">
        <v>45663.708287037036</v>
      </c>
      <c r="C478" s="2" t="s">
        <v>352</v>
      </c>
      <c r="D478" s="2" t="s">
        <v>338</v>
      </c>
      <c r="E478" s="2" t="s">
        <v>370</v>
      </c>
      <c r="F478" s="2" t="s">
        <v>33</v>
      </c>
      <c r="G478" s="3">
        <v>485000</v>
      </c>
      <c r="H478" s="8">
        <v>2</v>
      </c>
      <c r="I478" s="3">
        <v>504400</v>
      </c>
      <c r="J478" s="3">
        <v>504400</v>
      </c>
    </row>
    <row r="479" spans="1:10" x14ac:dyDescent="0.25">
      <c r="A479" s="2">
        <v>479</v>
      </c>
      <c r="B479" s="18">
        <v>45663.708287037036</v>
      </c>
      <c r="C479" s="2" t="s">
        <v>352</v>
      </c>
      <c r="D479" s="2" t="s">
        <v>338</v>
      </c>
      <c r="E479" s="2" t="s">
        <v>370</v>
      </c>
      <c r="F479" s="2" t="s">
        <v>59</v>
      </c>
      <c r="G479" s="3">
        <v>475000</v>
      </c>
      <c r="H479" s="8">
        <v>2</v>
      </c>
      <c r="I479" s="3">
        <v>494000</v>
      </c>
      <c r="J479" s="3">
        <v>494000</v>
      </c>
    </row>
    <row r="480" spans="1:10" x14ac:dyDescent="0.25">
      <c r="A480" s="2">
        <v>480</v>
      </c>
      <c r="B480" s="18">
        <v>45663.708287037036</v>
      </c>
      <c r="C480" s="2" t="s">
        <v>352</v>
      </c>
      <c r="D480" s="2" t="s">
        <v>338</v>
      </c>
      <c r="E480" s="2" t="s">
        <v>370</v>
      </c>
      <c r="F480" s="2" t="s">
        <v>85</v>
      </c>
      <c r="G480" s="3">
        <v>480000</v>
      </c>
      <c r="H480" s="8">
        <v>1</v>
      </c>
      <c r="I480" s="3">
        <v>249600</v>
      </c>
      <c r="J480" s="3">
        <v>249600</v>
      </c>
    </row>
    <row r="481" spans="1:10" x14ac:dyDescent="0.25">
      <c r="A481" s="2">
        <v>481</v>
      </c>
      <c r="B481" s="18">
        <v>45665.708287037036</v>
      </c>
      <c r="C481" s="2" t="s">
        <v>352</v>
      </c>
      <c r="D481" s="2" t="s">
        <v>303</v>
      </c>
      <c r="E481" s="2" t="s">
        <v>366</v>
      </c>
      <c r="F481" s="2" t="s">
        <v>31</v>
      </c>
      <c r="G481" s="3">
        <v>745000</v>
      </c>
      <c r="H481" s="8">
        <v>10</v>
      </c>
      <c r="I481" s="3">
        <v>4750000.055</v>
      </c>
      <c r="J481" s="3">
        <v>4750000.055</v>
      </c>
    </row>
    <row r="482" spans="1:10" x14ac:dyDescent="0.25">
      <c r="A482" s="2">
        <v>482</v>
      </c>
      <c r="B482" s="18">
        <v>45666.708287037036</v>
      </c>
      <c r="C482" s="2" t="s">
        <v>352</v>
      </c>
      <c r="D482" s="2" t="s">
        <v>253</v>
      </c>
      <c r="E482" s="2" t="s">
        <v>370</v>
      </c>
      <c r="F482" s="2" t="s">
        <v>25</v>
      </c>
      <c r="G482" s="3">
        <v>890000</v>
      </c>
      <c r="H482" s="8">
        <v>1</v>
      </c>
      <c r="I482" s="3">
        <v>0</v>
      </c>
      <c r="J482" s="3">
        <v>0</v>
      </c>
    </row>
    <row r="483" spans="1:10" x14ac:dyDescent="0.25">
      <c r="A483" s="2">
        <v>483</v>
      </c>
      <c r="B483" s="18">
        <v>45666.708287037036</v>
      </c>
      <c r="C483" s="2" t="s">
        <v>352</v>
      </c>
      <c r="D483" s="2" t="s">
        <v>253</v>
      </c>
      <c r="E483" s="2" t="s">
        <v>370</v>
      </c>
      <c r="F483" s="2" t="s">
        <v>73</v>
      </c>
      <c r="G483" s="3">
        <v>1350000</v>
      </c>
      <c r="H483" s="8">
        <v>1</v>
      </c>
      <c r="I483" s="3">
        <v>0</v>
      </c>
      <c r="J483" s="3">
        <v>0</v>
      </c>
    </row>
    <row r="484" spans="1:10" x14ac:dyDescent="0.25">
      <c r="A484" s="2">
        <v>484</v>
      </c>
      <c r="B484" s="18">
        <v>45666.708287037036</v>
      </c>
      <c r="C484" s="2" t="s">
        <v>352</v>
      </c>
      <c r="D484" s="2" t="s">
        <v>268</v>
      </c>
      <c r="E484" s="2" t="s">
        <v>371</v>
      </c>
      <c r="F484" s="2" t="s">
        <v>59</v>
      </c>
      <c r="G484" s="3">
        <v>475000</v>
      </c>
      <c r="H484" s="8">
        <v>28</v>
      </c>
      <c r="I484" s="3">
        <v>5984999.999999999</v>
      </c>
      <c r="J484" s="3">
        <v>5984999.999999999</v>
      </c>
    </row>
    <row r="485" spans="1:10" x14ac:dyDescent="0.25">
      <c r="A485" s="2">
        <v>485</v>
      </c>
      <c r="B485" s="18">
        <v>45666.708287037036</v>
      </c>
      <c r="C485" s="2" t="s">
        <v>352</v>
      </c>
      <c r="D485" s="2" t="s">
        <v>268</v>
      </c>
      <c r="E485" s="2" t="s">
        <v>371</v>
      </c>
      <c r="F485" s="2" t="s">
        <v>57</v>
      </c>
      <c r="G485" s="3">
        <v>745000</v>
      </c>
      <c r="H485" s="8">
        <v>28</v>
      </c>
      <c r="I485" s="3">
        <v>10430000</v>
      </c>
      <c r="J485" s="3">
        <v>10430000</v>
      </c>
    </row>
    <row r="486" spans="1:10" x14ac:dyDescent="0.25">
      <c r="A486" s="2">
        <v>486</v>
      </c>
      <c r="B486" s="18">
        <v>45666.708287037036</v>
      </c>
      <c r="C486" s="2" t="s">
        <v>352</v>
      </c>
      <c r="D486" s="2" t="s">
        <v>268</v>
      </c>
      <c r="E486" s="2" t="s">
        <v>371</v>
      </c>
      <c r="F486" s="2" t="s">
        <v>19</v>
      </c>
      <c r="G486" s="3">
        <v>590000</v>
      </c>
      <c r="H486" s="8">
        <v>29</v>
      </c>
      <c r="I486" s="3">
        <v>8555000</v>
      </c>
      <c r="J486" s="3">
        <v>8555000</v>
      </c>
    </row>
    <row r="487" spans="1:10" x14ac:dyDescent="0.25">
      <c r="A487" s="2">
        <v>487</v>
      </c>
      <c r="B487" s="18">
        <v>45666.708287037036</v>
      </c>
      <c r="C487" s="2" t="s">
        <v>352</v>
      </c>
      <c r="D487" s="2" t="s">
        <v>268</v>
      </c>
      <c r="E487" s="2" t="s">
        <v>371</v>
      </c>
      <c r="F487" s="2" t="s">
        <v>27</v>
      </c>
      <c r="G487" s="3">
        <v>935000</v>
      </c>
      <c r="H487" s="8">
        <v>20</v>
      </c>
      <c r="I487" s="3">
        <v>9350000</v>
      </c>
      <c r="J487" s="3">
        <v>9350000</v>
      </c>
    </row>
    <row r="488" spans="1:10" x14ac:dyDescent="0.25">
      <c r="A488" s="2">
        <v>488</v>
      </c>
      <c r="B488" s="18">
        <v>45666.708287037036</v>
      </c>
      <c r="C488" s="2" t="s">
        <v>352</v>
      </c>
      <c r="D488" s="2" t="s">
        <v>267</v>
      </c>
      <c r="E488" s="2" t="s">
        <v>371</v>
      </c>
      <c r="F488" s="2" t="s">
        <v>59</v>
      </c>
      <c r="G488" s="3">
        <v>475000</v>
      </c>
      <c r="H488" s="8">
        <v>48</v>
      </c>
      <c r="I488" s="3">
        <v>10259999.999999998</v>
      </c>
      <c r="J488" s="3">
        <v>10259999.999999998</v>
      </c>
    </row>
    <row r="489" spans="1:10" x14ac:dyDescent="0.25">
      <c r="A489" s="2">
        <v>489</v>
      </c>
      <c r="B489" s="18">
        <v>45666.708287037036</v>
      </c>
      <c r="C489" s="2" t="s">
        <v>352</v>
      </c>
      <c r="D489" s="2" t="s">
        <v>267</v>
      </c>
      <c r="E489" s="2" t="s">
        <v>371</v>
      </c>
      <c r="F489" s="2" t="s">
        <v>57</v>
      </c>
      <c r="G489" s="3">
        <v>745000</v>
      </c>
      <c r="H489" s="8">
        <v>48</v>
      </c>
      <c r="I489" s="3">
        <v>17880000</v>
      </c>
      <c r="J489" s="3">
        <v>17880000</v>
      </c>
    </row>
    <row r="490" spans="1:10" x14ac:dyDescent="0.25">
      <c r="A490" s="2">
        <v>490</v>
      </c>
      <c r="B490" s="18">
        <v>45666.708287037036</v>
      </c>
      <c r="C490" s="2" t="s">
        <v>352</v>
      </c>
      <c r="D490" s="2" t="s">
        <v>267</v>
      </c>
      <c r="E490" s="2" t="s">
        <v>371</v>
      </c>
      <c r="F490" s="2" t="s">
        <v>19</v>
      </c>
      <c r="G490" s="3">
        <v>590000</v>
      </c>
      <c r="H490" s="8">
        <v>107</v>
      </c>
      <c r="I490" s="3">
        <v>31565000</v>
      </c>
      <c r="J490" s="3">
        <v>31565000</v>
      </c>
    </row>
    <row r="491" spans="1:10" x14ac:dyDescent="0.25">
      <c r="A491" s="2">
        <v>491</v>
      </c>
      <c r="B491" s="18">
        <v>45666.708287037036</v>
      </c>
      <c r="C491" s="2" t="s">
        <v>352</v>
      </c>
      <c r="D491" s="2" t="s">
        <v>267</v>
      </c>
      <c r="E491" s="2" t="s">
        <v>371</v>
      </c>
      <c r="F491" s="2" t="s">
        <v>27</v>
      </c>
      <c r="G491" s="3">
        <v>935000</v>
      </c>
      <c r="H491" s="8">
        <v>66</v>
      </c>
      <c r="I491" s="3">
        <v>30855000</v>
      </c>
      <c r="J491" s="3">
        <v>30855000</v>
      </c>
    </row>
    <row r="492" spans="1:10" x14ac:dyDescent="0.25">
      <c r="A492" s="2">
        <v>492</v>
      </c>
      <c r="B492" s="18">
        <v>45667.708287037036</v>
      </c>
      <c r="C492" s="2" t="s">
        <v>352</v>
      </c>
      <c r="D492" s="2" t="s">
        <v>280</v>
      </c>
      <c r="E492" s="2" t="s">
        <v>369</v>
      </c>
      <c r="F492" s="2" t="s">
        <v>29</v>
      </c>
      <c r="G492" s="3">
        <v>590000</v>
      </c>
      <c r="H492" s="8">
        <v>10</v>
      </c>
      <c r="I492" s="3">
        <v>5900000</v>
      </c>
      <c r="J492" s="3">
        <v>5900000</v>
      </c>
    </row>
    <row r="493" spans="1:10" x14ac:dyDescent="0.25">
      <c r="A493" s="2">
        <v>493</v>
      </c>
      <c r="B493" s="18">
        <v>45667.708287037036</v>
      </c>
      <c r="C493" s="2" t="s">
        <v>352</v>
      </c>
      <c r="D493" s="2" t="s">
        <v>280</v>
      </c>
      <c r="E493" s="2" t="s">
        <v>369</v>
      </c>
      <c r="F493" s="2" t="s">
        <v>29</v>
      </c>
      <c r="G493" s="3">
        <v>590000</v>
      </c>
      <c r="H493" s="8">
        <v>3</v>
      </c>
      <c r="I493" s="3">
        <v>0</v>
      </c>
      <c r="J493" s="3">
        <v>0</v>
      </c>
    </row>
    <row r="494" spans="1:10" x14ac:dyDescent="0.25">
      <c r="A494" s="2">
        <v>494</v>
      </c>
      <c r="B494" s="18">
        <v>45667.708287037036</v>
      </c>
      <c r="C494" s="2" t="s">
        <v>352</v>
      </c>
      <c r="D494" s="2" t="s">
        <v>280</v>
      </c>
      <c r="E494" s="2" t="s">
        <v>369</v>
      </c>
      <c r="F494" s="2" t="s">
        <v>89</v>
      </c>
      <c r="G494" s="3">
        <v>390000</v>
      </c>
      <c r="H494" s="8">
        <v>10</v>
      </c>
      <c r="I494" s="3">
        <v>0</v>
      </c>
      <c r="J494" s="3">
        <v>0</v>
      </c>
    </row>
    <row r="495" spans="1:10" x14ac:dyDescent="0.25">
      <c r="A495" s="2">
        <v>495</v>
      </c>
      <c r="B495" s="18">
        <v>45669.708287037036</v>
      </c>
      <c r="C495" s="2" t="s">
        <v>352</v>
      </c>
      <c r="D495" s="2" t="s">
        <v>303</v>
      </c>
      <c r="E495" s="2" t="s">
        <v>366</v>
      </c>
      <c r="F495" s="2" t="s">
        <v>31</v>
      </c>
      <c r="G495" s="3">
        <v>745000</v>
      </c>
      <c r="H495" s="8">
        <v>20</v>
      </c>
      <c r="I495" s="3">
        <v>9500000.11</v>
      </c>
      <c r="J495" s="3">
        <v>9500000.11</v>
      </c>
    </row>
    <row r="496" spans="1:10" x14ac:dyDescent="0.25">
      <c r="A496" s="2">
        <v>496</v>
      </c>
      <c r="B496" s="18">
        <v>45670.708287037036</v>
      </c>
      <c r="C496" s="2" t="s">
        <v>352</v>
      </c>
      <c r="D496" s="2" t="s">
        <v>267</v>
      </c>
      <c r="E496" s="2" t="s">
        <v>371</v>
      </c>
      <c r="F496" s="2" t="s">
        <v>33</v>
      </c>
      <c r="G496" s="3">
        <v>485000</v>
      </c>
      <c r="H496" s="8">
        <v>6</v>
      </c>
      <c r="I496" s="3">
        <v>1309500</v>
      </c>
      <c r="J496" s="3">
        <v>1309500</v>
      </c>
    </row>
    <row r="497" spans="1:10" x14ac:dyDescent="0.25">
      <c r="A497" s="2">
        <v>497</v>
      </c>
      <c r="B497" s="18">
        <v>45670.708287037036</v>
      </c>
      <c r="C497" s="2" t="s">
        <v>352</v>
      </c>
      <c r="D497" s="2" t="s">
        <v>267</v>
      </c>
      <c r="E497" s="2" t="s">
        <v>371</v>
      </c>
      <c r="F497" s="2" t="s">
        <v>59</v>
      </c>
      <c r="G497" s="3">
        <v>475000</v>
      </c>
      <c r="H497" s="8">
        <v>79</v>
      </c>
      <c r="I497" s="3">
        <v>16886249.999999996</v>
      </c>
      <c r="J497" s="3">
        <v>16886249.999999996</v>
      </c>
    </row>
    <row r="498" spans="1:10" x14ac:dyDescent="0.25">
      <c r="A498" s="2">
        <v>498</v>
      </c>
      <c r="B498" s="18">
        <v>45670.708287037036</v>
      </c>
      <c r="C498" s="2" t="s">
        <v>352</v>
      </c>
      <c r="D498" s="2" t="s">
        <v>267</v>
      </c>
      <c r="E498" s="2" t="s">
        <v>371</v>
      </c>
      <c r="F498" s="2" t="s">
        <v>31</v>
      </c>
      <c r="G498" s="3">
        <v>745000</v>
      </c>
      <c r="H498" s="8">
        <v>6</v>
      </c>
      <c r="I498" s="3">
        <v>2235000</v>
      </c>
      <c r="J498" s="3">
        <v>2235000</v>
      </c>
    </row>
    <row r="499" spans="1:10" x14ac:dyDescent="0.25">
      <c r="A499" s="2">
        <v>499</v>
      </c>
      <c r="B499" s="18">
        <v>45670.708287037036</v>
      </c>
      <c r="C499" s="2" t="s">
        <v>352</v>
      </c>
      <c r="D499" s="2" t="s">
        <v>267</v>
      </c>
      <c r="E499" s="2" t="s">
        <v>371</v>
      </c>
      <c r="F499" s="2" t="s">
        <v>57</v>
      </c>
      <c r="G499" s="3">
        <v>745000</v>
      </c>
      <c r="H499" s="8">
        <v>79</v>
      </c>
      <c r="I499" s="3">
        <v>29427500</v>
      </c>
      <c r="J499" s="3">
        <v>29427500</v>
      </c>
    </row>
    <row r="500" spans="1:10" x14ac:dyDescent="0.25">
      <c r="A500" s="2">
        <v>500</v>
      </c>
      <c r="B500" s="18">
        <v>45670.708287037036</v>
      </c>
      <c r="C500" s="2" t="s">
        <v>352</v>
      </c>
      <c r="D500" s="2" t="s">
        <v>267</v>
      </c>
      <c r="E500" s="2" t="s">
        <v>371</v>
      </c>
      <c r="F500" s="2" t="s">
        <v>19</v>
      </c>
      <c r="G500" s="3">
        <v>590000</v>
      </c>
      <c r="H500" s="8">
        <v>65</v>
      </c>
      <c r="I500" s="3">
        <v>19175000</v>
      </c>
      <c r="J500" s="3">
        <v>19175000</v>
      </c>
    </row>
    <row r="501" spans="1:10" x14ac:dyDescent="0.25">
      <c r="A501" s="2">
        <v>501</v>
      </c>
      <c r="B501" s="18">
        <v>45670.708287037036</v>
      </c>
      <c r="C501" s="2" t="s">
        <v>352</v>
      </c>
      <c r="D501" s="2" t="s">
        <v>268</v>
      </c>
      <c r="E501" s="2" t="s">
        <v>371</v>
      </c>
      <c r="F501" s="2" t="s">
        <v>33</v>
      </c>
      <c r="G501" s="3">
        <v>485000</v>
      </c>
      <c r="H501" s="8">
        <v>8</v>
      </c>
      <c r="I501" s="3">
        <v>1746000</v>
      </c>
      <c r="J501" s="3">
        <v>1746000</v>
      </c>
    </row>
    <row r="502" spans="1:10" x14ac:dyDescent="0.25">
      <c r="A502" s="2">
        <v>502</v>
      </c>
      <c r="B502" s="18">
        <v>45670.708287037036</v>
      </c>
      <c r="C502" s="2" t="s">
        <v>352</v>
      </c>
      <c r="D502" s="2" t="s">
        <v>268</v>
      </c>
      <c r="E502" s="2" t="s">
        <v>371</v>
      </c>
      <c r="F502" s="2" t="s">
        <v>59</v>
      </c>
      <c r="G502" s="3">
        <v>475000</v>
      </c>
      <c r="H502" s="8">
        <v>6</v>
      </c>
      <c r="I502" s="3">
        <v>1282499.9999999998</v>
      </c>
      <c r="J502" s="3">
        <v>1282499.9999999998</v>
      </c>
    </row>
    <row r="503" spans="1:10" x14ac:dyDescent="0.25">
      <c r="A503" s="2">
        <v>503</v>
      </c>
      <c r="B503" s="18">
        <v>45670.708287037036</v>
      </c>
      <c r="C503" s="2" t="s">
        <v>352</v>
      </c>
      <c r="D503" s="2" t="s">
        <v>268</v>
      </c>
      <c r="E503" s="2" t="s">
        <v>371</v>
      </c>
      <c r="F503" s="2" t="s">
        <v>31</v>
      </c>
      <c r="G503" s="3">
        <v>745000</v>
      </c>
      <c r="H503" s="8">
        <v>8</v>
      </c>
      <c r="I503" s="3">
        <v>2980000</v>
      </c>
      <c r="J503" s="3">
        <v>2980000</v>
      </c>
    </row>
    <row r="504" spans="1:10" x14ac:dyDescent="0.25">
      <c r="A504" s="2">
        <v>504</v>
      </c>
      <c r="B504" s="18">
        <v>45670.708287037036</v>
      </c>
      <c r="C504" s="2" t="s">
        <v>352</v>
      </c>
      <c r="D504" s="2" t="s">
        <v>268</v>
      </c>
      <c r="E504" s="2" t="s">
        <v>371</v>
      </c>
      <c r="F504" s="2" t="s">
        <v>57</v>
      </c>
      <c r="G504" s="3">
        <v>745000</v>
      </c>
      <c r="H504" s="8">
        <v>6</v>
      </c>
      <c r="I504" s="3">
        <v>2235000</v>
      </c>
      <c r="J504" s="3">
        <v>2235000</v>
      </c>
    </row>
    <row r="505" spans="1:10" x14ac:dyDescent="0.25">
      <c r="A505" s="2">
        <v>505</v>
      </c>
      <c r="B505" s="18">
        <v>45670.708287037036</v>
      </c>
      <c r="C505" s="2" t="s">
        <v>352</v>
      </c>
      <c r="D505" s="2" t="s">
        <v>268</v>
      </c>
      <c r="E505" s="2" t="s">
        <v>371</v>
      </c>
      <c r="F505" s="2" t="s">
        <v>19</v>
      </c>
      <c r="G505" s="3">
        <v>590000</v>
      </c>
      <c r="H505" s="8">
        <v>15</v>
      </c>
      <c r="I505" s="3">
        <v>4425000</v>
      </c>
      <c r="J505" s="3">
        <v>4425000</v>
      </c>
    </row>
    <row r="506" spans="1:10" x14ac:dyDescent="0.25">
      <c r="A506" s="2">
        <v>506</v>
      </c>
      <c r="B506" s="18">
        <v>45670.708287037036</v>
      </c>
      <c r="C506" s="2" t="s">
        <v>352</v>
      </c>
      <c r="D506" s="2" t="s">
        <v>268</v>
      </c>
      <c r="E506" s="2" t="s">
        <v>371</v>
      </c>
      <c r="F506" s="2" t="s">
        <v>27</v>
      </c>
      <c r="G506" s="3">
        <v>935000</v>
      </c>
      <c r="H506" s="8">
        <v>17</v>
      </c>
      <c r="I506" s="3">
        <v>7947500</v>
      </c>
      <c r="J506" s="3">
        <v>7947500</v>
      </c>
    </row>
    <row r="507" spans="1:10" x14ac:dyDescent="0.25">
      <c r="A507" s="2">
        <v>507</v>
      </c>
      <c r="B507" s="18">
        <v>45670.708287037036</v>
      </c>
      <c r="C507" s="2" t="s">
        <v>352</v>
      </c>
      <c r="D507" s="2" t="s">
        <v>318</v>
      </c>
      <c r="E507" s="2" t="s">
        <v>363</v>
      </c>
      <c r="F507" s="2" t="s">
        <v>31</v>
      </c>
      <c r="G507" s="3">
        <v>745000</v>
      </c>
      <c r="H507" s="8">
        <v>1</v>
      </c>
      <c r="I507" s="3">
        <v>0</v>
      </c>
      <c r="J507" s="3">
        <v>0</v>
      </c>
    </row>
    <row r="508" spans="1:10" x14ac:dyDescent="0.25">
      <c r="A508" s="2">
        <v>508</v>
      </c>
      <c r="B508" s="18">
        <v>45672.708287037036</v>
      </c>
      <c r="C508" s="2" t="s">
        <v>352</v>
      </c>
      <c r="D508" s="2" t="s">
        <v>268</v>
      </c>
      <c r="E508" s="2" t="s">
        <v>371</v>
      </c>
      <c r="F508" s="2" t="s">
        <v>33</v>
      </c>
      <c r="G508" s="3">
        <v>485000</v>
      </c>
      <c r="H508" s="8">
        <v>12</v>
      </c>
      <c r="I508" s="3">
        <v>2619000</v>
      </c>
      <c r="J508" s="3">
        <v>2619000</v>
      </c>
    </row>
    <row r="509" spans="1:10" x14ac:dyDescent="0.25">
      <c r="A509" s="2">
        <v>509</v>
      </c>
      <c r="B509" s="18">
        <v>45672.708287037036</v>
      </c>
      <c r="C509" s="2" t="s">
        <v>352</v>
      </c>
      <c r="D509" s="2" t="s">
        <v>268</v>
      </c>
      <c r="E509" s="2" t="s">
        <v>371</v>
      </c>
      <c r="F509" s="2" t="s">
        <v>59</v>
      </c>
      <c r="G509" s="3">
        <v>475000</v>
      </c>
      <c r="H509" s="8">
        <v>12</v>
      </c>
      <c r="I509" s="3">
        <v>2564999.9999999995</v>
      </c>
      <c r="J509" s="3">
        <v>2564999.9999999995</v>
      </c>
    </row>
    <row r="510" spans="1:10" x14ac:dyDescent="0.25">
      <c r="A510" s="2">
        <v>510</v>
      </c>
      <c r="B510" s="18">
        <v>45672.708287037036</v>
      </c>
      <c r="C510" s="2" t="s">
        <v>352</v>
      </c>
      <c r="D510" s="2" t="s">
        <v>268</v>
      </c>
      <c r="E510" s="2" t="s">
        <v>371</v>
      </c>
      <c r="F510" s="2" t="s">
        <v>31</v>
      </c>
      <c r="G510" s="3">
        <v>745000</v>
      </c>
      <c r="H510" s="8">
        <v>12</v>
      </c>
      <c r="I510" s="3">
        <v>4470000</v>
      </c>
      <c r="J510" s="3">
        <v>4470000</v>
      </c>
    </row>
    <row r="511" spans="1:10" x14ac:dyDescent="0.25">
      <c r="A511" s="2">
        <v>511</v>
      </c>
      <c r="B511" s="18">
        <v>45672.708287037036</v>
      </c>
      <c r="C511" s="2" t="s">
        <v>352</v>
      </c>
      <c r="D511" s="2" t="s">
        <v>268</v>
      </c>
      <c r="E511" s="2" t="s">
        <v>371</v>
      </c>
      <c r="F511" s="2" t="s">
        <v>57</v>
      </c>
      <c r="G511" s="3">
        <v>745000</v>
      </c>
      <c r="H511" s="8">
        <v>12</v>
      </c>
      <c r="I511" s="3">
        <v>4470000</v>
      </c>
      <c r="J511" s="3">
        <v>4470000</v>
      </c>
    </row>
    <row r="512" spans="1:10" x14ac:dyDescent="0.25">
      <c r="A512" s="2">
        <v>512</v>
      </c>
      <c r="B512" s="18">
        <v>45672.708287037036</v>
      </c>
      <c r="C512" s="2" t="s">
        <v>352</v>
      </c>
      <c r="D512" s="2" t="s">
        <v>267</v>
      </c>
      <c r="E512" s="2" t="s">
        <v>371</v>
      </c>
      <c r="F512" s="2" t="s">
        <v>33</v>
      </c>
      <c r="G512" s="3">
        <v>485000</v>
      </c>
      <c r="H512" s="8">
        <v>38</v>
      </c>
      <c r="I512" s="3">
        <v>8293500</v>
      </c>
      <c r="J512" s="3">
        <v>8293500</v>
      </c>
    </row>
    <row r="513" spans="1:10" x14ac:dyDescent="0.25">
      <c r="A513" s="2">
        <v>513</v>
      </c>
      <c r="B513" s="18">
        <v>45672.708287037036</v>
      </c>
      <c r="C513" s="2" t="s">
        <v>352</v>
      </c>
      <c r="D513" s="2" t="s">
        <v>267</v>
      </c>
      <c r="E513" s="2" t="s">
        <v>371</v>
      </c>
      <c r="F513" s="2" t="s">
        <v>59</v>
      </c>
      <c r="G513" s="3">
        <v>475000</v>
      </c>
      <c r="H513" s="8">
        <v>21</v>
      </c>
      <c r="I513" s="3">
        <v>4488749.999999999</v>
      </c>
      <c r="J513" s="3">
        <v>4488749.999999999</v>
      </c>
    </row>
    <row r="514" spans="1:10" x14ac:dyDescent="0.25">
      <c r="A514" s="2">
        <v>514</v>
      </c>
      <c r="B514" s="18">
        <v>45672.708287037036</v>
      </c>
      <c r="C514" s="2" t="s">
        <v>352</v>
      </c>
      <c r="D514" s="2" t="s">
        <v>267</v>
      </c>
      <c r="E514" s="2" t="s">
        <v>371</v>
      </c>
      <c r="F514" s="2" t="s">
        <v>31</v>
      </c>
      <c r="G514" s="3">
        <v>745000</v>
      </c>
      <c r="H514" s="8">
        <v>38</v>
      </c>
      <c r="I514" s="3">
        <v>14155000</v>
      </c>
      <c r="J514" s="3">
        <v>14155000</v>
      </c>
    </row>
    <row r="515" spans="1:10" x14ac:dyDescent="0.25">
      <c r="A515" s="2">
        <v>515</v>
      </c>
      <c r="B515" s="18">
        <v>45672.708287037036</v>
      </c>
      <c r="C515" s="2" t="s">
        <v>352</v>
      </c>
      <c r="D515" s="2" t="s">
        <v>267</v>
      </c>
      <c r="E515" s="2" t="s">
        <v>371</v>
      </c>
      <c r="F515" s="2" t="s">
        <v>57</v>
      </c>
      <c r="G515" s="3">
        <v>745000</v>
      </c>
      <c r="H515" s="8">
        <v>21</v>
      </c>
      <c r="I515" s="3">
        <v>7822500</v>
      </c>
      <c r="J515" s="3">
        <v>7822500</v>
      </c>
    </row>
    <row r="516" spans="1:10" x14ac:dyDescent="0.25">
      <c r="A516" s="2">
        <v>516</v>
      </c>
      <c r="B516" s="18">
        <v>45672.708287037036</v>
      </c>
      <c r="C516" s="2" t="s">
        <v>352</v>
      </c>
      <c r="D516" s="2" t="s">
        <v>267</v>
      </c>
      <c r="E516" s="2" t="s">
        <v>371</v>
      </c>
      <c r="F516" s="2" t="s">
        <v>19</v>
      </c>
      <c r="G516" s="3">
        <v>590000</v>
      </c>
      <c r="H516" s="8">
        <v>44</v>
      </c>
      <c r="I516" s="3">
        <v>12980000</v>
      </c>
      <c r="J516" s="3">
        <v>12980000</v>
      </c>
    </row>
    <row r="517" spans="1:10" x14ac:dyDescent="0.25">
      <c r="A517" s="2">
        <v>517</v>
      </c>
      <c r="B517" s="18">
        <v>45672.708287037036</v>
      </c>
      <c r="C517" s="2" t="s">
        <v>352</v>
      </c>
      <c r="D517" s="2" t="s">
        <v>24</v>
      </c>
      <c r="E517" s="2" t="s">
        <v>367</v>
      </c>
      <c r="F517" s="2" t="s">
        <v>25</v>
      </c>
      <c r="G517" s="3">
        <v>890000</v>
      </c>
      <c r="H517" s="8">
        <v>3</v>
      </c>
      <c r="I517" s="3">
        <v>1335000</v>
      </c>
      <c r="J517" s="3">
        <v>1335000</v>
      </c>
    </row>
    <row r="518" spans="1:10" x14ac:dyDescent="0.25">
      <c r="A518" s="2">
        <v>518</v>
      </c>
      <c r="B518" s="18">
        <v>45673.708287037036</v>
      </c>
      <c r="C518" s="2" t="s">
        <v>352</v>
      </c>
      <c r="D518" s="2" t="s">
        <v>264</v>
      </c>
      <c r="E518" s="2" t="s">
        <v>371</v>
      </c>
      <c r="F518" s="2" t="s">
        <v>25</v>
      </c>
      <c r="G518" s="3">
        <v>890000</v>
      </c>
      <c r="H518" s="8">
        <v>35</v>
      </c>
      <c r="I518" s="3">
        <v>15575000</v>
      </c>
      <c r="J518" s="3">
        <v>15575000</v>
      </c>
    </row>
    <row r="519" spans="1:10" x14ac:dyDescent="0.25">
      <c r="A519" s="2">
        <v>519</v>
      </c>
      <c r="B519" s="18">
        <v>45673.708287037036</v>
      </c>
      <c r="C519" s="2" t="s">
        <v>352</v>
      </c>
      <c r="D519" s="2" t="s">
        <v>264</v>
      </c>
      <c r="E519" s="2" t="s">
        <v>371</v>
      </c>
      <c r="F519" s="2" t="s">
        <v>89</v>
      </c>
      <c r="G519" s="3">
        <v>390000</v>
      </c>
      <c r="H519" s="8">
        <v>35</v>
      </c>
      <c r="I519" s="3">
        <v>0</v>
      </c>
      <c r="J519" s="3">
        <v>0</v>
      </c>
    </row>
    <row r="520" spans="1:10" x14ac:dyDescent="0.25">
      <c r="A520" s="2">
        <v>520</v>
      </c>
      <c r="B520" s="18">
        <v>45673.708287037036</v>
      </c>
      <c r="C520" s="2" t="s">
        <v>352</v>
      </c>
      <c r="D520" s="2" t="s">
        <v>86</v>
      </c>
      <c r="E520" s="2" t="s">
        <v>369</v>
      </c>
      <c r="F520" s="2" t="s">
        <v>29</v>
      </c>
      <c r="G520" s="3">
        <v>590000</v>
      </c>
      <c r="H520" s="8">
        <v>10</v>
      </c>
      <c r="I520" s="3">
        <v>2950000</v>
      </c>
      <c r="J520" s="3">
        <v>2950000</v>
      </c>
    </row>
    <row r="521" spans="1:10" x14ac:dyDescent="0.25">
      <c r="A521" s="2">
        <v>521</v>
      </c>
      <c r="B521" s="18">
        <v>45673.708287037036</v>
      </c>
      <c r="C521" s="2" t="s">
        <v>352</v>
      </c>
      <c r="D521" s="2" t="s">
        <v>86</v>
      </c>
      <c r="E521" s="2" t="s">
        <v>369</v>
      </c>
      <c r="F521" s="2" t="s">
        <v>33</v>
      </c>
      <c r="G521" s="3">
        <v>485000</v>
      </c>
      <c r="H521" s="8">
        <v>10</v>
      </c>
      <c r="I521" s="3">
        <v>2425000</v>
      </c>
      <c r="J521" s="3">
        <v>2425000</v>
      </c>
    </row>
    <row r="522" spans="1:10" x14ac:dyDescent="0.25">
      <c r="A522" s="2">
        <v>522</v>
      </c>
      <c r="B522" s="18">
        <v>45673.708287037036</v>
      </c>
      <c r="C522" s="2" t="s">
        <v>352</v>
      </c>
      <c r="D522" s="2" t="s">
        <v>86</v>
      </c>
      <c r="E522" s="2" t="s">
        <v>369</v>
      </c>
      <c r="F522" s="2" t="s">
        <v>85</v>
      </c>
      <c r="G522" s="3">
        <v>480000</v>
      </c>
      <c r="H522" s="8">
        <v>10</v>
      </c>
      <c r="I522" s="3">
        <v>2400000</v>
      </c>
      <c r="J522" s="3">
        <v>2400000</v>
      </c>
    </row>
    <row r="523" spans="1:10" x14ac:dyDescent="0.25">
      <c r="A523" s="2">
        <v>523</v>
      </c>
      <c r="B523" s="18">
        <v>45673.708287037036</v>
      </c>
      <c r="C523" s="2" t="s">
        <v>352</v>
      </c>
      <c r="D523" s="2" t="s">
        <v>249</v>
      </c>
      <c r="E523" s="2" t="s">
        <v>363</v>
      </c>
      <c r="F523" s="2" t="s">
        <v>31</v>
      </c>
      <c r="G523" s="3">
        <v>745000</v>
      </c>
      <c r="H523" s="8">
        <v>1</v>
      </c>
      <c r="I523" s="3">
        <v>454450</v>
      </c>
      <c r="J523" s="3">
        <v>454450</v>
      </c>
    </row>
    <row r="524" spans="1:10" x14ac:dyDescent="0.25">
      <c r="A524" s="2">
        <v>524</v>
      </c>
      <c r="B524" s="18">
        <v>45676.708287037036</v>
      </c>
      <c r="C524" s="2" t="s">
        <v>352</v>
      </c>
      <c r="D524" s="2" t="s">
        <v>106</v>
      </c>
      <c r="E524" s="2" t="s">
        <v>367</v>
      </c>
      <c r="F524" s="2" t="s">
        <v>31</v>
      </c>
      <c r="G524" s="3">
        <v>745000</v>
      </c>
      <c r="H524" s="8">
        <v>1</v>
      </c>
      <c r="I524" s="3">
        <v>484250</v>
      </c>
      <c r="J524" s="3">
        <v>484250</v>
      </c>
    </row>
    <row r="525" spans="1:10" x14ac:dyDescent="0.25">
      <c r="A525" s="2">
        <v>525</v>
      </c>
      <c r="B525" s="18">
        <v>45676.708287037036</v>
      </c>
      <c r="C525" s="2" t="s">
        <v>352</v>
      </c>
      <c r="D525" s="2" t="s">
        <v>106</v>
      </c>
      <c r="E525" s="2" t="s">
        <v>367</v>
      </c>
      <c r="F525" s="2" t="s">
        <v>51</v>
      </c>
      <c r="G525" s="3">
        <v>465000</v>
      </c>
      <c r="H525" s="8">
        <v>1</v>
      </c>
      <c r="I525" s="3">
        <v>150000.16499999998</v>
      </c>
      <c r="J525" s="3">
        <v>150000.16499999998</v>
      </c>
    </row>
    <row r="526" spans="1:10" x14ac:dyDescent="0.25">
      <c r="A526" s="2">
        <v>526</v>
      </c>
      <c r="B526" s="18">
        <v>45676.708287037036</v>
      </c>
      <c r="C526" s="2" t="s">
        <v>352</v>
      </c>
      <c r="D526" s="2" t="s">
        <v>253</v>
      </c>
      <c r="E526" s="2" t="s">
        <v>370</v>
      </c>
      <c r="F526" s="2" t="s">
        <v>91</v>
      </c>
      <c r="G526" s="3">
        <v>750000</v>
      </c>
      <c r="H526" s="8">
        <v>1</v>
      </c>
      <c r="I526" s="3">
        <v>0</v>
      </c>
      <c r="J526" s="3">
        <v>0</v>
      </c>
    </row>
    <row r="527" spans="1:10" x14ac:dyDescent="0.25">
      <c r="A527" s="2">
        <v>527</v>
      </c>
      <c r="B527" s="18">
        <v>45677.708287037036</v>
      </c>
      <c r="C527" s="2" t="s">
        <v>352</v>
      </c>
      <c r="D527" s="2" t="s">
        <v>106</v>
      </c>
      <c r="E527" s="2" t="s">
        <v>367</v>
      </c>
      <c r="F527" s="2" t="s">
        <v>19</v>
      </c>
      <c r="G527" s="3">
        <v>590000</v>
      </c>
      <c r="H527" s="8">
        <v>1</v>
      </c>
      <c r="I527" s="3">
        <v>383500</v>
      </c>
      <c r="J527" s="3">
        <v>383500</v>
      </c>
    </row>
    <row r="528" spans="1:10" x14ac:dyDescent="0.25">
      <c r="A528" s="2">
        <v>528</v>
      </c>
      <c r="B528" s="18">
        <v>45677.708287037036</v>
      </c>
      <c r="C528" s="2" t="s">
        <v>352</v>
      </c>
      <c r="D528" s="2" t="s">
        <v>328</v>
      </c>
      <c r="E528" s="2" t="s">
        <v>367</v>
      </c>
      <c r="F528" s="2" t="s">
        <v>51</v>
      </c>
      <c r="G528" s="3">
        <v>465000</v>
      </c>
      <c r="H528" s="8">
        <v>2</v>
      </c>
      <c r="I528" s="3">
        <v>0</v>
      </c>
      <c r="J528" s="3">
        <v>0</v>
      </c>
    </row>
    <row r="529" spans="1:10" x14ac:dyDescent="0.25">
      <c r="A529" s="2">
        <v>529</v>
      </c>
      <c r="B529" s="18">
        <v>45677.708287037036</v>
      </c>
      <c r="C529" s="2" t="s">
        <v>352</v>
      </c>
      <c r="D529" s="2" t="s">
        <v>328</v>
      </c>
      <c r="E529" s="2" t="s">
        <v>367</v>
      </c>
      <c r="F529" s="2" t="s">
        <v>31</v>
      </c>
      <c r="G529" s="3">
        <v>745000</v>
      </c>
      <c r="H529" s="8">
        <v>2</v>
      </c>
      <c r="I529" s="3">
        <v>0</v>
      </c>
      <c r="J529" s="3">
        <v>0</v>
      </c>
    </row>
    <row r="530" spans="1:10" x14ac:dyDescent="0.25">
      <c r="A530" s="2">
        <v>530</v>
      </c>
      <c r="B530" s="18">
        <v>45678.708287037036</v>
      </c>
      <c r="C530" s="2" t="s">
        <v>352</v>
      </c>
      <c r="D530" s="2" t="s">
        <v>325</v>
      </c>
      <c r="E530" s="2" t="s">
        <v>367</v>
      </c>
      <c r="F530" s="2" t="s">
        <v>27</v>
      </c>
      <c r="G530" s="3">
        <v>935000</v>
      </c>
      <c r="H530" s="8">
        <v>1</v>
      </c>
      <c r="I530" s="3">
        <v>607750</v>
      </c>
      <c r="J530" s="3">
        <v>607750</v>
      </c>
    </row>
    <row r="531" spans="1:10" x14ac:dyDescent="0.25">
      <c r="A531" s="2">
        <v>531</v>
      </c>
      <c r="B531" s="18">
        <v>45679.708287037036</v>
      </c>
      <c r="C531" s="2" t="s">
        <v>352</v>
      </c>
      <c r="D531" s="2" t="s">
        <v>106</v>
      </c>
      <c r="E531" s="2" t="s">
        <v>367</v>
      </c>
      <c r="F531" s="2" t="s">
        <v>19</v>
      </c>
      <c r="G531" s="3">
        <v>590000</v>
      </c>
      <c r="H531" s="8">
        <v>1</v>
      </c>
      <c r="I531" s="3">
        <v>383500</v>
      </c>
      <c r="J531" s="3">
        <v>383500</v>
      </c>
    </row>
    <row r="532" spans="1:10" x14ac:dyDescent="0.25">
      <c r="A532" s="2">
        <v>532</v>
      </c>
      <c r="B532" s="18">
        <v>45679.708287037036</v>
      </c>
      <c r="C532" s="2" t="s">
        <v>352</v>
      </c>
      <c r="D532" s="2" t="s">
        <v>106</v>
      </c>
      <c r="E532" s="2" t="s">
        <v>367</v>
      </c>
      <c r="F532" s="2" t="s">
        <v>21</v>
      </c>
      <c r="G532" s="3">
        <v>890000</v>
      </c>
      <c r="H532" s="8">
        <v>1</v>
      </c>
      <c r="I532" s="3">
        <v>578500</v>
      </c>
      <c r="J532" s="3">
        <v>578500</v>
      </c>
    </row>
    <row r="533" spans="1:10" x14ac:dyDescent="0.25">
      <c r="A533" s="2">
        <v>533</v>
      </c>
      <c r="B533" s="18">
        <v>45680.708287037036</v>
      </c>
      <c r="C533" s="2" t="s">
        <v>352</v>
      </c>
      <c r="D533" s="2" t="s">
        <v>106</v>
      </c>
      <c r="E533" s="2" t="s">
        <v>367</v>
      </c>
      <c r="F533" s="2" t="s">
        <v>19</v>
      </c>
      <c r="G533" s="3">
        <v>590000</v>
      </c>
      <c r="H533" s="8">
        <v>2</v>
      </c>
      <c r="I533" s="3">
        <v>767000</v>
      </c>
      <c r="J533" s="3">
        <v>767000</v>
      </c>
    </row>
    <row r="534" spans="1:10" x14ac:dyDescent="0.25">
      <c r="A534" s="2">
        <v>534</v>
      </c>
      <c r="B534" s="18">
        <v>45680.708287037036</v>
      </c>
      <c r="C534" s="2" t="s">
        <v>352</v>
      </c>
      <c r="D534" s="2" t="s">
        <v>34</v>
      </c>
      <c r="E534" s="2" t="s">
        <v>370</v>
      </c>
      <c r="F534" s="2" t="s">
        <v>85</v>
      </c>
      <c r="G534" s="3">
        <v>480000</v>
      </c>
      <c r="H534" s="8">
        <v>1</v>
      </c>
      <c r="I534" s="3">
        <v>288000</v>
      </c>
      <c r="J534" s="3">
        <v>288000</v>
      </c>
    </row>
    <row r="535" spans="1:10" x14ac:dyDescent="0.25">
      <c r="A535" s="2">
        <v>535</v>
      </c>
      <c r="B535" s="18">
        <v>45680.708287037036</v>
      </c>
      <c r="C535" s="2" t="s">
        <v>352</v>
      </c>
      <c r="D535" s="2" t="s">
        <v>34</v>
      </c>
      <c r="E535" s="2" t="s">
        <v>370</v>
      </c>
      <c r="F535" s="2" t="s">
        <v>33</v>
      </c>
      <c r="G535" s="3">
        <v>485000</v>
      </c>
      <c r="H535" s="8">
        <v>9</v>
      </c>
      <c r="I535" s="3">
        <v>2619000</v>
      </c>
      <c r="J535" s="3">
        <v>2619000</v>
      </c>
    </row>
    <row r="536" spans="1:10" x14ac:dyDescent="0.25">
      <c r="A536" s="2">
        <v>536</v>
      </c>
      <c r="B536" s="18">
        <v>45680.708287037036</v>
      </c>
      <c r="C536" s="2" t="s">
        <v>352</v>
      </c>
      <c r="D536" s="2" t="s">
        <v>34</v>
      </c>
      <c r="E536" s="2" t="s">
        <v>370</v>
      </c>
      <c r="F536" s="2" t="s">
        <v>59</v>
      </c>
      <c r="G536" s="3">
        <v>475000</v>
      </c>
      <c r="H536" s="8">
        <v>9</v>
      </c>
      <c r="I536" s="3">
        <v>2565000</v>
      </c>
      <c r="J536" s="3">
        <v>2565000</v>
      </c>
    </row>
    <row r="537" spans="1:10" x14ac:dyDescent="0.25">
      <c r="A537" s="2">
        <v>537</v>
      </c>
      <c r="B537" s="18">
        <v>45680.708287037036</v>
      </c>
      <c r="C537" s="2" t="s">
        <v>352</v>
      </c>
      <c r="D537" s="2" t="s">
        <v>34</v>
      </c>
      <c r="E537" s="2" t="s">
        <v>370</v>
      </c>
      <c r="F537" s="2" t="s">
        <v>23</v>
      </c>
      <c r="G537" s="3">
        <v>775000</v>
      </c>
      <c r="H537" s="8">
        <v>5</v>
      </c>
      <c r="I537" s="3">
        <v>2518750</v>
      </c>
      <c r="J537" s="3">
        <v>2518750</v>
      </c>
    </row>
    <row r="538" spans="1:10" x14ac:dyDescent="0.25">
      <c r="A538" s="2">
        <v>538</v>
      </c>
      <c r="B538" s="18">
        <v>45680.708287037036</v>
      </c>
      <c r="C538" s="2" t="s">
        <v>352</v>
      </c>
      <c r="D538" s="2" t="s">
        <v>34</v>
      </c>
      <c r="E538" s="2" t="s">
        <v>370</v>
      </c>
      <c r="F538" s="2" t="s">
        <v>19</v>
      </c>
      <c r="G538" s="3">
        <v>590000</v>
      </c>
      <c r="H538" s="8">
        <v>1</v>
      </c>
      <c r="I538" s="3">
        <v>354000</v>
      </c>
      <c r="J538" s="3">
        <v>354000</v>
      </c>
    </row>
    <row r="539" spans="1:10" x14ac:dyDescent="0.25">
      <c r="A539" s="2">
        <v>539</v>
      </c>
      <c r="B539" s="18">
        <v>45680.708287037036</v>
      </c>
      <c r="C539" s="2" t="s">
        <v>352</v>
      </c>
      <c r="D539" s="2" t="s">
        <v>34</v>
      </c>
      <c r="E539" s="2" t="s">
        <v>370</v>
      </c>
      <c r="F539" s="2" t="s">
        <v>23</v>
      </c>
      <c r="G539" s="3">
        <v>775000</v>
      </c>
      <c r="H539" s="8">
        <v>2</v>
      </c>
      <c r="I539" s="3">
        <v>1007500</v>
      </c>
      <c r="J539" s="3">
        <v>1007500</v>
      </c>
    </row>
    <row r="540" spans="1:10" x14ac:dyDescent="0.25">
      <c r="A540" s="2">
        <v>540</v>
      </c>
      <c r="B540" s="18">
        <v>45627.708287037036</v>
      </c>
      <c r="C540" s="2" t="s">
        <v>351</v>
      </c>
      <c r="D540" s="2" t="s">
        <v>268</v>
      </c>
      <c r="E540" s="2" t="s">
        <v>371</v>
      </c>
      <c r="F540" s="2" t="s">
        <v>33</v>
      </c>
      <c r="G540" s="3">
        <v>485000</v>
      </c>
      <c r="H540" s="8">
        <v>20</v>
      </c>
      <c r="I540" s="3">
        <v>4365000</v>
      </c>
      <c r="J540" s="3">
        <v>4365000</v>
      </c>
    </row>
    <row r="541" spans="1:10" x14ac:dyDescent="0.25">
      <c r="A541" s="2">
        <v>541</v>
      </c>
      <c r="B541" s="18">
        <v>45627.708287037036</v>
      </c>
      <c r="C541" s="2" t="s">
        <v>351</v>
      </c>
      <c r="D541" s="2" t="s">
        <v>268</v>
      </c>
      <c r="E541" s="2" t="s">
        <v>371</v>
      </c>
      <c r="F541" s="2" t="s">
        <v>59</v>
      </c>
      <c r="G541" s="3">
        <v>475000</v>
      </c>
      <c r="H541" s="8">
        <v>4</v>
      </c>
      <c r="I541" s="3">
        <v>854999.9999999999</v>
      </c>
      <c r="J541" s="3">
        <v>854999.9999999999</v>
      </c>
    </row>
    <row r="542" spans="1:10" x14ac:dyDescent="0.25">
      <c r="A542" s="2">
        <v>542</v>
      </c>
      <c r="B542" s="18">
        <v>45627.708287037036</v>
      </c>
      <c r="C542" s="2" t="s">
        <v>351</v>
      </c>
      <c r="D542" s="2" t="s">
        <v>268</v>
      </c>
      <c r="E542" s="2" t="s">
        <v>371</v>
      </c>
      <c r="F542" s="2" t="s">
        <v>31</v>
      </c>
      <c r="G542" s="3">
        <v>745000</v>
      </c>
      <c r="H542" s="8">
        <v>20</v>
      </c>
      <c r="I542" s="3">
        <v>7450000</v>
      </c>
      <c r="J542" s="3">
        <v>7450000</v>
      </c>
    </row>
    <row r="543" spans="1:10" x14ac:dyDescent="0.25">
      <c r="A543" s="2">
        <v>543</v>
      </c>
      <c r="B543" s="18">
        <v>45627.708287037036</v>
      </c>
      <c r="C543" s="2" t="s">
        <v>351</v>
      </c>
      <c r="D543" s="2" t="s">
        <v>268</v>
      </c>
      <c r="E543" s="2" t="s">
        <v>371</v>
      </c>
      <c r="F543" s="2" t="s">
        <v>57</v>
      </c>
      <c r="G543" s="3">
        <v>745000</v>
      </c>
      <c r="H543" s="8">
        <v>4</v>
      </c>
      <c r="I543" s="3">
        <v>1490000</v>
      </c>
      <c r="J543" s="3">
        <v>1490000</v>
      </c>
    </row>
    <row r="544" spans="1:10" x14ac:dyDescent="0.25">
      <c r="A544" s="2">
        <v>544</v>
      </c>
      <c r="B544" s="18">
        <v>45627.708287037036</v>
      </c>
      <c r="C544" s="2" t="s">
        <v>351</v>
      </c>
      <c r="D544" s="2" t="s">
        <v>262</v>
      </c>
      <c r="E544" s="2" t="s">
        <v>364</v>
      </c>
      <c r="F544" s="2" t="s">
        <v>85</v>
      </c>
      <c r="G544" s="3">
        <v>480000</v>
      </c>
      <c r="H544" s="8">
        <v>-68</v>
      </c>
      <c r="I544" s="3">
        <v>-16320000</v>
      </c>
      <c r="J544" s="3">
        <v>-16320000</v>
      </c>
    </row>
    <row r="545" spans="1:10" x14ac:dyDescent="0.25">
      <c r="A545" s="2">
        <v>545</v>
      </c>
      <c r="B545" s="18">
        <v>45627.708287037036</v>
      </c>
      <c r="C545" s="2" t="s">
        <v>351</v>
      </c>
      <c r="D545" s="2" t="s">
        <v>262</v>
      </c>
      <c r="E545" s="2" t="s">
        <v>364</v>
      </c>
      <c r="F545" s="2" t="s">
        <v>67</v>
      </c>
      <c r="G545" s="3">
        <v>945000</v>
      </c>
      <c r="H545" s="8">
        <v>-92</v>
      </c>
      <c r="I545" s="3">
        <v>-43470000</v>
      </c>
      <c r="J545" s="3">
        <v>-43470000</v>
      </c>
    </row>
    <row r="546" spans="1:10" x14ac:dyDescent="0.25">
      <c r="A546" s="2">
        <v>546</v>
      </c>
      <c r="B546" s="18">
        <v>45627.708287037036</v>
      </c>
      <c r="C546" s="2" t="s">
        <v>351</v>
      </c>
      <c r="D546" s="2" t="s">
        <v>262</v>
      </c>
      <c r="E546" s="2" t="s">
        <v>364</v>
      </c>
      <c r="F546" s="2" t="s">
        <v>69</v>
      </c>
      <c r="G546" s="3">
        <v>1450000</v>
      </c>
      <c r="H546" s="8">
        <v>-9</v>
      </c>
      <c r="I546" s="3">
        <v>-6525000</v>
      </c>
      <c r="J546" s="3">
        <v>-6525000</v>
      </c>
    </row>
    <row r="547" spans="1:10" x14ac:dyDescent="0.25">
      <c r="A547" s="2">
        <v>547</v>
      </c>
      <c r="B547" s="18">
        <v>45627.708287037036</v>
      </c>
      <c r="C547" s="2" t="s">
        <v>351</v>
      </c>
      <c r="D547" s="2" t="s">
        <v>262</v>
      </c>
      <c r="E547" s="2" t="s">
        <v>364</v>
      </c>
      <c r="F547" s="2" t="s">
        <v>89</v>
      </c>
      <c r="G547" s="3">
        <v>390000</v>
      </c>
      <c r="H547" s="8">
        <v>-68</v>
      </c>
      <c r="I547" s="3">
        <v>0</v>
      </c>
      <c r="J547" s="3">
        <v>0</v>
      </c>
    </row>
    <row r="548" spans="1:10" x14ac:dyDescent="0.25">
      <c r="A548" s="2">
        <v>548</v>
      </c>
      <c r="B548" s="18">
        <v>45627.708287037036</v>
      </c>
      <c r="C548" s="2" t="s">
        <v>351</v>
      </c>
      <c r="D548" s="2" t="s">
        <v>262</v>
      </c>
      <c r="E548" s="2" t="s">
        <v>364</v>
      </c>
      <c r="F548" s="2" t="s">
        <v>33</v>
      </c>
      <c r="G548" s="3">
        <v>485000</v>
      </c>
      <c r="H548" s="8">
        <v>90</v>
      </c>
      <c r="I548" s="3">
        <v>21825000</v>
      </c>
      <c r="J548" s="3">
        <v>21825000</v>
      </c>
    </row>
    <row r="549" spans="1:10" x14ac:dyDescent="0.25">
      <c r="A549" s="2">
        <v>549</v>
      </c>
      <c r="B549" s="18">
        <v>45627.708287037036</v>
      </c>
      <c r="C549" s="2" t="s">
        <v>351</v>
      </c>
      <c r="D549" s="2" t="s">
        <v>262</v>
      </c>
      <c r="E549" s="2" t="s">
        <v>364</v>
      </c>
      <c r="F549" s="2" t="s">
        <v>59</v>
      </c>
      <c r="G549" s="3">
        <v>475000</v>
      </c>
      <c r="H549" s="8">
        <v>90</v>
      </c>
      <c r="I549" s="3">
        <v>21375000</v>
      </c>
      <c r="J549" s="3">
        <v>21375000</v>
      </c>
    </row>
    <row r="550" spans="1:10" x14ac:dyDescent="0.25">
      <c r="A550" s="2">
        <v>550</v>
      </c>
      <c r="B550" s="18">
        <v>45627.708287037036</v>
      </c>
      <c r="C550" s="2" t="s">
        <v>351</v>
      </c>
      <c r="D550" s="2" t="s">
        <v>262</v>
      </c>
      <c r="E550" s="2" t="s">
        <v>364</v>
      </c>
      <c r="F550" s="2" t="s">
        <v>89</v>
      </c>
      <c r="G550" s="3">
        <v>390000</v>
      </c>
      <c r="H550" s="8">
        <v>180</v>
      </c>
      <c r="I550" s="3">
        <v>0</v>
      </c>
      <c r="J550" s="3">
        <v>0</v>
      </c>
    </row>
    <row r="551" spans="1:10" x14ac:dyDescent="0.25">
      <c r="A551" s="2">
        <v>551</v>
      </c>
      <c r="B551" s="18">
        <v>45627.708287037036</v>
      </c>
      <c r="C551" s="2" t="s">
        <v>351</v>
      </c>
      <c r="D551" s="2" t="s">
        <v>267</v>
      </c>
      <c r="E551" s="2" t="s">
        <v>371</v>
      </c>
      <c r="F551" s="2" t="s">
        <v>33</v>
      </c>
      <c r="G551" s="3">
        <v>485000</v>
      </c>
      <c r="H551" s="8">
        <v>206</v>
      </c>
      <c r="I551" s="3">
        <v>44959500</v>
      </c>
      <c r="J551" s="3">
        <v>44959500</v>
      </c>
    </row>
    <row r="552" spans="1:10" x14ac:dyDescent="0.25">
      <c r="A552" s="2">
        <v>552</v>
      </c>
      <c r="B552" s="18">
        <v>45627.708287037036</v>
      </c>
      <c r="C552" s="2" t="s">
        <v>351</v>
      </c>
      <c r="D552" s="2" t="s">
        <v>267</v>
      </c>
      <c r="E552" s="2" t="s">
        <v>371</v>
      </c>
      <c r="F552" s="2" t="s">
        <v>59</v>
      </c>
      <c r="G552" s="3">
        <v>475000</v>
      </c>
      <c r="H552" s="8">
        <v>112</v>
      </c>
      <c r="I552" s="3">
        <v>23939999.999999996</v>
      </c>
      <c r="J552" s="3">
        <v>23939999.999999996</v>
      </c>
    </row>
    <row r="553" spans="1:10" x14ac:dyDescent="0.25">
      <c r="A553" s="2">
        <v>553</v>
      </c>
      <c r="B553" s="18">
        <v>45627.708287037036</v>
      </c>
      <c r="C553" s="2" t="s">
        <v>351</v>
      </c>
      <c r="D553" s="2" t="s">
        <v>267</v>
      </c>
      <c r="E553" s="2" t="s">
        <v>371</v>
      </c>
      <c r="F553" s="2" t="s">
        <v>31</v>
      </c>
      <c r="G553" s="3">
        <v>745000</v>
      </c>
      <c r="H553" s="8">
        <v>206</v>
      </c>
      <c r="I553" s="3">
        <v>76735000</v>
      </c>
      <c r="J553" s="3">
        <v>76735000</v>
      </c>
    </row>
    <row r="554" spans="1:10" x14ac:dyDescent="0.25">
      <c r="A554" s="2">
        <v>554</v>
      </c>
      <c r="B554" s="18">
        <v>45627.708287037036</v>
      </c>
      <c r="C554" s="2" t="s">
        <v>351</v>
      </c>
      <c r="D554" s="2" t="s">
        <v>267</v>
      </c>
      <c r="E554" s="2" t="s">
        <v>371</v>
      </c>
      <c r="F554" s="2" t="s">
        <v>57</v>
      </c>
      <c r="G554" s="3">
        <v>745000</v>
      </c>
      <c r="H554" s="8">
        <v>112</v>
      </c>
      <c r="I554" s="3">
        <v>41720000</v>
      </c>
      <c r="J554" s="3">
        <v>41720000</v>
      </c>
    </row>
    <row r="555" spans="1:10" x14ac:dyDescent="0.25">
      <c r="A555" s="2">
        <v>555</v>
      </c>
      <c r="B555" s="18">
        <v>45627.708287037036</v>
      </c>
      <c r="C555" s="2" t="s">
        <v>351</v>
      </c>
      <c r="D555" s="2" t="s">
        <v>34</v>
      </c>
      <c r="E555" s="2" t="s">
        <v>370</v>
      </c>
      <c r="F555" s="2" t="s">
        <v>421</v>
      </c>
      <c r="G555" s="3">
        <v>0</v>
      </c>
      <c r="H555" s="8">
        <v>0</v>
      </c>
      <c r="I555" s="3">
        <v>0</v>
      </c>
      <c r="J555" s="3">
        <v>0</v>
      </c>
    </row>
    <row r="556" spans="1:10" x14ac:dyDescent="0.25">
      <c r="A556" s="2">
        <v>556</v>
      </c>
      <c r="B556" s="18">
        <v>45629.708287037036</v>
      </c>
      <c r="C556" s="2" t="s">
        <v>351</v>
      </c>
      <c r="D556" s="2" t="s">
        <v>119</v>
      </c>
      <c r="E556" s="2" t="s">
        <v>370</v>
      </c>
      <c r="F556" s="2" t="s">
        <v>19</v>
      </c>
      <c r="G556" s="3">
        <v>590000</v>
      </c>
      <c r="H556" s="8">
        <v>2</v>
      </c>
      <c r="I556" s="3">
        <v>849600</v>
      </c>
      <c r="J556" s="3">
        <v>849600</v>
      </c>
    </row>
    <row r="557" spans="1:10" x14ac:dyDescent="0.25">
      <c r="A557" s="2">
        <v>557</v>
      </c>
      <c r="B557" s="18">
        <v>45629.708287037036</v>
      </c>
      <c r="C557" s="2" t="s">
        <v>351</v>
      </c>
      <c r="D557" s="2" t="s">
        <v>119</v>
      </c>
      <c r="E557" s="2" t="s">
        <v>370</v>
      </c>
      <c r="F557" s="2" t="s">
        <v>63</v>
      </c>
      <c r="G557" s="3">
        <v>550000</v>
      </c>
      <c r="H557" s="8">
        <v>1</v>
      </c>
      <c r="I557" s="3">
        <v>396000</v>
      </c>
      <c r="J557" s="3">
        <v>396000</v>
      </c>
    </row>
    <row r="558" spans="1:10" x14ac:dyDescent="0.25">
      <c r="A558" s="2">
        <v>558</v>
      </c>
      <c r="B558" s="18">
        <v>45629.708287037036</v>
      </c>
      <c r="C558" s="2" t="s">
        <v>351</v>
      </c>
      <c r="D558" s="2" t="s">
        <v>119</v>
      </c>
      <c r="E558" s="2" t="s">
        <v>370</v>
      </c>
      <c r="F558" s="2" t="s">
        <v>85</v>
      </c>
      <c r="G558" s="3">
        <v>480000</v>
      </c>
      <c r="H558" s="8">
        <v>2</v>
      </c>
      <c r="I558" s="3">
        <v>691200</v>
      </c>
      <c r="J558" s="3">
        <v>691200</v>
      </c>
    </row>
    <row r="559" spans="1:10" x14ac:dyDescent="0.25">
      <c r="A559" s="2">
        <v>559</v>
      </c>
      <c r="B559" s="18">
        <v>45629.708287037036</v>
      </c>
      <c r="C559" s="2" t="s">
        <v>351</v>
      </c>
      <c r="D559" s="2" t="s">
        <v>119</v>
      </c>
      <c r="E559" s="2" t="s">
        <v>370</v>
      </c>
      <c r="F559" s="2" t="s">
        <v>35</v>
      </c>
      <c r="G559" s="3">
        <v>525000</v>
      </c>
      <c r="H559" s="8">
        <v>1</v>
      </c>
      <c r="I559" s="3">
        <v>378000</v>
      </c>
      <c r="J559" s="3">
        <v>378000</v>
      </c>
    </row>
    <row r="560" spans="1:10" x14ac:dyDescent="0.25">
      <c r="A560" s="2">
        <v>560</v>
      </c>
      <c r="B560" s="18">
        <v>45629.708287037036</v>
      </c>
      <c r="C560" s="2" t="s">
        <v>351</v>
      </c>
      <c r="D560" s="2" t="s">
        <v>119</v>
      </c>
      <c r="E560" s="2" t="s">
        <v>370</v>
      </c>
      <c r="F560" s="2" t="s">
        <v>59</v>
      </c>
      <c r="G560" s="3">
        <v>475000</v>
      </c>
      <c r="H560" s="8">
        <v>1</v>
      </c>
      <c r="I560" s="3">
        <v>342000</v>
      </c>
      <c r="J560" s="3">
        <v>342000</v>
      </c>
    </row>
    <row r="561" spans="1:10" x14ac:dyDescent="0.25">
      <c r="A561" s="2">
        <v>561</v>
      </c>
      <c r="B561" s="18">
        <v>45629.708287037036</v>
      </c>
      <c r="C561" s="2" t="s">
        <v>351</v>
      </c>
      <c r="D561" s="2" t="s">
        <v>262</v>
      </c>
      <c r="E561" s="2" t="s">
        <v>364</v>
      </c>
      <c r="F561" s="2" t="s">
        <v>57</v>
      </c>
      <c r="G561" s="3">
        <v>745000</v>
      </c>
      <c r="H561" s="8">
        <v>50</v>
      </c>
      <c r="I561" s="3">
        <v>18625000</v>
      </c>
      <c r="J561" s="3">
        <v>18625000</v>
      </c>
    </row>
    <row r="562" spans="1:10" x14ac:dyDescent="0.25">
      <c r="A562" s="2">
        <v>562</v>
      </c>
      <c r="B562" s="18">
        <v>45629.708287037036</v>
      </c>
      <c r="C562" s="2" t="s">
        <v>351</v>
      </c>
      <c r="D562" s="2" t="s">
        <v>262</v>
      </c>
      <c r="E562" s="2" t="s">
        <v>364</v>
      </c>
      <c r="F562" s="2" t="s">
        <v>31</v>
      </c>
      <c r="G562" s="3">
        <v>745000</v>
      </c>
      <c r="H562" s="8">
        <v>50</v>
      </c>
      <c r="I562" s="3">
        <v>18625000</v>
      </c>
      <c r="J562" s="3">
        <v>18625000</v>
      </c>
    </row>
    <row r="563" spans="1:10" x14ac:dyDescent="0.25">
      <c r="A563" s="2">
        <v>563</v>
      </c>
      <c r="B563" s="18">
        <v>45629.708287037036</v>
      </c>
      <c r="C563" s="2" t="s">
        <v>351</v>
      </c>
      <c r="D563" s="2" t="s">
        <v>262</v>
      </c>
      <c r="E563" s="2" t="s">
        <v>364</v>
      </c>
      <c r="F563" s="2" t="s">
        <v>51</v>
      </c>
      <c r="G563" s="3">
        <v>465000</v>
      </c>
      <c r="H563" s="8">
        <v>101</v>
      </c>
      <c r="I563" s="3">
        <v>0</v>
      </c>
      <c r="J563" s="3">
        <v>0</v>
      </c>
    </row>
    <row r="564" spans="1:10" x14ac:dyDescent="0.25">
      <c r="A564" s="2">
        <v>564</v>
      </c>
      <c r="B564" s="18">
        <v>45629.708287037036</v>
      </c>
      <c r="C564" s="2" t="s">
        <v>351</v>
      </c>
      <c r="D564" s="2" t="s">
        <v>262</v>
      </c>
      <c r="E564" s="2" t="s">
        <v>364</v>
      </c>
      <c r="F564" s="2" t="s">
        <v>65</v>
      </c>
      <c r="G564" s="3">
        <v>750000</v>
      </c>
      <c r="H564" s="8">
        <v>1</v>
      </c>
      <c r="I564" s="3">
        <v>0</v>
      </c>
      <c r="J564" s="3">
        <v>0</v>
      </c>
    </row>
    <row r="565" spans="1:10" x14ac:dyDescent="0.25">
      <c r="A565" s="2">
        <v>565</v>
      </c>
      <c r="B565" s="18">
        <v>45629.708287037036</v>
      </c>
      <c r="C565" s="2" t="s">
        <v>351</v>
      </c>
      <c r="D565" s="2" t="s">
        <v>40</v>
      </c>
      <c r="E565" s="2" t="s">
        <v>369</v>
      </c>
      <c r="F565" s="2" t="s">
        <v>63</v>
      </c>
      <c r="G565" s="3">
        <v>550000</v>
      </c>
      <c r="H565" s="8">
        <v>3</v>
      </c>
      <c r="I565" s="3">
        <v>1188000</v>
      </c>
      <c r="J565" s="3">
        <v>1188000</v>
      </c>
    </row>
    <row r="566" spans="1:10" x14ac:dyDescent="0.25">
      <c r="A566" s="2">
        <v>566</v>
      </c>
      <c r="B566" s="18">
        <v>45629.708287037036</v>
      </c>
      <c r="C566" s="2" t="s">
        <v>351</v>
      </c>
      <c r="D566" s="2" t="s">
        <v>40</v>
      </c>
      <c r="E566" s="2" t="s">
        <v>369</v>
      </c>
      <c r="F566" s="2" t="s">
        <v>19</v>
      </c>
      <c r="G566" s="3">
        <v>590000</v>
      </c>
      <c r="H566" s="8">
        <v>3</v>
      </c>
      <c r="I566" s="3">
        <v>1274400</v>
      </c>
      <c r="J566" s="3">
        <v>1274400</v>
      </c>
    </row>
    <row r="567" spans="1:10" x14ac:dyDescent="0.25">
      <c r="A567" s="2">
        <v>567</v>
      </c>
      <c r="B567" s="18">
        <v>45629.708287037036</v>
      </c>
      <c r="C567" s="2" t="s">
        <v>351</v>
      </c>
      <c r="D567" s="2" t="s">
        <v>40</v>
      </c>
      <c r="E567" s="2" t="s">
        <v>369</v>
      </c>
      <c r="F567" s="2" t="s">
        <v>59</v>
      </c>
      <c r="G567" s="3">
        <v>475000</v>
      </c>
      <c r="H567" s="8">
        <v>3</v>
      </c>
      <c r="I567" s="3">
        <v>1026000</v>
      </c>
      <c r="J567" s="3">
        <v>1026000</v>
      </c>
    </row>
    <row r="568" spans="1:10" x14ac:dyDescent="0.25">
      <c r="A568" s="2">
        <v>568</v>
      </c>
      <c r="B568" s="18">
        <v>45630.708287037036</v>
      </c>
      <c r="C568" s="2" t="s">
        <v>351</v>
      </c>
      <c r="D568" s="2" t="s">
        <v>72</v>
      </c>
      <c r="E568" s="2" t="s">
        <v>364</v>
      </c>
      <c r="F568" s="2" t="s">
        <v>57</v>
      </c>
      <c r="G568" s="3">
        <v>745000</v>
      </c>
      <c r="H568" s="8">
        <v>-257</v>
      </c>
      <c r="I568" s="3">
        <v>-135438999.93574998</v>
      </c>
      <c r="J568" s="3">
        <v>-135438999.93574998</v>
      </c>
    </row>
    <row r="569" spans="1:10" x14ac:dyDescent="0.25">
      <c r="A569" s="2">
        <v>569</v>
      </c>
      <c r="B569" s="18">
        <v>45630.708287037036</v>
      </c>
      <c r="C569" s="2" t="s">
        <v>351</v>
      </c>
      <c r="D569" s="2" t="s">
        <v>72</v>
      </c>
      <c r="E569" s="2" t="s">
        <v>364</v>
      </c>
      <c r="F569" s="2" t="s">
        <v>59</v>
      </c>
      <c r="G569" s="3">
        <v>475000</v>
      </c>
      <c r="H569" s="8">
        <v>-257</v>
      </c>
      <c r="I569" s="3">
        <v>0</v>
      </c>
      <c r="J569" s="3">
        <v>0</v>
      </c>
    </row>
    <row r="570" spans="1:10" x14ac:dyDescent="0.25">
      <c r="A570" s="2">
        <v>570</v>
      </c>
      <c r="B570" s="18">
        <v>45630.708287037036</v>
      </c>
      <c r="C570" s="2" t="s">
        <v>351</v>
      </c>
      <c r="D570" s="2" t="s">
        <v>72</v>
      </c>
      <c r="E570" s="2" t="s">
        <v>364</v>
      </c>
      <c r="F570" s="2" t="s">
        <v>27</v>
      </c>
      <c r="G570" s="3">
        <v>935000</v>
      </c>
      <c r="H570" s="8">
        <v>-142</v>
      </c>
      <c r="I570" s="3">
        <v>-66385000</v>
      </c>
      <c r="J570" s="3">
        <v>-66385000</v>
      </c>
    </row>
    <row r="571" spans="1:10" x14ac:dyDescent="0.25">
      <c r="A571" s="2">
        <v>571</v>
      </c>
      <c r="B571" s="18">
        <v>45630.708287037036</v>
      </c>
      <c r="C571" s="2" t="s">
        <v>351</v>
      </c>
      <c r="D571" s="2" t="s">
        <v>72</v>
      </c>
      <c r="E571" s="2" t="s">
        <v>364</v>
      </c>
      <c r="F571" s="2" t="s">
        <v>19</v>
      </c>
      <c r="G571" s="3">
        <v>590000</v>
      </c>
      <c r="H571" s="8">
        <v>-1000</v>
      </c>
      <c r="I571" s="3">
        <v>-295000000</v>
      </c>
      <c r="J571" s="3">
        <v>-295000000</v>
      </c>
    </row>
    <row r="572" spans="1:10" x14ac:dyDescent="0.25">
      <c r="A572" s="2">
        <v>572</v>
      </c>
      <c r="B572" s="18">
        <v>45630.708287037036</v>
      </c>
      <c r="C572" s="2" t="s">
        <v>351</v>
      </c>
      <c r="D572" s="2" t="s">
        <v>72</v>
      </c>
      <c r="E572" s="2" t="s">
        <v>364</v>
      </c>
      <c r="F572" s="2" t="s">
        <v>89</v>
      </c>
      <c r="G572" s="3">
        <v>390000</v>
      </c>
      <c r="H572" s="8">
        <v>-1000</v>
      </c>
      <c r="I572" s="3">
        <v>0</v>
      </c>
      <c r="J572" s="3">
        <v>0</v>
      </c>
    </row>
    <row r="573" spans="1:10" x14ac:dyDescent="0.25">
      <c r="A573" s="2">
        <v>573</v>
      </c>
      <c r="B573" s="18">
        <v>45631.708287037036</v>
      </c>
      <c r="C573" s="2" t="s">
        <v>351</v>
      </c>
      <c r="D573" s="2" t="s">
        <v>72</v>
      </c>
      <c r="E573" s="2" t="s">
        <v>364</v>
      </c>
      <c r="F573" s="2" t="s">
        <v>57</v>
      </c>
      <c r="G573" s="3">
        <v>745000</v>
      </c>
      <c r="H573" s="8">
        <v>257</v>
      </c>
      <c r="I573" s="3">
        <v>115136000.02313</v>
      </c>
      <c r="J573" s="3">
        <v>115136000.02313</v>
      </c>
    </row>
    <row r="574" spans="1:10" x14ac:dyDescent="0.25">
      <c r="A574" s="2">
        <v>574</v>
      </c>
      <c r="B574" s="18">
        <v>45631.708287037036</v>
      </c>
      <c r="C574" s="2" t="s">
        <v>351</v>
      </c>
      <c r="D574" s="2" t="s">
        <v>72</v>
      </c>
      <c r="E574" s="2" t="s">
        <v>364</v>
      </c>
      <c r="F574" s="2" t="s">
        <v>59</v>
      </c>
      <c r="G574" s="3">
        <v>475000</v>
      </c>
      <c r="H574" s="8">
        <v>257</v>
      </c>
      <c r="I574" s="3">
        <v>0</v>
      </c>
      <c r="J574" s="3">
        <v>0</v>
      </c>
    </row>
    <row r="575" spans="1:10" x14ac:dyDescent="0.25">
      <c r="A575" s="2">
        <v>575</v>
      </c>
      <c r="B575" s="18">
        <v>45631.708287037036</v>
      </c>
      <c r="C575" s="2" t="s">
        <v>351</v>
      </c>
      <c r="D575" s="2" t="s">
        <v>72</v>
      </c>
      <c r="E575" s="2" t="s">
        <v>364</v>
      </c>
      <c r="F575" s="2" t="s">
        <v>27</v>
      </c>
      <c r="G575" s="3">
        <v>935000</v>
      </c>
      <c r="H575" s="8">
        <v>600</v>
      </c>
      <c r="I575" s="3">
        <v>432000000.036</v>
      </c>
      <c r="J575" s="3">
        <v>432000000.036</v>
      </c>
    </row>
    <row r="576" spans="1:10" x14ac:dyDescent="0.25">
      <c r="A576" s="2">
        <v>576</v>
      </c>
      <c r="B576" s="18">
        <v>45631.708287037036</v>
      </c>
      <c r="C576" s="2" t="s">
        <v>351</v>
      </c>
      <c r="D576" s="2" t="s">
        <v>72</v>
      </c>
      <c r="E576" s="2" t="s">
        <v>364</v>
      </c>
      <c r="F576" s="2" t="s">
        <v>19</v>
      </c>
      <c r="G576" s="3">
        <v>590000</v>
      </c>
      <c r="H576" s="8">
        <v>600</v>
      </c>
      <c r="I576" s="3">
        <v>0</v>
      </c>
      <c r="J576" s="3">
        <v>0</v>
      </c>
    </row>
    <row r="577" spans="1:10" x14ac:dyDescent="0.25">
      <c r="A577" s="2">
        <v>577</v>
      </c>
      <c r="B577" s="18">
        <v>45632.708287037036</v>
      </c>
      <c r="C577" s="2" t="s">
        <v>351</v>
      </c>
      <c r="D577" s="2" t="s">
        <v>72</v>
      </c>
      <c r="E577" s="2" t="s">
        <v>364</v>
      </c>
      <c r="F577" s="2" t="s">
        <v>25</v>
      </c>
      <c r="G577" s="3">
        <v>890000</v>
      </c>
      <c r="H577" s="8">
        <v>-400</v>
      </c>
      <c r="I577" s="3">
        <v>-174217600.036</v>
      </c>
      <c r="J577" s="3">
        <v>-174217600.036</v>
      </c>
    </row>
    <row r="578" spans="1:10" x14ac:dyDescent="0.25">
      <c r="A578" s="2">
        <v>578</v>
      </c>
      <c r="B578" s="18">
        <v>45630.708287037036</v>
      </c>
      <c r="C578" s="2" t="s">
        <v>351</v>
      </c>
      <c r="D578" s="2" t="s">
        <v>68</v>
      </c>
      <c r="E578" s="2" t="s">
        <v>363</v>
      </c>
      <c r="F578" s="2" t="s">
        <v>33</v>
      </c>
      <c r="G578" s="3">
        <v>485000</v>
      </c>
      <c r="H578" s="8">
        <v>118</v>
      </c>
      <c r="I578" s="3">
        <v>0</v>
      </c>
      <c r="J578" s="3">
        <v>0</v>
      </c>
    </row>
    <row r="579" spans="1:10" x14ac:dyDescent="0.25">
      <c r="A579" s="2">
        <v>579</v>
      </c>
      <c r="B579" s="18">
        <v>45630.708287037036</v>
      </c>
      <c r="C579" s="2" t="s">
        <v>351</v>
      </c>
      <c r="D579" s="2" t="s">
        <v>68</v>
      </c>
      <c r="E579" s="2" t="s">
        <v>363</v>
      </c>
      <c r="F579" s="2" t="s">
        <v>59</v>
      </c>
      <c r="G579" s="3">
        <v>475000</v>
      </c>
      <c r="H579" s="8">
        <v>102</v>
      </c>
      <c r="I579" s="3">
        <v>0</v>
      </c>
      <c r="J579" s="3">
        <v>0</v>
      </c>
    </row>
    <row r="580" spans="1:10" x14ac:dyDescent="0.25">
      <c r="A580" s="2">
        <v>580</v>
      </c>
      <c r="B580" s="18">
        <v>45630.708287037036</v>
      </c>
      <c r="C580" s="2" t="s">
        <v>351</v>
      </c>
      <c r="D580" s="2" t="s">
        <v>68</v>
      </c>
      <c r="E580" s="2" t="s">
        <v>363</v>
      </c>
      <c r="F580" s="2" t="s">
        <v>57</v>
      </c>
      <c r="G580" s="3">
        <v>745000</v>
      </c>
      <c r="H580" s="8">
        <v>102</v>
      </c>
      <c r="I580" s="3">
        <v>49393500</v>
      </c>
      <c r="J580" s="3">
        <v>49393500</v>
      </c>
    </row>
    <row r="581" spans="1:10" x14ac:dyDescent="0.25">
      <c r="A581" s="2">
        <v>581</v>
      </c>
      <c r="B581" s="18">
        <v>45630.708287037036</v>
      </c>
      <c r="C581" s="2" t="s">
        <v>351</v>
      </c>
      <c r="D581" s="2" t="s">
        <v>68</v>
      </c>
      <c r="E581" s="2" t="s">
        <v>363</v>
      </c>
      <c r="F581" s="2" t="s">
        <v>31</v>
      </c>
      <c r="G581" s="3">
        <v>745000</v>
      </c>
      <c r="H581" s="8">
        <v>118</v>
      </c>
      <c r="I581" s="3">
        <v>57141500</v>
      </c>
      <c r="J581" s="3">
        <v>57141500</v>
      </c>
    </row>
    <row r="582" spans="1:10" x14ac:dyDescent="0.25">
      <c r="A582" s="2">
        <v>582</v>
      </c>
      <c r="B582" s="18">
        <v>45630.708287037036</v>
      </c>
      <c r="C582" s="2" t="s">
        <v>351</v>
      </c>
      <c r="D582" s="2" t="s">
        <v>263</v>
      </c>
      <c r="E582" s="2" t="s">
        <v>369</v>
      </c>
      <c r="F582" s="2" t="s">
        <v>59</v>
      </c>
      <c r="G582" s="3">
        <v>475000</v>
      </c>
      <c r="H582" s="8">
        <v>20</v>
      </c>
      <c r="I582" s="3">
        <v>5700000</v>
      </c>
      <c r="J582" s="3">
        <v>5700000</v>
      </c>
    </row>
    <row r="583" spans="1:10" x14ac:dyDescent="0.25">
      <c r="A583" s="2">
        <v>583</v>
      </c>
      <c r="B583" s="18">
        <v>45630.708287037036</v>
      </c>
      <c r="C583" s="2" t="s">
        <v>351</v>
      </c>
      <c r="D583" s="2" t="s">
        <v>160</v>
      </c>
      <c r="E583" s="2" t="s">
        <v>367</v>
      </c>
      <c r="F583" s="2" t="s">
        <v>19</v>
      </c>
      <c r="G583" s="3">
        <v>590000</v>
      </c>
      <c r="H583" s="8">
        <v>1</v>
      </c>
      <c r="I583" s="3">
        <v>0</v>
      </c>
      <c r="J583" s="3">
        <v>0</v>
      </c>
    </row>
    <row r="584" spans="1:10" x14ac:dyDescent="0.25">
      <c r="A584" s="2">
        <v>584</v>
      </c>
      <c r="B584" s="18">
        <v>45630.708287037036</v>
      </c>
      <c r="C584" s="2" t="s">
        <v>351</v>
      </c>
      <c r="D584" s="2" t="s">
        <v>191</v>
      </c>
      <c r="E584" s="2" t="s">
        <v>367</v>
      </c>
      <c r="F584" s="2" t="s">
        <v>89</v>
      </c>
      <c r="G584" s="3">
        <v>390000</v>
      </c>
      <c r="H584" s="8">
        <v>1</v>
      </c>
      <c r="I584" s="3">
        <v>0</v>
      </c>
      <c r="J584" s="3">
        <v>0</v>
      </c>
    </row>
    <row r="585" spans="1:10" x14ac:dyDescent="0.25">
      <c r="A585" s="2">
        <v>585</v>
      </c>
      <c r="B585" s="18">
        <v>45630.708287037036</v>
      </c>
      <c r="C585" s="2" t="s">
        <v>351</v>
      </c>
      <c r="D585" s="2" t="s">
        <v>217</v>
      </c>
      <c r="E585" s="2" t="s">
        <v>367</v>
      </c>
      <c r="F585" s="2" t="s">
        <v>89</v>
      </c>
      <c r="G585" s="3">
        <v>390000</v>
      </c>
      <c r="H585" s="8">
        <v>1</v>
      </c>
      <c r="I585" s="3">
        <v>0</v>
      </c>
      <c r="J585" s="3">
        <v>0</v>
      </c>
    </row>
    <row r="586" spans="1:10" x14ac:dyDescent="0.25">
      <c r="A586" s="2">
        <v>586</v>
      </c>
      <c r="B586" s="18">
        <v>45630.708287037036</v>
      </c>
      <c r="C586" s="2" t="s">
        <v>351</v>
      </c>
      <c r="D586" s="2" t="s">
        <v>170</v>
      </c>
      <c r="E586" s="2" t="s">
        <v>367</v>
      </c>
      <c r="F586" s="2" t="s">
        <v>89</v>
      </c>
      <c r="G586" s="3">
        <v>390000</v>
      </c>
      <c r="H586" s="8">
        <v>1</v>
      </c>
      <c r="I586" s="3">
        <v>0</v>
      </c>
      <c r="J586" s="3">
        <v>0</v>
      </c>
    </row>
    <row r="587" spans="1:10" x14ac:dyDescent="0.25">
      <c r="A587" s="2">
        <v>587</v>
      </c>
      <c r="B587" s="18">
        <v>45631.708287037036</v>
      </c>
      <c r="C587" s="2" t="s">
        <v>351</v>
      </c>
      <c r="D587" s="2" t="s">
        <v>2</v>
      </c>
      <c r="E587" s="2" t="s">
        <v>370</v>
      </c>
      <c r="F587" s="2" t="s">
        <v>19</v>
      </c>
      <c r="G587" s="3">
        <v>590000</v>
      </c>
      <c r="H587" s="8">
        <v>6</v>
      </c>
      <c r="I587" s="3">
        <v>2230204.48872</v>
      </c>
      <c r="J587" s="3">
        <v>2230204.48872</v>
      </c>
    </row>
    <row r="588" spans="1:10" x14ac:dyDescent="0.25">
      <c r="A588" s="2">
        <v>588</v>
      </c>
      <c r="B588" s="18">
        <v>45631.708287037036</v>
      </c>
      <c r="C588" s="2" t="s">
        <v>351</v>
      </c>
      <c r="D588" s="2" t="s">
        <v>2</v>
      </c>
      <c r="E588" s="2" t="s">
        <v>370</v>
      </c>
      <c r="F588" s="2" t="s">
        <v>29</v>
      </c>
      <c r="G588" s="3">
        <v>590000</v>
      </c>
      <c r="H588" s="8">
        <v>6</v>
      </c>
      <c r="I588" s="3">
        <v>2230204.48872</v>
      </c>
      <c r="J588" s="3">
        <v>2230204.48872</v>
      </c>
    </row>
    <row r="589" spans="1:10" x14ac:dyDescent="0.25">
      <c r="A589" s="2">
        <v>589</v>
      </c>
      <c r="B589" s="18">
        <v>45631.708287037036</v>
      </c>
      <c r="C589" s="2" t="s">
        <v>351</v>
      </c>
      <c r="D589" s="2" t="s">
        <v>2</v>
      </c>
      <c r="E589" s="2" t="s">
        <v>370</v>
      </c>
      <c r="F589" s="2" t="s">
        <v>61</v>
      </c>
      <c r="G589" s="3">
        <v>890000</v>
      </c>
      <c r="H589" s="8">
        <v>6</v>
      </c>
      <c r="I589" s="3">
        <v>3364206.77112</v>
      </c>
      <c r="J589" s="3">
        <v>3364206.77112</v>
      </c>
    </row>
    <row r="590" spans="1:10" x14ac:dyDescent="0.25">
      <c r="A590" s="2">
        <v>590</v>
      </c>
      <c r="B590" s="18">
        <v>45631.708287037036</v>
      </c>
      <c r="C590" s="2" t="s">
        <v>351</v>
      </c>
      <c r="D590" s="2" t="s">
        <v>2</v>
      </c>
      <c r="E590" s="2" t="s">
        <v>370</v>
      </c>
      <c r="F590" s="2" t="s">
        <v>83</v>
      </c>
      <c r="G590" s="3">
        <v>790000</v>
      </c>
      <c r="H590" s="8">
        <v>6</v>
      </c>
      <c r="I590" s="3">
        <v>2986206.01032</v>
      </c>
      <c r="J590" s="3">
        <v>2986206.01032</v>
      </c>
    </row>
    <row r="591" spans="1:10" x14ac:dyDescent="0.25">
      <c r="A591" s="2">
        <v>591</v>
      </c>
      <c r="B591" s="18">
        <v>45631.708287037036</v>
      </c>
      <c r="C591" s="2" t="s">
        <v>351</v>
      </c>
      <c r="D591" s="2" t="s">
        <v>335</v>
      </c>
      <c r="E591" s="2" t="s">
        <v>367</v>
      </c>
      <c r="F591" s="2" t="s">
        <v>31</v>
      </c>
      <c r="G591" s="3">
        <v>745000</v>
      </c>
      <c r="H591" s="8">
        <v>1</v>
      </c>
      <c r="I591" s="3">
        <v>0</v>
      </c>
      <c r="J591" s="3">
        <v>0</v>
      </c>
    </row>
    <row r="592" spans="1:10" x14ac:dyDescent="0.25">
      <c r="A592" s="2">
        <v>592</v>
      </c>
      <c r="B592" s="18">
        <v>45631.708287037036</v>
      </c>
      <c r="C592" s="2" t="s">
        <v>351</v>
      </c>
      <c r="D592" s="2" t="s">
        <v>335</v>
      </c>
      <c r="E592" s="2" t="s">
        <v>367</v>
      </c>
      <c r="F592" s="2" t="s">
        <v>57</v>
      </c>
      <c r="G592" s="3">
        <v>745000</v>
      </c>
      <c r="H592" s="8">
        <v>1</v>
      </c>
      <c r="I592" s="3">
        <v>0</v>
      </c>
      <c r="J592" s="3">
        <v>0</v>
      </c>
    </row>
    <row r="593" spans="1:10" x14ac:dyDescent="0.25">
      <c r="A593" s="2">
        <v>593</v>
      </c>
      <c r="B593" s="18">
        <v>45631.708287037036</v>
      </c>
      <c r="C593" s="2" t="s">
        <v>351</v>
      </c>
      <c r="D593" s="2" t="s">
        <v>335</v>
      </c>
      <c r="E593" s="2" t="s">
        <v>367</v>
      </c>
      <c r="F593" s="2" t="s">
        <v>51</v>
      </c>
      <c r="G593" s="3">
        <v>465000</v>
      </c>
      <c r="H593" s="8">
        <v>1</v>
      </c>
      <c r="I593" s="3">
        <v>0</v>
      </c>
      <c r="J593" s="3">
        <v>0</v>
      </c>
    </row>
    <row r="594" spans="1:10" x14ac:dyDescent="0.25">
      <c r="A594" s="2">
        <v>594</v>
      </c>
      <c r="B594" s="18">
        <v>45631.708287037036</v>
      </c>
      <c r="C594" s="2" t="s">
        <v>351</v>
      </c>
      <c r="D594" s="2" t="s">
        <v>335</v>
      </c>
      <c r="E594" s="2" t="s">
        <v>367</v>
      </c>
      <c r="F594" s="2" t="s">
        <v>19</v>
      </c>
      <c r="G594" s="3">
        <v>590000</v>
      </c>
      <c r="H594" s="8">
        <v>1</v>
      </c>
      <c r="I594" s="3">
        <v>0</v>
      </c>
      <c r="J594" s="3">
        <v>0</v>
      </c>
    </row>
    <row r="595" spans="1:10" x14ac:dyDescent="0.25">
      <c r="A595" s="2">
        <v>595</v>
      </c>
      <c r="B595" s="18">
        <v>45631.708287037036</v>
      </c>
      <c r="C595" s="2" t="s">
        <v>351</v>
      </c>
      <c r="D595" s="2" t="s">
        <v>250</v>
      </c>
      <c r="E595" s="2" t="s">
        <v>368</v>
      </c>
      <c r="F595" s="2" t="s">
        <v>83</v>
      </c>
      <c r="G595" s="3">
        <v>790000</v>
      </c>
      <c r="H595" s="8">
        <v>5</v>
      </c>
      <c r="I595" s="3">
        <v>1975000</v>
      </c>
      <c r="J595" s="3">
        <v>1975000</v>
      </c>
    </row>
    <row r="596" spans="1:10" x14ac:dyDescent="0.25">
      <c r="A596" s="2">
        <v>596</v>
      </c>
      <c r="B596" s="18">
        <v>45632.708287037036</v>
      </c>
      <c r="C596" s="2" t="s">
        <v>351</v>
      </c>
      <c r="D596" s="2" t="s">
        <v>268</v>
      </c>
      <c r="E596" s="2" t="s">
        <v>371</v>
      </c>
      <c r="F596" s="2" t="s">
        <v>33</v>
      </c>
      <c r="G596" s="3">
        <v>485000</v>
      </c>
      <c r="H596" s="8">
        <v>75</v>
      </c>
      <c r="I596" s="3">
        <v>16368750</v>
      </c>
      <c r="J596" s="3">
        <v>16368750</v>
      </c>
    </row>
    <row r="597" spans="1:10" x14ac:dyDescent="0.25">
      <c r="A597" s="2">
        <v>597</v>
      </c>
      <c r="B597" s="18">
        <v>45632.708287037036</v>
      </c>
      <c r="C597" s="2" t="s">
        <v>351</v>
      </c>
      <c r="D597" s="2" t="s">
        <v>268</v>
      </c>
      <c r="E597" s="2" t="s">
        <v>371</v>
      </c>
      <c r="F597" s="2" t="s">
        <v>59</v>
      </c>
      <c r="G597" s="3">
        <v>475000</v>
      </c>
      <c r="H597" s="8">
        <v>24</v>
      </c>
      <c r="I597" s="3">
        <v>5129999.999999999</v>
      </c>
      <c r="J597" s="3">
        <v>5129999.999999999</v>
      </c>
    </row>
    <row r="598" spans="1:10" x14ac:dyDescent="0.25">
      <c r="A598" s="2">
        <v>598</v>
      </c>
      <c r="B598" s="18">
        <v>45632.708287037036</v>
      </c>
      <c r="C598" s="2" t="s">
        <v>351</v>
      </c>
      <c r="D598" s="2" t="s">
        <v>268</v>
      </c>
      <c r="E598" s="2" t="s">
        <v>371</v>
      </c>
      <c r="F598" s="2" t="s">
        <v>31</v>
      </c>
      <c r="G598" s="3">
        <v>745000</v>
      </c>
      <c r="H598" s="8">
        <v>75</v>
      </c>
      <c r="I598" s="3">
        <v>27937500</v>
      </c>
      <c r="J598" s="3">
        <v>27937500</v>
      </c>
    </row>
    <row r="599" spans="1:10" x14ac:dyDescent="0.25">
      <c r="A599" s="2">
        <v>599</v>
      </c>
      <c r="B599" s="18">
        <v>45632.708287037036</v>
      </c>
      <c r="C599" s="2" t="s">
        <v>351</v>
      </c>
      <c r="D599" s="2" t="s">
        <v>268</v>
      </c>
      <c r="E599" s="2" t="s">
        <v>371</v>
      </c>
      <c r="F599" s="2" t="s">
        <v>57</v>
      </c>
      <c r="G599" s="3">
        <v>745000</v>
      </c>
      <c r="H599" s="8">
        <v>24</v>
      </c>
      <c r="I599" s="3">
        <v>8940000</v>
      </c>
      <c r="J599" s="3">
        <v>8940000</v>
      </c>
    </row>
    <row r="600" spans="1:10" x14ac:dyDescent="0.25">
      <c r="A600" s="2">
        <v>600</v>
      </c>
      <c r="B600" s="18">
        <v>45632.708287037036</v>
      </c>
      <c r="C600" s="2" t="s">
        <v>351</v>
      </c>
      <c r="D600" s="2" t="s">
        <v>268</v>
      </c>
      <c r="E600" s="2" t="s">
        <v>371</v>
      </c>
      <c r="F600" s="2" t="s">
        <v>19</v>
      </c>
      <c r="G600" s="3">
        <v>590000</v>
      </c>
      <c r="H600" s="8">
        <v>16</v>
      </c>
      <c r="I600" s="3">
        <v>4720000</v>
      </c>
      <c r="J600" s="3">
        <v>4720000</v>
      </c>
    </row>
    <row r="601" spans="1:10" x14ac:dyDescent="0.25">
      <c r="A601" s="2">
        <v>601</v>
      </c>
      <c r="B601" s="18">
        <v>45632.708287037036</v>
      </c>
      <c r="C601" s="2" t="s">
        <v>351</v>
      </c>
      <c r="D601" s="2" t="s">
        <v>268</v>
      </c>
      <c r="E601" s="2" t="s">
        <v>371</v>
      </c>
      <c r="F601" s="2" t="s">
        <v>27</v>
      </c>
      <c r="G601" s="3">
        <v>935000</v>
      </c>
      <c r="H601" s="8">
        <v>1</v>
      </c>
      <c r="I601" s="3">
        <v>467500</v>
      </c>
      <c r="J601" s="3">
        <v>467500</v>
      </c>
    </row>
    <row r="602" spans="1:10" x14ac:dyDescent="0.25">
      <c r="A602" s="2">
        <v>602</v>
      </c>
      <c r="B602" s="18">
        <v>45634.708287037036</v>
      </c>
      <c r="C602" s="2" t="s">
        <v>351</v>
      </c>
      <c r="D602" s="2" t="s">
        <v>267</v>
      </c>
      <c r="E602" s="2" t="s">
        <v>371</v>
      </c>
      <c r="F602" s="2" t="s">
        <v>33</v>
      </c>
      <c r="G602" s="3">
        <v>485000</v>
      </c>
      <c r="H602" s="8">
        <v>44</v>
      </c>
      <c r="I602" s="3">
        <v>9603000</v>
      </c>
      <c r="J602" s="3">
        <v>9603000</v>
      </c>
    </row>
    <row r="603" spans="1:10" x14ac:dyDescent="0.25">
      <c r="A603" s="2">
        <v>603</v>
      </c>
      <c r="B603" s="18">
        <v>45634.708287037036</v>
      </c>
      <c r="C603" s="2" t="s">
        <v>351</v>
      </c>
      <c r="D603" s="2" t="s">
        <v>267</v>
      </c>
      <c r="E603" s="2" t="s">
        <v>371</v>
      </c>
      <c r="F603" s="2" t="s">
        <v>59</v>
      </c>
      <c r="G603" s="3">
        <v>475000</v>
      </c>
      <c r="H603" s="8">
        <v>67</v>
      </c>
      <c r="I603" s="3">
        <v>14321249.999999998</v>
      </c>
      <c r="J603" s="3">
        <v>14321249.999999998</v>
      </c>
    </row>
    <row r="604" spans="1:10" x14ac:dyDescent="0.25">
      <c r="A604" s="2">
        <v>604</v>
      </c>
      <c r="B604" s="18">
        <v>45634.708287037036</v>
      </c>
      <c r="C604" s="2" t="s">
        <v>351</v>
      </c>
      <c r="D604" s="2" t="s">
        <v>267</v>
      </c>
      <c r="E604" s="2" t="s">
        <v>371</v>
      </c>
      <c r="F604" s="2" t="s">
        <v>31</v>
      </c>
      <c r="G604" s="3">
        <v>745000</v>
      </c>
      <c r="H604" s="8">
        <v>44</v>
      </c>
      <c r="I604" s="3">
        <v>16390000</v>
      </c>
      <c r="J604" s="3">
        <v>16390000</v>
      </c>
    </row>
    <row r="605" spans="1:10" x14ac:dyDescent="0.25">
      <c r="A605" s="2">
        <v>605</v>
      </c>
      <c r="B605" s="18">
        <v>45634.708287037036</v>
      </c>
      <c r="C605" s="2" t="s">
        <v>351</v>
      </c>
      <c r="D605" s="2" t="s">
        <v>267</v>
      </c>
      <c r="E605" s="2" t="s">
        <v>371</v>
      </c>
      <c r="F605" s="2" t="s">
        <v>57</v>
      </c>
      <c r="G605" s="3">
        <v>745000</v>
      </c>
      <c r="H605" s="8">
        <v>67</v>
      </c>
      <c r="I605" s="3">
        <v>24957500</v>
      </c>
      <c r="J605" s="3">
        <v>24957500</v>
      </c>
    </row>
    <row r="606" spans="1:10" x14ac:dyDescent="0.25">
      <c r="A606" s="2">
        <v>606</v>
      </c>
      <c r="B606" s="18">
        <v>45634.708287037036</v>
      </c>
      <c r="C606" s="2" t="s">
        <v>351</v>
      </c>
      <c r="D606" s="2" t="s">
        <v>303</v>
      </c>
      <c r="E606" s="2" t="s">
        <v>366</v>
      </c>
      <c r="F606" s="2" t="s">
        <v>31</v>
      </c>
      <c r="G606" s="3">
        <v>745000</v>
      </c>
      <c r="H606" s="8">
        <v>10</v>
      </c>
      <c r="I606" s="3">
        <v>4750000.055</v>
      </c>
      <c r="J606" s="3">
        <v>4750000.055</v>
      </c>
    </row>
    <row r="607" spans="1:10" x14ac:dyDescent="0.25">
      <c r="A607" s="2">
        <v>607</v>
      </c>
      <c r="B607" s="18">
        <v>45634.708287037036</v>
      </c>
      <c r="C607" s="2" t="s">
        <v>351</v>
      </c>
      <c r="D607" s="2" t="s">
        <v>317</v>
      </c>
      <c r="E607" s="2" t="s">
        <v>363</v>
      </c>
      <c r="F607" s="2" t="s">
        <v>51</v>
      </c>
      <c r="G607" s="3">
        <v>465000</v>
      </c>
      <c r="H607" s="8">
        <v>240</v>
      </c>
      <c r="I607" s="3">
        <v>33600000.0204</v>
      </c>
      <c r="J607" s="3">
        <v>33600000.0204</v>
      </c>
    </row>
    <row r="608" spans="1:10" x14ac:dyDescent="0.25">
      <c r="A608" s="2">
        <v>608</v>
      </c>
      <c r="B608" s="18">
        <v>45634.708287037036</v>
      </c>
      <c r="C608" s="2" t="s">
        <v>351</v>
      </c>
      <c r="D608" s="2" t="s">
        <v>277</v>
      </c>
      <c r="E608" s="2" t="s">
        <v>369</v>
      </c>
      <c r="F608" s="2" t="s">
        <v>29</v>
      </c>
      <c r="G608" s="3">
        <v>590000</v>
      </c>
      <c r="H608" s="8">
        <v>10</v>
      </c>
      <c r="I608" s="3">
        <v>5900000</v>
      </c>
      <c r="J608" s="3">
        <v>5900000</v>
      </c>
    </row>
    <row r="609" spans="1:10" x14ac:dyDescent="0.25">
      <c r="A609" s="2">
        <v>609</v>
      </c>
      <c r="B609" s="18">
        <v>45634.708287037036</v>
      </c>
      <c r="C609" s="2" t="s">
        <v>351</v>
      </c>
      <c r="D609" s="2" t="s">
        <v>277</v>
      </c>
      <c r="E609" s="2" t="s">
        <v>369</v>
      </c>
      <c r="F609" s="2" t="s">
        <v>29</v>
      </c>
      <c r="G609" s="3">
        <v>590000</v>
      </c>
      <c r="H609" s="8">
        <v>3</v>
      </c>
      <c r="I609" s="3">
        <v>0</v>
      </c>
      <c r="J609" s="3">
        <v>0</v>
      </c>
    </row>
    <row r="610" spans="1:10" x14ac:dyDescent="0.25">
      <c r="A610" s="2">
        <v>610</v>
      </c>
      <c r="B610" s="18">
        <v>45634.708287037036</v>
      </c>
      <c r="C610" s="2" t="s">
        <v>351</v>
      </c>
      <c r="D610" s="2" t="s">
        <v>277</v>
      </c>
      <c r="E610" s="2" t="s">
        <v>369</v>
      </c>
      <c r="F610" s="2" t="s">
        <v>51</v>
      </c>
      <c r="G610" s="3">
        <v>465000</v>
      </c>
      <c r="H610" s="8">
        <v>10</v>
      </c>
      <c r="I610" s="3">
        <v>0</v>
      </c>
      <c r="J610" s="3">
        <v>0</v>
      </c>
    </row>
    <row r="611" spans="1:10" x14ac:dyDescent="0.25">
      <c r="A611" s="2">
        <v>611</v>
      </c>
      <c r="B611" s="18">
        <v>45634.708287037036</v>
      </c>
      <c r="C611" s="2" t="s">
        <v>351</v>
      </c>
      <c r="D611" s="2" t="s">
        <v>337</v>
      </c>
      <c r="E611" s="2" t="s">
        <v>363</v>
      </c>
      <c r="F611" s="2" t="s">
        <v>31</v>
      </c>
      <c r="G611" s="3">
        <v>745000</v>
      </c>
      <c r="H611" s="8">
        <v>50</v>
      </c>
      <c r="I611" s="3">
        <v>37250000</v>
      </c>
      <c r="J611" s="3">
        <v>37250000</v>
      </c>
    </row>
    <row r="612" spans="1:10" x14ac:dyDescent="0.25">
      <c r="A612" s="2">
        <v>612</v>
      </c>
      <c r="B612" s="18">
        <v>45634.708287037036</v>
      </c>
      <c r="C612" s="2" t="s">
        <v>351</v>
      </c>
      <c r="D612" s="2" t="s">
        <v>337</v>
      </c>
      <c r="E612" s="2" t="s">
        <v>363</v>
      </c>
      <c r="F612" s="2" t="s">
        <v>31</v>
      </c>
      <c r="G612" s="3">
        <v>745000</v>
      </c>
      <c r="H612" s="8">
        <v>15</v>
      </c>
      <c r="I612" s="3">
        <v>0</v>
      </c>
      <c r="J612" s="3">
        <v>0</v>
      </c>
    </row>
    <row r="613" spans="1:10" x14ac:dyDescent="0.25">
      <c r="A613" s="2">
        <v>613</v>
      </c>
      <c r="B613" s="18">
        <v>45634.708287037036</v>
      </c>
      <c r="C613" s="2" t="s">
        <v>351</v>
      </c>
      <c r="D613" s="2" t="s">
        <v>337</v>
      </c>
      <c r="E613" s="2" t="s">
        <v>363</v>
      </c>
      <c r="F613" s="2" t="s">
        <v>51</v>
      </c>
      <c r="G613" s="3">
        <v>465000</v>
      </c>
      <c r="H613" s="8">
        <v>130</v>
      </c>
      <c r="I613" s="3">
        <v>0</v>
      </c>
      <c r="J613" s="3">
        <v>0</v>
      </c>
    </row>
    <row r="614" spans="1:10" x14ac:dyDescent="0.25">
      <c r="A614" s="2">
        <v>614</v>
      </c>
      <c r="B614" s="18">
        <v>45634.708287037036</v>
      </c>
      <c r="C614" s="2" t="s">
        <v>351</v>
      </c>
      <c r="D614" s="2" t="s">
        <v>337</v>
      </c>
      <c r="E614" s="2" t="s">
        <v>363</v>
      </c>
      <c r="F614" s="2" t="s">
        <v>57</v>
      </c>
      <c r="G614" s="3">
        <v>745000</v>
      </c>
      <c r="H614" s="8">
        <v>50</v>
      </c>
      <c r="I614" s="3">
        <v>37250000</v>
      </c>
      <c r="J614" s="3">
        <v>37250000</v>
      </c>
    </row>
    <row r="615" spans="1:10" x14ac:dyDescent="0.25">
      <c r="A615" s="2">
        <v>615</v>
      </c>
      <c r="B615" s="18">
        <v>45634.708287037036</v>
      </c>
      <c r="C615" s="2" t="s">
        <v>351</v>
      </c>
      <c r="D615" s="2" t="s">
        <v>337</v>
      </c>
      <c r="E615" s="2" t="s">
        <v>363</v>
      </c>
      <c r="F615" s="2" t="s">
        <v>57</v>
      </c>
      <c r="G615" s="3">
        <v>745000</v>
      </c>
      <c r="H615" s="8">
        <v>15</v>
      </c>
      <c r="I615" s="3">
        <v>0</v>
      </c>
      <c r="J615" s="3">
        <v>0</v>
      </c>
    </row>
    <row r="616" spans="1:10" x14ac:dyDescent="0.25">
      <c r="A616" s="2">
        <v>616</v>
      </c>
      <c r="B616" s="18">
        <v>45634.708287037036</v>
      </c>
      <c r="C616" s="2" t="s">
        <v>351</v>
      </c>
      <c r="D616" s="2" t="s">
        <v>74</v>
      </c>
      <c r="E616" s="2" t="s">
        <v>369</v>
      </c>
      <c r="F616" s="2" t="s">
        <v>49</v>
      </c>
      <c r="G616" s="3">
        <v>200000</v>
      </c>
      <c r="H616" s="8">
        <v>11</v>
      </c>
      <c r="I616" s="3">
        <v>0</v>
      </c>
      <c r="J616" s="3">
        <v>0</v>
      </c>
    </row>
    <row r="617" spans="1:10" x14ac:dyDescent="0.25">
      <c r="A617" s="2">
        <v>617</v>
      </c>
      <c r="B617" s="18">
        <v>45634.708287037036</v>
      </c>
      <c r="C617" s="2" t="s">
        <v>351</v>
      </c>
      <c r="D617" s="2" t="s">
        <v>74</v>
      </c>
      <c r="E617" s="2" t="s">
        <v>369</v>
      </c>
      <c r="F617" s="2" t="s">
        <v>85</v>
      </c>
      <c r="G617" s="3">
        <v>480000</v>
      </c>
      <c r="H617" s="8">
        <v>4</v>
      </c>
      <c r="I617" s="3">
        <v>960000</v>
      </c>
      <c r="J617" s="3">
        <v>960000</v>
      </c>
    </row>
    <row r="618" spans="1:10" x14ac:dyDescent="0.25">
      <c r="A618" s="2">
        <v>618</v>
      </c>
      <c r="B618" s="18">
        <v>45634.708287037036</v>
      </c>
      <c r="C618" s="2" t="s">
        <v>351</v>
      </c>
      <c r="D618" s="2" t="s">
        <v>74</v>
      </c>
      <c r="E618" s="2" t="s">
        <v>369</v>
      </c>
      <c r="F618" s="2" t="s">
        <v>19</v>
      </c>
      <c r="G618" s="3">
        <v>590000</v>
      </c>
      <c r="H618" s="8">
        <v>2</v>
      </c>
      <c r="I618" s="3">
        <v>590000</v>
      </c>
      <c r="J618" s="3">
        <v>590000</v>
      </c>
    </row>
    <row r="619" spans="1:10" x14ac:dyDescent="0.25">
      <c r="A619" s="2">
        <v>619</v>
      </c>
      <c r="B619" s="18">
        <v>45634.708287037036</v>
      </c>
      <c r="C619" s="2" t="s">
        <v>351</v>
      </c>
      <c r="D619" s="2" t="s">
        <v>74</v>
      </c>
      <c r="E619" s="2" t="s">
        <v>369</v>
      </c>
      <c r="F619" s="2" t="s">
        <v>29</v>
      </c>
      <c r="G619" s="3">
        <v>590000</v>
      </c>
      <c r="H619" s="8">
        <v>2</v>
      </c>
      <c r="I619" s="3">
        <v>590000</v>
      </c>
      <c r="J619" s="3">
        <v>590000</v>
      </c>
    </row>
    <row r="620" spans="1:10" x14ac:dyDescent="0.25">
      <c r="A620" s="2">
        <v>620</v>
      </c>
      <c r="B620" s="18">
        <v>45634.708287037036</v>
      </c>
      <c r="C620" s="2" t="s">
        <v>351</v>
      </c>
      <c r="D620" s="2" t="s">
        <v>74</v>
      </c>
      <c r="E620" s="2" t="s">
        <v>369</v>
      </c>
      <c r="F620" s="2" t="s">
        <v>63</v>
      </c>
      <c r="G620" s="3">
        <v>550000</v>
      </c>
      <c r="H620" s="8">
        <v>5</v>
      </c>
      <c r="I620" s="3">
        <v>1375000</v>
      </c>
      <c r="J620" s="3">
        <v>1375000</v>
      </c>
    </row>
    <row r="621" spans="1:10" x14ac:dyDescent="0.25">
      <c r="A621" s="2">
        <v>621</v>
      </c>
      <c r="B621" s="18">
        <v>45634.708287037036</v>
      </c>
      <c r="C621" s="2" t="s">
        <v>351</v>
      </c>
      <c r="D621" s="2" t="s">
        <v>74</v>
      </c>
      <c r="E621" s="2" t="s">
        <v>369</v>
      </c>
      <c r="F621" s="2" t="s">
        <v>33</v>
      </c>
      <c r="G621" s="3">
        <v>485000</v>
      </c>
      <c r="H621" s="8">
        <v>11</v>
      </c>
      <c r="I621" s="3">
        <v>2667500</v>
      </c>
      <c r="J621" s="3">
        <v>2667500</v>
      </c>
    </row>
    <row r="622" spans="1:10" x14ac:dyDescent="0.25">
      <c r="A622" s="2">
        <v>622</v>
      </c>
      <c r="B622" s="18">
        <v>45634.708287037036</v>
      </c>
      <c r="C622" s="2" t="s">
        <v>351</v>
      </c>
      <c r="D622" s="2" t="s">
        <v>74</v>
      </c>
      <c r="E622" s="2" t="s">
        <v>369</v>
      </c>
      <c r="F622" s="2" t="s">
        <v>89</v>
      </c>
      <c r="G622" s="3">
        <v>390000</v>
      </c>
      <c r="H622" s="8">
        <v>13</v>
      </c>
      <c r="I622" s="3">
        <v>0</v>
      </c>
      <c r="J622" s="3">
        <v>0</v>
      </c>
    </row>
    <row r="623" spans="1:10" x14ac:dyDescent="0.25">
      <c r="A623" s="2">
        <v>623</v>
      </c>
      <c r="B623" s="18">
        <v>45634.708287037036</v>
      </c>
      <c r="C623" s="2" t="s">
        <v>351</v>
      </c>
      <c r="D623" s="2" t="s">
        <v>90</v>
      </c>
      <c r="E623" s="2" t="s">
        <v>365</v>
      </c>
      <c r="F623" s="2" t="s">
        <v>19</v>
      </c>
      <c r="G623" s="3">
        <v>590000</v>
      </c>
      <c r="H623" s="8">
        <v>60</v>
      </c>
      <c r="I623" s="3">
        <v>35400000</v>
      </c>
      <c r="J623" s="3">
        <v>35400000</v>
      </c>
    </row>
    <row r="624" spans="1:10" x14ac:dyDescent="0.25">
      <c r="A624" s="2">
        <v>624</v>
      </c>
      <c r="B624" s="18">
        <v>45634.708287037036</v>
      </c>
      <c r="C624" s="2" t="s">
        <v>351</v>
      </c>
      <c r="D624" s="2" t="s">
        <v>90</v>
      </c>
      <c r="E624" s="2" t="s">
        <v>365</v>
      </c>
      <c r="F624" s="2" t="s">
        <v>19</v>
      </c>
      <c r="G624" s="3">
        <v>590000</v>
      </c>
      <c r="H624" s="8">
        <v>18</v>
      </c>
      <c r="I624" s="3">
        <v>0</v>
      </c>
      <c r="J624" s="3">
        <v>0</v>
      </c>
    </row>
    <row r="625" spans="1:10" x14ac:dyDescent="0.25">
      <c r="A625" s="2">
        <v>625</v>
      </c>
      <c r="B625" s="18">
        <v>45634.708287037036</v>
      </c>
      <c r="C625" s="2" t="s">
        <v>351</v>
      </c>
      <c r="D625" s="2" t="s">
        <v>90</v>
      </c>
      <c r="E625" s="2" t="s">
        <v>365</v>
      </c>
      <c r="F625" s="2" t="s">
        <v>51</v>
      </c>
      <c r="G625" s="3">
        <v>465000</v>
      </c>
      <c r="H625" s="8">
        <v>60</v>
      </c>
      <c r="I625" s="3">
        <v>0</v>
      </c>
      <c r="J625" s="3">
        <v>0</v>
      </c>
    </row>
    <row r="626" spans="1:10" x14ac:dyDescent="0.25">
      <c r="A626" s="2">
        <v>626</v>
      </c>
      <c r="B626" s="18">
        <v>45635.708287037036</v>
      </c>
      <c r="C626" s="2" t="s">
        <v>351</v>
      </c>
      <c r="D626" s="2" t="s">
        <v>40</v>
      </c>
      <c r="E626" s="2" t="s">
        <v>369</v>
      </c>
      <c r="F626" s="2" t="s">
        <v>63</v>
      </c>
      <c r="G626" s="3">
        <v>550000</v>
      </c>
      <c r="H626" s="8">
        <v>3</v>
      </c>
      <c r="I626" s="3">
        <v>1188000</v>
      </c>
      <c r="J626" s="3">
        <v>1188000</v>
      </c>
    </row>
    <row r="627" spans="1:10" x14ac:dyDescent="0.25">
      <c r="A627" s="2">
        <v>627</v>
      </c>
      <c r="B627" s="18">
        <v>45635.708287037036</v>
      </c>
      <c r="C627" s="2" t="s">
        <v>351</v>
      </c>
      <c r="D627" s="2" t="s">
        <v>40</v>
      </c>
      <c r="E627" s="2" t="s">
        <v>369</v>
      </c>
      <c r="F627" s="2" t="s">
        <v>33</v>
      </c>
      <c r="G627" s="3">
        <v>485000</v>
      </c>
      <c r="H627" s="8">
        <v>10</v>
      </c>
      <c r="I627" s="3">
        <v>3492000</v>
      </c>
      <c r="J627" s="3">
        <v>3492000</v>
      </c>
    </row>
    <row r="628" spans="1:10" x14ac:dyDescent="0.25">
      <c r="A628" s="2">
        <v>628</v>
      </c>
      <c r="B628" s="18">
        <v>45635.708287037036</v>
      </c>
      <c r="C628" s="2" t="s">
        <v>351</v>
      </c>
      <c r="D628" s="2" t="s">
        <v>40</v>
      </c>
      <c r="E628" s="2" t="s">
        <v>369</v>
      </c>
      <c r="F628" s="2" t="s">
        <v>85</v>
      </c>
      <c r="G628" s="3">
        <v>480000</v>
      </c>
      <c r="H628" s="8">
        <v>10</v>
      </c>
      <c r="I628" s="3">
        <v>3456000</v>
      </c>
      <c r="J628" s="3">
        <v>3456000</v>
      </c>
    </row>
    <row r="629" spans="1:10" x14ac:dyDescent="0.25">
      <c r="A629" s="2">
        <v>629</v>
      </c>
      <c r="B629" s="18">
        <v>45635.708287037036</v>
      </c>
      <c r="C629" s="2" t="s">
        <v>351</v>
      </c>
      <c r="D629" s="2" t="s">
        <v>40</v>
      </c>
      <c r="E629" s="2" t="s">
        <v>369</v>
      </c>
      <c r="F629" s="2" t="s">
        <v>59</v>
      </c>
      <c r="G629" s="3">
        <v>475000</v>
      </c>
      <c r="H629" s="8">
        <v>10</v>
      </c>
      <c r="I629" s="3">
        <v>3420000</v>
      </c>
      <c r="J629" s="3">
        <v>3420000</v>
      </c>
    </row>
    <row r="630" spans="1:10" x14ac:dyDescent="0.25">
      <c r="A630" s="2">
        <v>630</v>
      </c>
      <c r="B630" s="18">
        <v>45635.708287037036</v>
      </c>
      <c r="C630" s="2" t="s">
        <v>351</v>
      </c>
      <c r="D630" s="2" t="s">
        <v>40</v>
      </c>
      <c r="E630" s="2" t="s">
        <v>369</v>
      </c>
      <c r="F630" s="2" t="s">
        <v>29</v>
      </c>
      <c r="G630" s="3">
        <v>590000</v>
      </c>
      <c r="H630" s="8">
        <v>10</v>
      </c>
      <c r="I630" s="3">
        <v>4248000</v>
      </c>
      <c r="J630" s="3">
        <v>4248000</v>
      </c>
    </row>
    <row r="631" spans="1:10" x14ac:dyDescent="0.25">
      <c r="A631" s="2">
        <v>631</v>
      </c>
      <c r="B631" s="18">
        <v>45635.708287037036</v>
      </c>
      <c r="C631" s="2" t="s">
        <v>351</v>
      </c>
      <c r="D631" s="2" t="s">
        <v>338</v>
      </c>
      <c r="E631" s="2" t="s">
        <v>370</v>
      </c>
      <c r="F631" s="2" t="s">
        <v>27</v>
      </c>
      <c r="G631" s="3">
        <v>935000</v>
      </c>
      <c r="H631" s="8">
        <v>1</v>
      </c>
      <c r="I631" s="3">
        <v>547300.00039</v>
      </c>
      <c r="J631" s="3">
        <v>547300.00039</v>
      </c>
    </row>
    <row r="632" spans="1:10" x14ac:dyDescent="0.25">
      <c r="A632" s="2">
        <v>632</v>
      </c>
      <c r="B632" s="18">
        <v>45635.708287037036</v>
      </c>
      <c r="C632" s="2" t="s">
        <v>351</v>
      </c>
      <c r="D632" s="2" t="s">
        <v>338</v>
      </c>
      <c r="E632" s="2" t="s">
        <v>370</v>
      </c>
      <c r="F632" s="2" t="s">
        <v>19</v>
      </c>
      <c r="G632" s="3">
        <v>590000</v>
      </c>
      <c r="H632" s="8">
        <v>3</v>
      </c>
      <c r="I632" s="3">
        <v>978900.0000750001</v>
      </c>
      <c r="J632" s="3">
        <v>978900.0000750001</v>
      </c>
    </row>
    <row r="633" spans="1:10" x14ac:dyDescent="0.25">
      <c r="A633" s="2">
        <v>633</v>
      </c>
      <c r="B633" s="18">
        <v>45635.708287037036</v>
      </c>
      <c r="C633" s="2" t="s">
        <v>351</v>
      </c>
      <c r="D633" s="2" t="s">
        <v>338</v>
      </c>
      <c r="E633" s="2" t="s">
        <v>370</v>
      </c>
      <c r="F633" s="2" t="s">
        <v>61</v>
      </c>
      <c r="G633" s="3">
        <v>890000</v>
      </c>
      <c r="H633" s="8">
        <v>2</v>
      </c>
      <c r="I633" s="3">
        <v>984100.000108</v>
      </c>
      <c r="J633" s="3">
        <v>984100.000108</v>
      </c>
    </row>
    <row r="634" spans="1:10" x14ac:dyDescent="0.25">
      <c r="A634" s="2">
        <v>634</v>
      </c>
      <c r="B634" s="18">
        <v>45635.708287037036</v>
      </c>
      <c r="C634" s="2" t="s">
        <v>351</v>
      </c>
      <c r="D634" s="2" t="s">
        <v>338</v>
      </c>
      <c r="E634" s="2" t="s">
        <v>370</v>
      </c>
      <c r="F634" s="2" t="s">
        <v>85</v>
      </c>
      <c r="G634" s="3">
        <v>480000</v>
      </c>
      <c r="H634" s="8">
        <v>1</v>
      </c>
      <c r="I634" s="3">
        <v>249600</v>
      </c>
      <c r="J634" s="3">
        <v>249600</v>
      </c>
    </row>
    <row r="635" spans="1:10" x14ac:dyDescent="0.25">
      <c r="A635" s="2">
        <v>635</v>
      </c>
      <c r="B635" s="18">
        <v>45635.708287037036</v>
      </c>
      <c r="C635" s="2" t="s">
        <v>351</v>
      </c>
      <c r="D635" s="2" t="s">
        <v>338</v>
      </c>
      <c r="E635" s="2" t="s">
        <v>370</v>
      </c>
      <c r="F635" s="2" t="s">
        <v>33</v>
      </c>
      <c r="G635" s="3">
        <v>485000</v>
      </c>
      <c r="H635" s="8">
        <v>2</v>
      </c>
      <c r="I635" s="3">
        <v>568100.0067</v>
      </c>
      <c r="J635" s="3">
        <v>568100.0067</v>
      </c>
    </row>
    <row r="636" spans="1:10" x14ac:dyDescent="0.25">
      <c r="A636" s="2">
        <v>636</v>
      </c>
      <c r="B636" s="18">
        <v>45635.708287037036</v>
      </c>
      <c r="C636" s="2" t="s">
        <v>351</v>
      </c>
      <c r="D636" s="2" t="s">
        <v>40</v>
      </c>
      <c r="E636" s="2" t="s">
        <v>369</v>
      </c>
      <c r="F636" s="2" t="s">
        <v>51</v>
      </c>
      <c r="G636" s="3">
        <v>465000</v>
      </c>
      <c r="H636" s="8">
        <v>30</v>
      </c>
      <c r="I636" s="3">
        <v>0</v>
      </c>
      <c r="J636" s="3">
        <v>0</v>
      </c>
    </row>
    <row r="637" spans="1:10" x14ac:dyDescent="0.25">
      <c r="A637" s="2">
        <v>637</v>
      </c>
      <c r="B637" s="18">
        <v>45636.708287037036</v>
      </c>
      <c r="C637" s="2" t="s">
        <v>351</v>
      </c>
      <c r="D637" s="2" t="s">
        <v>287</v>
      </c>
      <c r="E637" s="2" t="s">
        <v>369</v>
      </c>
      <c r="F637" s="2" t="s">
        <v>31</v>
      </c>
      <c r="G637" s="3">
        <v>745000</v>
      </c>
      <c r="H637" s="8">
        <v>10</v>
      </c>
      <c r="I637" s="3">
        <v>7450000</v>
      </c>
      <c r="J637" s="3">
        <v>7450000</v>
      </c>
    </row>
    <row r="638" spans="1:10" x14ac:dyDescent="0.25">
      <c r="A638" s="2">
        <v>638</v>
      </c>
      <c r="B638" s="18">
        <v>45636.708287037036</v>
      </c>
      <c r="C638" s="2" t="s">
        <v>351</v>
      </c>
      <c r="D638" s="2" t="s">
        <v>287</v>
      </c>
      <c r="E638" s="2" t="s">
        <v>369</v>
      </c>
      <c r="F638" s="2" t="s">
        <v>51</v>
      </c>
      <c r="G638" s="3">
        <v>465000</v>
      </c>
      <c r="H638" s="8">
        <v>10</v>
      </c>
      <c r="I638" s="3">
        <v>0</v>
      </c>
      <c r="J638" s="3">
        <v>0</v>
      </c>
    </row>
    <row r="639" spans="1:10" x14ac:dyDescent="0.25">
      <c r="A639" s="2">
        <v>639</v>
      </c>
      <c r="B639" s="18">
        <v>45636.708287037036</v>
      </c>
      <c r="C639" s="2" t="s">
        <v>351</v>
      </c>
      <c r="D639" s="2" t="s">
        <v>287</v>
      </c>
      <c r="E639" s="2" t="s">
        <v>369</v>
      </c>
      <c r="F639" s="2" t="s">
        <v>31</v>
      </c>
      <c r="G639" s="3">
        <v>745000</v>
      </c>
      <c r="H639" s="8">
        <v>3</v>
      </c>
      <c r="I639" s="3">
        <v>0</v>
      </c>
      <c r="J639" s="3">
        <v>0</v>
      </c>
    </row>
    <row r="640" spans="1:10" x14ac:dyDescent="0.25">
      <c r="A640" s="2">
        <v>640</v>
      </c>
      <c r="B640" s="18">
        <v>45637.708287037036</v>
      </c>
      <c r="C640" s="2" t="s">
        <v>351</v>
      </c>
      <c r="D640" s="2" t="s">
        <v>268</v>
      </c>
      <c r="E640" s="2" t="s">
        <v>371</v>
      </c>
      <c r="F640" s="2" t="s">
        <v>51</v>
      </c>
      <c r="G640" s="3">
        <v>465000</v>
      </c>
      <c r="H640" s="8">
        <v>1</v>
      </c>
      <c r="I640" s="3">
        <v>0</v>
      </c>
      <c r="J640" s="3">
        <v>0</v>
      </c>
    </row>
    <row r="641" spans="1:10" x14ac:dyDescent="0.25">
      <c r="A641" s="2">
        <v>641</v>
      </c>
      <c r="B641" s="18">
        <v>45637.708287037036</v>
      </c>
      <c r="C641" s="2" t="s">
        <v>351</v>
      </c>
      <c r="D641" s="2" t="s">
        <v>317</v>
      </c>
      <c r="E641" s="2" t="s">
        <v>363</v>
      </c>
      <c r="F641" s="2" t="s">
        <v>89</v>
      </c>
      <c r="G641" s="3">
        <v>390000</v>
      </c>
      <c r="H641" s="8">
        <v>38</v>
      </c>
      <c r="I641" s="3">
        <v>0</v>
      </c>
      <c r="J641" s="3">
        <v>0</v>
      </c>
    </row>
    <row r="642" spans="1:10" x14ac:dyDescent="0.25">
      <c r="A642" s="2">
        <v>642</v>
      </c>
      <c r="B642" s="18">
        <v>45637.708287037036</v>
      </c>
      <c r="C642" s="2" t="s">
        <v>351</v>
      </c>
      <c r="D642" s="2" t="s">
        <v>118</v>
      </c>
      <c r="E642" s="2" t="s">
        <v>370</v>
      </c>
      <c r="F642" s="2" t="s">
        <v>63</v>
      </c>
      <c r="G642" s="3">
        <v>550000</v>
      </c>
      <c r="H642" s="8">
        <v>2</v>
      </c>
      <c r="I642" s="3">
        <v>792000</v>
      </c>
      <c r="J642" s="3">
        <v>792000</v>
      </c>
    </row>
    <row r="643" spans="1:10" x14ac:dyDescent="0.25">
      <c r="A643" s="2">
        <v>643</v>
      </c>
      <c r="B643" s="18">
        <v>45637.708287037036</v>
      </c>
      <c r="C643" s="2" t="s">
        <v>351</v>
      </c>
      <c r="D643" s="2" t="s">
        <v>118</v>
      </c>
      <c r="E643" s="2" t="s">
        <v>370</v>
      </c>
      <c r="F643" s="2" t="s">
        <v>59</v>
      </c>
      <c r="G643" s="3">
        <v>475000</v>
      </c>
      <c r="H643" s="8">
        <v>2</v>
      </c>
      <c r="I643" s="3">
        <v>684000</v>
      </c>
      <c r="J643" s="3">
        <v>684000</v>
      </c>
    </row>
    <row r="644" spans="1:10" x14ac:dyDescent="0.25">
      <c r="A644" s="2">
        <v>644</v>
      </c>
      <c r="B644" s="18">
        <v>45637.708287037036</v>
      </c>
      <c r="C644" s="2" t="s">
        <v>351</v>
      </c>
      <c r="D644" s="2" t="s">
        <v>268</v>
      </c>
      <c r="E644" s="2" t="s">
        <v>371</v>
      </c>
      <c r="F644" s="2" t="s">
        <v>33</v>
      </c>
      <c r="G644" s="3">
        <v>485000</v>
      </c>
      <c r="H644" s="8">
        <v>34</v>
      </c>
      <c r="I644" s="3">
        <v>7420500</v>
      </c>
      <c r="J644" s="3">
        <v>7420500</v>
      </c>
    </row>
    <row r="645" spans="1:10" x14ac:dyDescent="0.25">
      <c r="A645" s="2">
        <v>645</v>
      </c>
      <c r="B645" s="18">
        <v>45637.708287037036</v>
      </c>
      <c r="C645" s="2" t="s">
        <v>351</v>
      </c>
      <c r="D645" s="2" t="s">
        <v>268</v>
      </c>
      <c r="E645" s="2" t="s">
        <v>371</v>
      </c>
      <c r="F645" s="2" t="s">
        <v>59</v>
      </c>
      <c r="G645" s="3">
        <v>475000</v>
      </c>
      <c r="H645" s="8">
        <v>11</v>
      </c>
      <c r="I645" s="3">
        <v>2351249.9999999995</v>
      </c>
      <c r="J645" s="3">
        <v>2351249.9999999995</v>
      </c>
    </row>
    <row r="646" spans="1:10" x14ac:dyDescent="0.25">
      <c r="A646" s="2">
        <v>646</v>
      </c>
      <c r="B646" s="18">
        <v>45637.708287037036</v>
      </c>
      <c r="C646" s="2" t="s">
        <v>351</v>
      </c>
      <c r="D646" s="2" t="s">
        <v>268</v>
      </c>
      <c r="E646" s="2" t="s">
        <v>371</v>
      </c>
      <c r="F646" s="2" t="s">
        <v>31</v>
      </c>
      <c r="G646" s="3">
        <v>745000</v>
      </c>
      <c r="H646" s="8">
        <v>34</v>
      </c>
      <c r="I646" s="3">
        <v>12665000</v>
      </c>
      <c r="J646" s="3">
        <v>12665000</v>
      </c>
    </row>
    <row r="647" spans="1:10" x14ac:dyDescent="0.25">
      <c r="A647" s="2">
        <v>647</v>
      </c>
      <c r="B647" s="18">
        <v>45637.708287037036</v>
      </c>
      <c r="C647" s="2" t="s">
        <v>351</v>
      </c>
      <c r="D647" s="2" t="s">
        <v>268</v>
      </c>
      <c r="E647" s="2" t="s">
        <v>371</v>
      </c>
      <c r="F647" s="2" t="s">
        <v>57</v>
      </c>
      <c r="G647" s="3">
        <v>745000</v>
      </c>
      <c r="H647" s="8">
        <v>11</v>
      </c>
      <c r="I647" s="3">
        <v>4097500</v>
      </c>
      <c r="J647" s="3">
        <v>4097500</v>
      </c>
    </row>
    <row r="648" spans="1:10" x14ac:dyDescent="0.25">
      <c r="A648" s="2">
        <v>648</v>
      </c>
      <c r="B648" s="18">
        <v>45638.708287037036</v>
      </c>
      <c r="C648" s="2" t="s">
        <v>351</v>
      </c>
      <c r="D648" s="2" t="s">
        <v>267</v>
      </c>
      <c r="E648" s="2" t="s">
        <v>371</v>
      </c>
      <c r="F648" s="2" t="s">
        <v>33</v>
      </c>
      <c r="G648" s="3">
        <v>485000</v>
      </c>
      <c r="H648" s="8">
        <v>133</v>
      </c>
      <c r="I648" s="3">
        <v>29027250</v>
      </c>
      <c r="J648" s="3">
        <v>29027250</v>
      </c>
    </row>
    <row r="649" spans="1:10" x14ac:dyDescent="0.25">
      <c r="A649" s="2">
        <v>649</v>
      </c>
      <c r="B649" s="18">
        <v>45638.708287037036</v>
      </c>
      <c r="C649" s="2" t="s">
        <v>351</v>
      </c>
      <c r="D649" s="2" t="s">
        <v>267</v>
      </c>
      <c r="E649" s="2" t="s">
        <v>371</v>
      </c>
      <c r="F649" s="2" t="s">
        <v>59</v>
      </c>
      <c r="G649" s="3">
        <v>475000</v>
      </c>
      <c r="H649" s="8">
        <v>72</v>
      </c>
      <c r="I649" s="3">
        <v>15389999.999999998</v>
      </c>
      <c r="J649" s="3">
        <v>15389999.999999998</v>
      </c>
    </row>
    <row r="650" spans="1:10" x14ac:dyDescent="0.25">
      <c r="A650" s="2">
        <v>650</v>
      </c>
      <c r="B650" s="18">
        <v>45638.708287037036</v>
      </c>
      <c r="C650" s="2" t="s">
        <v>351</v>
      </c>
      <c r="D650" s="2" t="s">
        <v>267</v>
      </c>
      <c r="E650" s="2" t="s">
        <v>371</v>
      </c>
      <c r="F650" s="2" t="s">
        <v>31</v>
      </c>
      <c r="G650" s="3">
        <v>745000</v>
      </c>
      <c r="H650" s="8">
        <v>133</v>
      </c>
      <c r="I650" s="3">
        <v>49542500</v>
      </c>
      <c r="J650" s="3">
        <v>49542500</v>
      </c>
    </row>
    <row r="651" spans="1:10" x14ac:dyDescent="0.25">
      <c r="A651" s="2">
        <v>651</v>
      </c>
      <c r="B651" s="18">
        <v>45638.708287037036</v>
      </c>
      <c r="C651" s="2" t="s">
        <v>351</v>
      </c>
      <c r="D651" s="2" t="s">
        <v>267</v>
      </c>
      <c r="E651" s="2" t="s">
        <v>371</v>
      </c>
      <c r="F651" s="2" t="s">
        <v>57</v>
      </c>
      <c r="G651" s="3">
        <v>745000</v>
      </c>
      <c r="H651" s="8">
        <v>72</v>
      </c>
      <c r="I651" s="3">
        <v>26820000</v>
      </c>
      <c r="J651" s="3">
        <v>26820000</v>
      </c>
    </row>
    <row r="652" spans="1:10" x14ac:dyDescent="0.25">
      <c r="A652" s="2">
        <v>652</v>
      </c>
      <c r="B652" s="18">
        <v>45638.708287037036</v>
      </c>
      <c r="C652" s="2" t="s">
        <v>351</v>
      </c>
      <c r="D652" s="2" t="s">
        <v>2</v>
      </c>
      <c r="E652" s="2" t="s">
        <v>370</v>
      </c>
      <c r="F652" s="2" t="s">
        <v>89</v>
      </c>
      <c r="G652" s="3">
        <v>390000</v>
      </c>
      <c r="H652" s="8">
        <v>24</v>
      </c>
      <c r="I652" s="3">
        <v>0</v>
      </c>
      <c r="J652" s="3">
        <v>0</v>
      </c>
    </row>
    <row r="653" spans="1:10" x14ac:dyDescent="0.25">
      <c r="A653" s="2">
        <v>653</v>
      </c>
      <c r="B653" s="18">
        <v>45638.708287037036</v>
      </c>
      <c r="C653" s="2" t="s">
        <v>351</v>
      </c>
      <c r="D653" s="2" t="s">
        <v>250</v>
      </c>
      <c r="E653" s="2" t="s">
        <v>368</v>
      </c>
      <c r="F653" s="2" t="s">
        <v>83</v>
      </c>
      <c r="G653" s="3">
        <v>790000</v>
      </c>
      <c r="H653" s="8">
        <v>5</v>
      </c>
      <c r="I653" s="3">
        <v>1975000</v>
      </c>
      <c r="J653" s="3">
        <v>1975000</v>
      </c>
    </row>
    <row r="654" spans="1:10" x14ac:dyDescent="0.25">
      <c r="A654" s="2">
        <v>654</v>
      </c>
      <c r="B654" s="18">
        <v>45638.708287037036</v>
      </c>
      <c r="C654" s="2" t="s">
        <v>351</v>
      </c>
      <c r="D654" s="2" t="s">
        <v>34</v>
      </c>
      <c r="E654" s="2" t="s">
        <v>370</v>
      </c>
      <c r="F654" s="2" t="s">
        <v>421</v>
      </c>
      <c r="G654" s="3">
        <v>0</v>
      </c>
      <c r="H654" s="8">
        <v>0</v>
      </c>
      <c r="I654" s="3">
        <v>0</v>
      </c>
      <c r="J654" s="3">
        <v>0</v>
      </c>
    </row>
    <row r="655" spans="1:10" x14ac:dyDescent="0.25">
      <c r="A655" s="2">
        <v>655</v>
      </c>
      <c r="B655" s="18">
        <v>45638.708287037036</v>
      </c>
      <c r="C655" s="2" t="s">
        <v>351</v>
      </c>
      <c r="D655" s="2" t="s">
        <v>34</v>
      </c>
      <c r="E655" s="2" t="s">
        <v>370</v>
      </c>
      <c r="F655" s="2" t="s">
        <v>29</v>
      </c>
      <c r="G655" s="3">
        <v>590000</v>
      </c>
      <c r="H655" s="8">
        <v>1</v>
      </c>
      <c r="I655" s="3">
        <v>354000</v>
      </c>
      <c r="J655" s="3">
        <v>354000</v>
      </c>
    </row>
    <row r="656" spans="1:10" x14ac:dyDescent="0.25">
      <c r="A656" s="2">
        <v>656</v>
      </c>
      <c r="B656" s="18">
        <v>45638.708287037036</v>
      </c>
      <c r="C656" s="2" t="s">
        <v>351</v>
      </c>
      <c r="D656" s="2" t="s">
        <v>34</v>
      </c>
      <c r="E656" s="2" t="s">
        <v>370</v>
      </c>
      <c r="F656" s="2" t="s">
        <v>85</v>
      </c>
      <c r="G656" s="3">
        <v>480000</v>
      </c>
      <c r="H656" s="8">
        <v>6</v>
      </c>
      <c r="I656" s="3">
        <v>1728000</v>
      </c>
      <c r="J656" s="3">
        <v>1728000</v>
      </c>
    </row>
    <row r="657" spans="1:10" x14ac:dyDescent="0.25">
      <c r="A657" s="2">
        <v>657</v>
      </c>
      <c r="B657" s="18">
        <v>45638.708287037036</v>
      </c>
      <c r="C657" s="2" t="s">
        <v>351</v>
      </c>
      <c r="D657" s="2" t="s">
        <v>34</v>
      </c>
      <c r="E657" s="2" t="s">
        <v>370</v>
      </c>
      <c r="F657" s="2" t="s">
        <v>33</v>
      </c>
      <c r="G657" s="3">
        <v>485000</v>
      </c>
      <c r="H657" s="8">
        <v>13</v>
      </c>
      <c r="I657" s="3">
        <v>3783000</v>
      </c>
      <c r="J657" s="3">
        <v>3783000</v>
      </c>
    </row>
    <row r="658" spans="1:10" x14ac:dyDescent="0.25">
      <c r="A658" s="2">
        <v>658</v>
      </c>
      <c r="B658" s="18">
        <v>45638.708287037036</v>
      </c>
      <c r="C658" s="2" t="s">
        <v>351</v>
      </c>
      <c r="D658" s="2" t="s">
        <v>34</v>
      </c>
      <c r="E658" s="2" t="s">
        <v>370</v>
      </c>
      <c r="F658" s="2" t="s">
        <v>59</v>
      </c>
      <c r="G658" s="3">
        <v>475000</v>
      </c>
      <c r="H658" s="8">
        <v>17</v>
      </c>
      <c r="I658" s="3">
        <v>4845000</v>
      </c>
      <c r="J658" s="3">
        <v>4845000</v>
      </c>
    </row>
    <row r="659" spans="1:10" x14ac:dyDescent="0.25">
      <c r="A659" s="2">
        <v>659</v>
      </c>
      <c r="B659" s="18">
        <v>45638.708287037036</v>
      </c>
      <c r="C659" s="2" t="s">
        <v>351</v>
      </c>
      <c r="D659" s="2" t="s">
        <v>34</v>
      </c>
      <c r="E659" s="2" t="s">
        <v>370</v>
      </c>
      <c r="F659" s="2" t="s">
        <v>23</v>
      </c>
      <c r="G659" s="3">
        <v>775000</v>
      </c>
      <c r="H659" s="8">
        <v>9</v>
      </c>
      <c r="I659" s="3">
        <v>4533750</v>
      </c>
      <c r="J659" s="3">
        <v>4533750</v>
      </c>
    </row>
    <row r="660" spans="1:10" x14ac:dyDescent="0.25">
      <c r="A660" s="2">
        <v>660</v>
      </c>
      <c r="B660" s="18">
        <v>45639.708287037036</v>
      </c>
      <c r="C660" s="2" t="s">
        <v>351</v>
      </c>
      <c r="D660" s="2" t="s">
        <v>14</v>
      </c>
      <c r="E660" s="2" t="s">
        <v>367</v>
      </c>
      <c r="F660" s="2" t="s">
        <v>31</v>
      </c>
      <c r="G660" s="3">
        <v>745000</v>
      </c>
      <c r="H660" s="8">
        <v>0</v>
      </c>
      <c r="I660" s="3">
        <v>0</v>
      </c>
      <c r="J660" s="3">
        <v>0</v>
      </c>
    </row>
    <row r="661" spans="1:10" x14ac:dyDescent="0.25">
      <c r="A661" s="2">
        <v>661</v>
      </c>
      <c r="B661" s="18">
        <v>45639.708287037036</v>
      </c>
      <c r="C661" s="2" t="s">
        <v>351</v>
      </c>
      <c r="D661" s="2" t="s">
        <v>14</v>
      </c>
      <c r="E661" s="2" t="s">
        <v>367</v>
      </c>
      <c r="F661" s="2" t="s">
        <v>33</v>
      </c>
      <c r="G661" s="3">
        <v>485000</v>
      </c>
      <c r="H661" s="8">
        <v>0</v>
      </c>
      <c r="I661" s="3">
        <v>0</v>
      </c>
      <c r="J661" s="3">
        <v>0</v>
      </c>
    </row>
    <row r="662" spans="1:10" x14ac:dyDescent="0.25">
      <c r="A662" s="2">
        <v>662</v>
      </c>
      <c r="B662" s="18">
        <v>45639.708287037036</v>
      </c>
      <c r="C662" s="2" t="s">
        <v>351</v>
      </c>
      <c r="D662" s="2" t="s">
        <v>14</v>
      </c>
      <c r="E662" s="2" t="s">
        <v>367</v>
      </c>
      <c r="F662" s="2" t="s">
        <v>57</v>
      </c>
      <c r="G662" s="3">
        <v>745000</v>
      </c>
      <c r="H662" s="8">
        <v>0</v>
      </c>
      <c r="I662" s="3">
        <v>0</v>
      </c>
      <c r="J662" s="3">
        <v>0</v>
      </c>
    </row>
    <row r="663" spans="1:10" x14ac:dyDescent="0.25">
      <c r="A663" s="2">
        <v>663</v>
      </c>
      <c r="B663" s="18">
        <v>45639.708287037036</v>
      </c>
      <c r="C663" s="2" t="s">
        <v>351</v>
      </c>
      <c r="D663" s="2" t="s">
        <v>14</v>
      </c>
      <c r="E663" s="2" t="s">
        <v>367</v>
      </c>
      <c r="F663" s="2" t="s">
        <v>59</v>
      </c>
      <c r="G663" s="3">
        <v>475000</v>
      </c>
      <c r="H663" s="8">
        <v>0</v>
      </c>
      <c r="I663" s="3">
        <v>0</v>
      </c>
      <c r="J663" s="3">
        <v>0</v>
      </c>
    </row>
    <row r="664" spans="1:10" x14ac:dyDescent="0.25">
      <c r="A664" s="2">
        <v>664</v>
      </c>
      <c r="B664" s="18">
        <v>45639.708287037036</v>
      </c>
      <c r="C664" s="2" t="s">
        <v>351</v>
      </c>
      <c r="D664" s="2" t="s">
        <v>14</v>
      </c>
      <c r="E664" s="2" t="s">
        <v>367</v>
      </c>
      <c r="F664" s="2" t="s">
        <v>51</v>
      </c>
      <c r="G664" s="3">
        <v>465000</v>
      </c>
      <c r="H664" s="8">
        <v>0</v>
      </c>
      <c r="I664" s="3">
        <v>0</v>
      </c>
      <c r="J664" s="3">
        <v>0</v>
      </c>
    </row>
    <row r="665" spans="1:10" x14ac:dyDescent="0.25">
      <c r="A665" s="2">
        <v>665</v>
      </c>
      <c r="B665" s="18">
        <v>45639.708287037036</v>
      </c>
      <c r="C665" s="2" t="s">
        <v>351</v>
      </c>
      <c r="D665" s="2" t="s">
        <v>14</v>
      </c>
      <c r="E665" s="2" t="s">
        <v>367</v>
      </c>
      <c r="F665" s="2" t="s">
        <v>67</v>
      </c>
      <c r="G665" s="3">
        <v>945000</v>
      </c>
      <c r="H665" s="8">
        <v>0</v>
      </c>
      <c r="I665" s="3">
        <v>0</v>
      </c>
      <c r="J665" s="3">
        <v>0</v>
      </c>
    </row>
    <row r="666" spans="1:10" x14ac:dyDescent="0.25">
      <c r="A666" s="2">
        <v>666</v>
      </c>
      <c r="B666" s="18">
        <v>45639.708287037036</v>
      </c>
      <c r="C666" s="2" t="s">
        <v>351</v>
      </c>
      <c r="D666" s="2" t="s">
        <v>14</v>
      </c>
      <c r="E666" s="2" t="s">
        <v>367</v>
      </c>
      <c r="F666" s="2" t="s">
        <v>65</v>
      </c>
      <c r="G666" s="3">
        <v>750000</v>
      </c>
      <c r="H666" s="8">
        <v>0</v>
      </c>
      <c r="I666" s="3">
        <v>0</v>
      </c>
      <c r="J666" s="3">
        <v>0</v>
      </c>
    </row>
    <row r="667" spans="1:10" x14ac:dyDescent="0.25">
      <c r="A667" s="2">
        <v>667</v>
      </c>
      <c r="B667" s="18">
        <v>45639.708287037036</v>
      </c>
      <c r="C667" s="2" t="s">
        <v>351</v>
      </c>
      <c r="D667" s="2" t="s">
        <v>14</v>
      </c>
      <c r="E667" s="2" t="s">
        <v>367</v>
      </c>
      <c r="F667" s="2" t="s">
        <v>19</v>
      </c>
      <c r="G667" s="3">
        <v>590000</v>
      </c>
      <c r="H667" s="8">
        <v>0</v>
      </c>
      <c r="I667" s="3">
        <v>0</v>
      </c>
      <c r="J667" s="3">
        <v>0</v>
      </c>
    </row>
    <row r="668" spans="1:10" x14ac:dyDescent="0.25">
      <c r="A668" s="2">
        <v>668</v>
      </c>
      <c r="B668" s="18">
        <v>45639.708287037036</v>
      </c>
      <c r="C668" s="2" t="s">
        <v>351</v>
      </c>
      <c r="D668" s="2" t="s">
        <v>14</v>
      </c>
      <c r="E668" s="2" t="s">
        <v>367</v>
      </c>
      <c r="F668" s="2" t="s">
        <v>29</v>
      </c>
      <c r="G668" s="3">
        <v>590000</v>
      </c>
      <c r="H668" s="8">
        <v>0</v>
      </c>
      <c r="I668" s="3">
        <v>0</v>
      </c>
      <c r="J668" s="3">
        <v>0</v>
      </c>
    </row>
    <row r="669" spans="1:10" x14ac:dyDescent="0.25">
      <c r="A669" s="2">
        <v>669</v>
      </c>
      <c r="B669" s="18">
        <v>45639.708287037036</v>
      </c>
      <c r="C669" s="2" t="s">
        <v>351</v>
      </c>
      <c r="D669" s="2" t="s">
        <v>14</v>
      </c>
      <c r="E669" s="2" t="s">
        <v>367</v>
      </c>
      <c r="F669" s="2" t="s">
        <v>73</v>
      </c>
      <c r="G669" s="3">
        <v>1350000</v>
      </c>
      <c r="H669" s="8">
        <v>1</v>
      </c>
      <c r="I669" s="3">
        <v>400000.0000049999</v>
      </c>
      <c r="J669" s="3">
        <v>400000.0000049999</v>
      </c>
    </row>
    <row r="670" spans="1:10" x14ac:dyDescent="0.25">
      <c r="A670" s="2">
        <v>670</v>
      </c>
      <c r="B670" s="18">
        <v>45639.708287037036</v>
      </c>
      <c r="C670" s="2" t="s">
        <v>351</v>
      </c>
      <c r="D670" s="2" t="s">
        <v>14</v>
      </c>
      <c r="E670" s="2" t="s">
        <v>367</v>
      </c>
      <c r="F670" s="2" t="s">
        <v>23</v>
      </c>
      <c r="G670" s="3">
        <v>775000</v>
      </c>
      <c r="H670" s="8">
        <v>0</v>
      </c>
      <c r="I670" s="3">
        <v>0</v>
      </c>
      <c r="J670" s="3">
        <v>0</v>
      </c>
    </row>
    <row r="671" spans="1:10" x14ac:dyDescent="0.25">
      <c r="A671" s="2">
        <v>671</v>
      </c>
      <c r="B671" s="18">
        <v>45639.708287037036</v>
      </c>
      <c r="C671" s="2" t="s">
        <v>351</v>
      </c>
      <c r="D671" s="2" t="s">
        <v>14</v>
      </c>
      <c r="E671" s="2" t="s">
        <v>367</v>
      </c>
      <c r="F671" s="2" t="s">
        <v>79</v>
      </c>
      <c r="G671" s="3">
        <v>150000</v>
      </c>
      <c r="H671" s="8">
        <v>10</v>
      </c>
      <c r="I671" s="3">
        <v>0</v>
      </c>
      <c r="J671" s="3">
        <v>0</v>
      </c>
    </row>
    <row r="672" spans="1:10" x14ac:dyDescent="0.25">
      <c r="A672" s="2">
        <v>672</v>
      </c>
      <c r="B672" s="18">
        <v>45639.708287037036</v>
      </c>
      <c r="C672" s="2" t="s">
        <v>351</v>
      </c>
      <c r="D672" s="2" t="s">
        <v>14</v>
      </c>
      <c r="E672" s="2" t="s">
        <v>367</v>
      </c>
      <c r="F672" s="2" t="s">
        <v>47</v>
      </c>
      <c r="G672" s="3">
        <v>200000</v>
      </c>
      <c r="H672" s="8">
        <v>10</v>
      </c>
      <c r="I672" s="3">
        <v>0</v>
      </c>
      <c r="J672" s="3">
        <v>0</v>
      </c>
    </row>
    <row r="673" spans="1:10" x14ac:dyDescent="0.25">
      <c r="A673" s="2">
        <v>673</v>
      </c>
      <c r="B673" s="18">
        <v>45639.708287037036</v>
      </c>
      <c r="C673" s="2" t="s">
        <v>351</v>
      </c>
      <c r="D673" s="2" t="s">
        <v>14</v>
      </c>
      <c r="E673" s="2" t="s">
        <v>367</v>
      </c>
      <c r="F673" s="2" t="s">
        <v>49</v>
      </c>
      <c r="G673" s="3">
        <v>200000</v>
      </c>
      <c r="H673" s="8">
        <v>10</v>
      </c>
      <c r="I673" s="3">
        <v>0</v>
      </c>
      <c r="J673" s="3">
        <v>0</v>
      </c>
    </row>
    <row r="674" spans="1:10" x14ac:dyDescent="0.25">
      <c r="A674" s="2">
        <v>674</v>
      </c>
      <c r="B674" s="18">
        <v>45639.708287037036</v>
      </c>
      <c r="C674" s="2" t="s">
        <v>351</v>
      </c>
      <c r="D674" s="2" t="s">
        <v>14</v>
      </c>
      <c r="E674" s="2" t="s">
        <v>367</v>
      </c>
      <c r="F674" s="2" t="s">
        <v>89</v>
      </c>
      <c r="G674" s="3">
        <v>390000</v>
      </c>
      <c r="H674" s="8">
        <v>6</v>
      </c>
      <c r="I674" s="3">
        <v>0</v>
      </c>
      <c r="J674" s="3">
        <v>0</v>
      </c>
    </row>
    <row r="675" spans="1:10" x14ac:dyDescent="0.25">
      <c r="A675" s="2">
        <v>675</v>
      </c>
      <c r="B675" s="18">
        <v>45639.708287037036</v>
      </c>
      <c r="C675" s="2" t="s">
        <v>351</v>
      </c>
      <c r="D675" s="2" t="s">
        <v>284</v>
      </c>
      <c r="E675" s="2" t="s">
        <v>369</v>
      </c>
      <c r="F675" s="2" t="s">
        <v>31</v>
      </c>
      <c r="G675" s="3">
        <v>745000</v>
      </c>
      <c r="H675" s="8">
        <v>50</v>
      </c>
      <c r="I675" s="3">
        <v>18625000</v>
      </c>
      <c r="J675" s="3">
        <v>18625000</v>
      </c>
    </row>
    <row r="676" spans="1:10" x14ac:dyDescent="0.25">
      <c r="A676" s="2">
        <v>676</v>
      </c>
      <c r="B676" s="18">
        <v>45639.708287037036</v>
      </c>
      <c r="C676" s="2" t="s">
        <v>351</v>
      </c>
      <c r="D676" s="2" t="s">
        <v>284</v>
      </c>
      <c r="E676" s="2" t="s">
        <v>369</v>
      </c>
      <c r="F676" s="2" t="s">
        <v>33</v>
      </c>
      <c r="G676" s="3">
        <v>485000</v>
      </c>
      <c r="H676" s="8">
        <v>50</v>
      </c>
      <c r="I676" s="3">
        <v>12125000</v>
      </c>
      <c r="J676" s="3">
        <v>12125000</v>
      </c>
    </row>
    <row r="677" spans="1:10" x14ac:dyDescent="0.25">
      <c r="A677" s="2">
        <v>677</v>
      </c>
      <c r="B677" s="18">
        <v>45639.708287037036</v>
      </c>
      <c r="C677" s="2" t="s">
        <v>351</v>
      </c>
      <c r="D677" s="2" t="s">
        <v>86</v>
      </c>
      <c r="E677" s="2" t="s">
        <v>369</v>
      </c>
      <c r="F677" s="2" t="s">
        <v>63</v>
      </c>
      <c r="G677" s="3">
        <v>550000</v>
      </c>
      <c r="H677" s="8">
        <v>20</v>
      </c>
      <c r="I677" s="3">
        <v>5500000</v>
      </c>
      <c r="J677" s="3">
        <v>5500000</v>
      </c>
    </row>
    <row r="678" spans="1:10" x14ac:dyDescent="0.25">
      <c r="A678" s="2">
        <v>678</v>
      </c>
      <c r="B678" s="18">
        <v>45639.708287037036</v>
      </c>
      <c r="C678" s="2" t="s">
        <v>351</v>
      </c>
      <c r="D678" s="2" t="s">
        <v>86</v>
      </c>
      <c r="E678" s="2" t="s">
        <v>369</v>
      </c>
      <c r="F678" s="2" t="s">
        <v>19</v>
      </c>
      <c r="G678" s="3">
        <v>590000</v>
      </c>
      <c r="H678" s="8">
        <v>10</v>
      </c>
      <c r="I678" s="3">
        <v>2950000</v>
      </c>
      <c r="J678" s="3">
        <v>2950000</v>
      </c>
    </row>
    <row r="679" spans="1:10" x14ac:dyDescent="0.25">
      <c r="A679" s="2">
        <v>679</v>
      </c>
      <c r="B679" s="18">
        <v>45639.708287037036</v>
      </c>
      <c r="C679" s="2" t="s">
        <v>351</v>
      </c>
      <c r="D679" s="2" t="s">
        <v>86</v>
      </c>
      <c r="E679" s="2" t="s">
        <v>369</v>
      </c>
      <c r="F679" s="2" t="s">
        <v>29</v>
      </c>
      <c r="G679" s="3">
        <v>590000</v>
      </c>
      <c r="H679" s="8">
        <v>5</v>
      </c>
      <c r="I679" s="3">
        <v>1475000</v>
      </c>
      <c r="J679" s="3">
        <v>1475000</v>
      </c>
    </row>
    <row r="680" spans="1:10" x14ac:dyDescent="0.25">
      <c r="A680" s="2">
        <v>680</v>
      </c>
      <c r="B680" s="18">
        <v>45639.708287037036</v>
      </c>
      <c r="C680" s="2" t="s">
        <v>351</v>
      </c>
      <c r="D680" s="2" t="s">
        <v>317</v>
      </c>
      <c r="E680" s="2" t="s">
        <v>363</v>
      </c>
      <c r="F680" s="2" t="s">
        <v>33</v>
      </c>
      <c r="G680" s="3">
        <v>485000</v>
      </c>
      <c r="H680" s="8">
        <v>2</v>
      </c>
      <c r="I680" s="3">
        <v>0</v>
      </c>
      <c r="J680" s="3">
        <v>0</v>
      </c>
    </row>
    <row r="681" spans="1:10" x14ac:dyDescent="0.25">
      <c r="A681" s="2">
        <v>681</v>
      </c>
      <c r="B681" s="18">
        <v>45639.708287037036</v>
      </c>
      <c r="C681" s="2" t="s">
        <v>351</v>
      </c>
      <c r="D681" s="2" t="s">
        <v>317</v>
      </c>
      <c r="E681" s="2" t="s">
        <v>363</v>
      </c>
      <c r="F681" s="2" t="s">
        <v>59</v>
      </c>
      <c r="G681" s="3">
        <v>475000</v>
      </c>
      <c r="H681" s="8">
        <v>2</v>
      </c>
      <c r="I681" s="3">
        <v>0</v>
      </c>
      <c r="J681" s="3">
        <v>0</v>
      </c>
    </row>
    <row r="682" spans="1:10" x14ac:dyDescent="0.25">
      <c r="A682" s="2">
        <v>682</v>
      </c>
      <c r="B682" s="18">
        <v>45639.708287037036</v>
      </c>
      <c r="C682" s="2" t="s">
        <v>351</v>
      </c>
      <c r="D682" s="2" t="s">
        <v>317</v>
      </c>
      <c r="E682" s="2" t="s">
        <v>363</v>
      </c>
      <c r="F682" s="2" t="s">
        <v>51</v>
      </c>
      <c r="G682" s="3">
        <v>465000</v>
      </c>
      <c r="H682" s="8">
        <v>2</v>
      </c>
      <c r="I682" s="3">
        <v>0</v>
      </c>
      <c r="J682" s="3">
        <v>0</v>
      </c>
    </row>
    <row r="683" spans="1:10" x14ac:dyDescent="0.25">
      <c r="A683" s="2">
        <v>683</v>
      </c>
      <c r="B683" s="18">
        <v>45639.708287037036</v>
      </c>
      <c r="C683" s="2" t="s">
        <v>351</v>
      </c>
      <c r="D683" s="2" t="s">
        <v>337</v>
      </c>
      <c r="E683" s="2" t="s">
        <v>363</v>
      </c>
      <c r="F683" s="2" t="s">
        <v>57</v>
      </c>
      <c r="G683" s="3">
        <v>745000</v>
      </c>
      <c r="H683" s="8">
        <v>1</v>
      </c>
      <c r="I683" s="3">
        <v>0</v>
      </c>
      <c r="J683" s="3">
        <v>0</v>
      </c>
    </row>
    <row r="684" spans="1:10" x14ac:dyDescent="0.25">
      <c r="A684" s="2">
        <v>684</v>
      </c>
      <c r="B684" s="18">
        <v>45639.708287037036</v>
      </c>
      <c r="C684" s="2" t="s">
        <v>351</v>
      </c>
      <c r="D684" s="2" t="s">
        <v>337</v>
      </c>
      <c r="E684" s="2" t="s">
        <v>363</v>
      </c>
      <c r="F684" s="2" t="s">
        <v>31</v>
      </c>
      <c r="G684" s="3">
        <v>745000</v>
      </c>
      <c r="H684" s="8">
        <v>1</v>
      </c>
      <c r="I684" s="3">
        <v>0</v>
      </c>
      <c r="J684" s="3">
        <v>0</v>
      </c>
    </row>
    <row r="685" spans="1:10" x14ac:dyDescent="0.25">
      <c r="A685" s="2">
        <v>685</v>
      </c>
      <c r="B685" s="18">
        <v>45639.708287037036</v>
      </c>
      <c r="C685" s="2" t="s">
        <v>351</v>
      </c>
      <c r="D685" s="2" t="s">
        <v>337</v>
      </c>
      <c r="E685" s="2" t="s">
        <v>363</v>
      </c>
      <c r="F685" s="2" t="s">
        <v>51</v>
      </c>
      <c r="G685" s="3">
        <v>465000</v>
      </c>
      <c r="H685" s="8">
        <v>1</v>
      </c>
      <c r="I685" s="3">
        <v>0</v>
      </c>
      <c r="J685" s="3">
        <v>0</v>
      </c>
    </row>
    <row r="686" spans="1:10" x14ac:dyDescent="0.25">
      <c r="A686" s="2">
        <v>686</v>
      </c>
      <c r="B686" s="18">
        <v>45642.708287037036</v>
      </c>
      <c r="C686" s="2" t="s">
        <v>351</v>
      </c>
      <c r="D686" s="2" t="s">
        <v>303</v>
      </c>
      <c r="E686" s="2" t="s">
        <v>366</v>
      </c>
      <c r="F686" s="2" t="s">
        <v>31</v>
      </c>
      <c r="G686" s="3">
        <v>745000</v>
      </c>
      <c r="H686" s="8">
        <v>10</v>
      </c>
      <c r="I686" s="3">
        <v>4750000.055</v>
      </c>
      <c r="J686" s="3">
        <v>4750000.055</v>
      </c>
    </row>
    <row r="687" spans="1:10" x14ac:dyDescent="0.25">
      <c r="A687" s="2">
        <v>687</v>
      </c>
      <c r="B687" s="18">
        <v>45642.708287037036</v>
      </c>
      <c r="C687" s="2" t="s">
        <v>351</v>
      </c>
      <c r="D687" s="2" t="s">
        <v>306</v>
      </c>
      <c r="E687" s="2" t="s">
        <v>366</v>
      </c>
      <c r="F687" s="2" t="s">
        <v>63</v>
      </c>
      <c r="G687" s="3">
        <v>550000</v>
      </c>
      <c r="H687" s="8">
        <v>10</v>
      </c>
      <c r="I687" s="3">
        <v>3300000</v>
      </c>
      <c r="J687" s="3">
        <v>3300000</v>
      </c>
    </row>
    <row r="688" spans="1:10" x14ac:dyDescent="0.25">
      <c r="A688" s="2">
        <v>688</v>
      </c>
      <c r="B688" s="18">
        <v>45643.708287037036</v>
      </c>
      <c r="C688" s="2" t="s">
        <v>351</v>
      </c>
      <c r="D688" s="2" t="s">
        <v>2</v>
      </c>
      <c r="E688" s="2" t="s">
        <v>370</v>
      </c>
      <c r="F688" s="2" t="s">
        <v>19</v>
      </c>
      <c r="G688" s="3">
        <v>590000</v>
      </c>
      <c r="H688" s="8">
        <v>6</v>
      </c>
      <c r="I688" s="3">
        <v>2230207.08</v>
      </c>
      <c r="J688" s="3">
        <v>2230207.08</v>
      </c>
    </row>
    <row r="689" spans="1:10" x14ac:dyDescent="0.25">
      <c r="A689" s="2">
        <v>689</v>
      </c>
      <c r="B689" s="18">
        <v>45643.708287037036</v>
      </c>
      <c r="C689" s="2" t="s">
        <v>351</v>
      </c>
      <c r="D689" s="2" t="s">
        <v>2</v>
      </c>
      <c r="E689" s="2" t="s">
        <v>370</v>
      </c>
      <c r="F689" s="2" t="s">
        <v>29</v>
      </c>
      <c r="G689" s="3">
        <v>590000</v>
      </c>
      <c r="H689" s="8">
        <v>6</v>
      </c>
      <c r="I689" s="3">
        <v>2230207.08</v>
      </c>
      <c r="J689" s="3">
        <v>2230207.08</v>
      </c>
    </row>
    <row r="690" spans="1:10" x14ac:dyDescent="0.25">
      <c r="A690" s="2">
        <v>690</v>
      </c>
      <c r="B690" s="18">
        <v>45643.708287037036</v>
      </c>
      <c r="C690" s="2" t="s">
        <v>351</v>
      </c>
      <c r="D690" s="2" t="s">
        <v>2</v>
      </c>
      <c r="E690" s="2" t="s">
        <v>370</v>
      </c>
      <c r="F690" s="2" t="s">
        <v>61</v>
      </c>
      <c r="G690" s="3">
        <v>890000</v>
      </c>
      <c r="H690" s="8">
        <v>6</v>
      </c>
      <c r="I690" s="3">
        <v>3364210.68</v>
      </c>
      <c r="J690" s="3">
        <v>3364210.68</v>
      </c>
    </row>
    <row r="691" spans="1:10" x14ac:dyDescent="0.25">
      <c r="A691" s="2">
        <v>691</v>
      </c>
      <c r="B691" s="18">
        <v>45643.708287037036</v>
      </c>
      <c r="C691" s="2" t="s">
        <v>351</v>
      </c>
      <c r="D691" s="2" t="s">
        <v>2</v>
      </c>
      <c r="E691" s="2" t="s">
        <v>370</v>
      </c>
      <c r="F691" s="2" t="s">
        <v>83</v>
      </c>
      <c r="G691" s="3">
        <v>790000</v>
      </c>
      <c r="H691" s="8">
        <v>6</v>
      </c>
      <c r="I691" s="3">
        <v>2986209.48</v>
      </c>
      <c r="J691" s="3">
        <v>2986209.48</v>
      </c>
    </row>
    <row r="692" spans="1:10" x14ac:dyDescent="0.25">
      <c r="A692" s="2">
        <v>692</v>
      </c>
      <c r="B692" s="18">
        <v>45644.708287037036</v>
      </c>
      <c r="C692" s="2" t="s">
        <v>351</v>
      </c>
      <c r="D692" s="2" t="s">
        <v>268</v>
      </c>
      <c r="E692" s="2" t="s">
        <v>371</v>
      </c>
      <c r="F692" s="2" t="s">
        <v>33</v>
      </c>
      <c r="G692" s="3">
        <v>485000</v>
      </c>
      <c r="H692" s="8">
        <v>17</v>
      </c>
      <c r="I692" s="3">
        <v>3710250</v>
      </c>
      <c r="J692" s="3">
        <v>3710250</v>
      </c>
    </row>
    <row r="693" spans="1:10" x14ac:dyDescent="0.25">
      <c r="A693" s="2">
        <v>693</v>
      </c>
      <c r="B693" s="18">
        <v>45644.708287037036</v>
      </c>
      <c r="C693" s="2" t="s">
        <v>351</v>
      </c>
      <c r="D693" s="2" t="s">
        <v>268</v>
      </c>
      <c r="E693" s="2" t="s">
        <v>371</v>
      </c>
      <c r="F693" s="2" t="s">
        <v>59</v>
      </c>
      <c r="G693" s="3">
        <v>475000</v>
      </c>
      <c r="H693" s="8">
        <v>17</v>
      </c>
      <c r="I693" s="3">
        <v>3633749.9999999995</v>
      </c>
      <c r="J693" s="3">
        <v>3633749.9999999995</v>
      </c>
    </row>
    <row r="694" spans="1:10" x14ac:dyDescent="0.25">
      <c r="A694" s="2">
        <v>694</v>
      </c>
      <c r="B694" s="18">
        <v>45644.708287037036</v>
      </c>
      <c r="C694" s="2" t="s">
        <v>351</v>
      </c>
      <c r="D694" s="2" t="s">
        <v>268</v>
      </c>
      <c r="E694" s="2" t="s">
        <v>371</v>
      </c>
      <c r="F694" s="2" t="s">
        <v>31</v>
      </c>
      <c r="G694" s="3">
        <v>745000</v>
      </c>
      <c r="H694" s="8">
        <v>17</v>
      </c>
      <c r="I694" s="3">
        <v>6332500</v>
      </c>
      <c r="J694" s="3">
        <v>6332500</v>
      </c>
    </row>
    <row r="695" spans="1:10" x14ac:dyDescent="0.25">
      <c r="A695" s="2">
        <v>695</v>
      </c>
      <c r="B695" s="18">
        <v>45644.708287037036</v>
      </c>
      <c r="C695" s="2" t="s">
        <v>351</v>
      </c>
      <c r="D695" s="2" t="s">
        <v>268</v>
      </c>
      <c r="E695" s="2" t="s">
        <v>371</v>
      </c>
      <c r="F695" s="2" t="s">
        <v>57</v>
      </c>
      <c r="G695" s="3">
        <v>745000</v>
      </c>
      <c r="H695" s="8">
        <v>17</v>
      </c>
      <c r="I695" s="3">
        <v>6332500</v>
      </c>
      <c r="J695" s="3">
        <v>6332500</v>
      </c>
    </row>
    <row r="696" spans="1:10" x14ac:dyDescent="0.25">
      <c r="A696" s="2">
        <v>696</v>
      </c>
      <c r="B696" s="18">
        <v>45644.708287037036</v>
      </c>
      <c r="C696" s="2" t="s">
        <v>351</v>
      </c>
      <c r="D696" s="2" t="s">
        <v>268</v>
      </c>
      <c r="E696" s="2" t="s">
        <v>371</v>
      </c>
      <c r="F696" s="2" t="s">
        <v>19</v>
      </c>
      <c r="G696" s="3">
        <v>590000</v>
      </c>
      <c r="H696" s="8">
        <v>7</v>
      </c>
      <c r="I696" s="3">
        <v>2065000</v>
      </c>
      <c r="J696" s="3">
        <v>2065000</v>
      </c>
    </row>
    <row r="697" spans="1:10" x14ac:dyDescent="0.25">
      <c r="A697" s="2">
        <v>697</v>
      </c>
      <c r="B697" s="18">
        <v>45644.708287037036</v>
      </c>
      <c r="C697" s="2" t="s">
        <v>351</v>
      </c>
      <c r="D697" s="2" t="s">
        <v>268</v>
      </c>
      <c r="E697" s="2" t="s">
        <v>371</v>
      </c>
      <c r="F697" s="2" t="s">
        <v>27</v>
      </c>
      <c r="G697" s="3">
        <v>935000</v>
      </c>
      <c r="H697" s="8">
        <v>14</v>
      </c>
      <c r="I697" s="3">
        <v>6545000</v>
      </c>
      <c r="J697" s="3">
        <v>6545000</v>
      </c>
    </row>
    <row r="698" spans="1:10" x14ac:dyDescent="0.25">
      <c r="A698" s="2">
        <v>698</v>
      </c>
      <c r="B698" s="18">
        <v>45644.708287037036</v>
      </c>
      <c r="C698" s="2" t="s">
        <v>351</v>
      </c>
      <c r="D698" s="2" t="s">
        <v>267</v>
      </c>
      <c r="E698" s="2" t="s">
        <v>371</v>
      </c>
      <c r="F698" s="2" t="s">
        <v>33</v>
      </c>
      <c r="G698" s="3">
        <v>485000</v>
      </c>
      <c r="H698" s="8">
        <v>161</v>
      </c>
      <c r="I698" s="3">
        <v>35138250</v>
      </c>
      <c r="J698" s="3">
        <v>35138250</v>
      </c>
    </row>
    <row r="699" spans="1:10" x14ac:dyDescent="0.25">
      <c r="A699" s="2">
        <v>699</v>
      </c>
      <c r="B699" s="18">
        <v>45644.708287037036</v>
      </c>
      <c r="C699" s="2" t="s">
        <v>351</v>
      </c>
      <c r="D699" s="2" t="s">
        <v>267</v>
      </c>
      <c r="E699" s="2" t="s">
        <v>371</v>
      </c>
      <c r="F699" s="2" t="s">
        <v>59</v>
      </c>
      <c r="G699" s="3">
        <v>475000</v>
      </c>
      <c r="H699" s="8">
        <v>53</v>
      </c>
      <c r="I699" s="3">
        <v>11328749.999999998</v>
      </c>
      <c r="J699" s="3">
        <v>11328749.999999998</v>
      </c>
    </row>
    <row r="700" spans="1:10" x14ac:dyDescent="0.25">
      <c r="A700" s="2">
        <v>700</v>
      </c>
      <c r="B700" s="18">
        <v>45644.708287037036</v>
      </c>
      <c r="C700" s="2" t="s">
        <v>351</v>
      </c>
      <c r="D700" s="2" t="s">
        <v>267</v>
      </c>
      <c r="E700" s="2" t="s">
        <v>371</v>
      </c>
      <c r="F700" s="2" t="s">
        <v>31</v>
      </c>
      <c r="G700" s="3">
        <v>745000</v>
      </c>
      <c r="H700" s="8">
        <v>161</v>
      </c>
      <c r="I700" s="3">
        <v>59972500</v>
      </c>
      <c r="J700" s="3">
        <v>59972500</v>
      </c>
    </row>
    <row r="701" spans="1:10" x14ac:dyDescent="0.25">
      <c r="A701" s="2">
        <v>701</v>
      </c>
      <c r="B701" s="18">
        <v>45644.708287037036</v>
      </c>
      <c r="C701" s="2" t="s">
        <v>351</v>
      </c>
      <c r="D701" s="2" t="s">
        <v>267</v>
      </c>
      <c r="E701" s="2" t="s">
        <v>371</v>
      </c>
      <c r="F701" s="2" t="s">
        <v>57</v>
      </c>
      <c r="G701" s="3">
        <v>745000</v>
      </c>
      <c r="H701" s="8">
        <v>53</v>
      </c>
      <c r="I701" s="3">
        <v>19742500</v>
      </c>
      <c r="J701" s="3">
        <v>19742500</v>
      </c>
    </row>
    <row r="702" spans="1:10" x14ac:dyDescent="0.25">
      <c r="A702" s="2">
        <v>702</v>
      </c>
      <c r="B702" s="18">
        <v>45644.708287037036</v>
      </c>
      <c r="C702" s="2" t="s">
        <v>351</v>
      </c>
      <c r="D702" s="2" t="s">
        <v>267</v>
      </c>
      <c r="E702" s="2" t="s">
        <v>371</v>
      </c>
      <c r="F702" s="2" t="s">
        <v>19</v>
      </c>
      <c r="G702" s="3">
        <v>590000</v>
      </c>
      <c r="H702" s="8">
        <v>15</v>
      </c>
      <c r="I702" s="3">
        <v>4425000</v>
      </c>
      <c r="J702" s="3">
        <v>4425000</v>
      </c>
    </row>
    <row r="703" spans="1:10" x14ac:dyDescent="0.25">
      <c r="A703" s="2">
        <v>703</v>
      </c>
      <c r="B703" s="18">
        <v>45644.708287037036</v>
      </c>
      <c r="C703" s="2" t="s">
        <v>351</v>
      </c>
      <c r="D703" s="2" t="s">
        <v>14</v>
      </c>
      <c r="E703" s="2" t="s">
        <v>367</v>
      </c>
      <c r="F703" s="2" t="s">
        <v>31</v>
      </c>
      <c r="G703" s="3">
        <v>745000</v>
      </c>
      <c r="H703" s="8">
        <v>0</v>
      </c>
      <c r="I703" s="3">
        <v>0</v>
      </c>
      <c r="J703" s="3">
        <v>0</v>
      </c>
    </row>
    <row r="704" spans="1:10" x14ac:dyDescent="0.25">
      <c r="A704" s="2">
        <v>704</v>
      </c>
      <c r="B704" s="18">
        <v>45644.708287037036</v>
      </c>
      <c r="C704" s="2" t="s">
        <v>351</v>
      </c>
      <c r="D704" s="2" t="s">
        <v>14</v>
      </c>
      <c r="E704" s="2" t="s">
        <v>367</v>
      </c>
      <c r="F704" s="2" t="s">
        <v>33</v>
      </c>
      <c r="G704" s="3">
        <v>485000</v>
      </c>
      <c r="H704" s="8">
        <v>0</v>
      </c>
      <c r="I704" s="3">
        <v>0</v>
      </c>
      <c r="J704" s="3">
        <v>0</v>
      </c>
    </row>
    <row r="705" spans="1:10" x14ac:dyDescent="0.25">
      <c r="A705" s="2">
        <v>705</v>
      </c>
      <c r="B705" s="18">
        <v>45644.708287037036</v>
      </c>
      <c r="C705" s="2" t="s">
        <v>351</v>
      </c>
      <c r="D705" s="2" t="s">
        <v>14</v>
      </c>
      <c r="E705" s="2" t="s">
        <v>367</v>
      </c>
      <c r="F705" s="2" t="s">
        <v>57</v>
      </c>
      <c r="G705" s="3">
        <v>745000</v>
      </c>
      <c r="H705" s="8">
        <v>0</v>
      </c>
      <c r="I705" s="3">
        <v>0</v>
      </c>
      <c r="J705" s="3">
        <v>0</v>
      </c>
    </row>
    <row r="706" spans="1:10" x14ac:dyDescent="0.25">
      <c r="A706" s="2">
        <v>706</v>
      </c>
      <c r="B706" s="18">
        <v>45644.708287037036</v>
      </c>
      <c r="C706" s="2" t="s">
        <v>351</v>
      </c>
      <c r="D706" s="2" t="s">
        <v>14</v>
      </c>
      <c r="E706" s="2" t="s">
        <v>367</v>
      </c>
      <c r="F706" s="2" t="s">
        <v>59</v>
      </c>
      <c r="G706" s="3">
        <v>475000</v>
      </c>
      <c r="H706" s="8">
        <v>0</v>
      </c>
      <c r="I706" s="3">
        <v>0</v>
      </c>
      <c r="J706" s="3">
        <v>0</v>
      </c>
    </row>
    <row r="707" spans="1:10" x14ac:dyDescent="0.25">
      <c r="A707" s="2">
        <v>707</v>
      </c>
      <c r="B707" s="18">
        <v>45644.708287037036</v>
      </c>
      <c r="C707" s="2" t="s">
        <v>351</v>
      </c>
      <c r="D707" s="2" t="s">
        <v>14</v>
      </c>
      <c r="E707" s="2" t="s">
        <v>367</v>
      </c>
      <c r="F707" s="2" t="s">
        <v>51</v>
      </c>
      <c r="G707" s="3">
        <v>465000</v>
      </c>
      <c r="H707" s="8">
        <v>0</v>
      </c>
      <c r="I707" s="3">
        <v>0</v>
      </c>
      <c r="J707" s="3">
        <v>0</v>
      </c>
    </row>
    <row r="708" spans="1:10" x14ac:dyDescent="0.25">
      <c r="A708" s="2">
        <v>708</v>
      </c>
      <c r="B708" s="18">
        <v>45644.708287037036</v>
      </c>
      <c r="C708" s="2" t="s">
        <v>351</v>
      </c>
      <c r="D708" s="2" t="s">
        <v>14</v>
      </c>
      <c r="E708" s="2" t="s">
        <v>367</v>
      </c>
      <c r="F708" s="2" t="s">
        <v>65</v>
      </c>
      <c r="G708" s="3">
        <v>750000</v>
      </c>
      <c r="H708" s="8">
        <v>0</v>
      </c>
      <c r="I708" s="3">
        <v>0</v>
      </c>
      <c r="J708" s="3">
        <v>0</v>
      </c>
    </row>
    <row r="709" spans="1:10" x14ac:dyDescent="0.25">
      <c r="A709" s="2">
        <v>709</v>
      </c>
      <c r="B709" s="18">
        <v>45644.708287037036</v>
      </c>
      <c r="C709" s="2" t="s">
        <v>351</v>
      </c>
      <c r="D709" s="2" t="s">
        <v>14</v>
      </c>
      <c r="E709" s="2" t="s">
        <v>367</v>
      </c>
      <c r="F709" s="2" t="s">
        <v>67</v>
      </c>
      <c r="G709" s="3">
        <v>945000</v>
      </c>
      <c r="H709" s="8">
        <v>0</v>
      </c>
      <c r="I709" s="3">
        <v>0</v>
      </c>
      <c r="J709" s="3">
        <v>0</v>
      </c>
    </row>
    <row r="710" spans="1:10" x14ac:dyDescent="0.25">
      <c r="A710" s="2">
        <v>710</v>
      </c>
      <c r="B710" s="18">
        <v>45644.708287037036</v>
      </c>
      <c r="C710" s="2" t="s">
        <v>351</v>
      </c>
      <c r="D710" s="2" t="s">
        <v>14</v>
      </c>
      <c r="E710" s="2" t="s">
        <v>367</v>
      </c>
      <c r="F710" s="2" t="s">
        <v>19</v>
      </c>
      <c r="G710" s="3">
        <v>590000</v>
      </c>
      <c r="H710" s="8">
        <v>0</v>
      </c>
      <c r="I710" s="3">
        <v>0</v>
      </c>
      <c r="J710" s="3">
        <v>0</v>
      </c>
    </row>
    <row r="711" spans="1:10" x14ac:dyDescent="0.25">
      <c r="A711" s="2">
        <v>711</v>
      </c>
      <c r="B711" s="18">
        <v>45644.708287037036</v>
      </c>
      <c r="C711" s="2" t="s">
        <v>351</v>
      </c>
      <c r="D711" s="2" t="s">
        <v>14</v>
      </c>
      <c r="E711" s="2" t="s">
        <v>367</v>
      </c>
      <c r="F711" s="2" t="s">
        <v>29</v>
      </c>
      <c r="G711" s="3">
        <v>590000</v>
      </c>
      <c r="H711" s="8">
        <v>0</v>
      </c>
      <c r="I711" s="3">
        <v>0</v>
      </c>
      <c r="J711" s="3">
        <v>0</v>
      </c>
    </row>
    <row r="712" spans="1:10" x14ac:dyDescent="0.25">
      <c r="A712" s="2">
        <v>712</v>
      </c>
      <c r="B712" s="18">
        <v>45644.708287037036</v>
      </c>
      <c r="C712" s="2" t="s">
        <v>351</v>
      </c>
      <c r="D712" s="2" t="s">
        <v>14</v>
      </c>
      <c r="E712" s="2" t="s">
        <v>367</v>
      </c>
      <c r="F712" s="2" t="s">
        <v>73</v>
      </c>
      <c r="G712" s="3">
        <v>1350000</v>
      </c>
      <c r="H712" s="8">
        <v>0</v>
      </c>
      <c r="I712" s="3">
        <v>0</v>
      </c>
      <c r="J712" s="3">
        <v>0</v>
      </c>
    </row>
    <row r="713" spans="1:10" x14ac:dyDescent="0.25">
      <c r="A713" s="2">
        <v>713</v>
      </c>
      <c r="B713" s="18">
        <v>45644.708287037036</v>
      </c>
      <c r="C713" s="2" t="s">
        <v>351</v>
      </c>
      <c r="D713" s="2" t="s">
        <v>14</v>
      </c>
      <c r="E713" s="2" t="s">
        <v>367</v>
      </c>
      <c r="F713" s="2" t="s">
        <v>23</v>
      </c>
      <c r="G713" s="3">
        <v>775000</v>
      </c>
      <c r="H713" s="8">
        <v>0</v>
      </c>
      <c r="I713" s="3">
        <v>0</v>
      </c>
      <c r="J713" s="3">
        <v>0</v>
      </c>
    </row>
    <row r="714" spans="1:10" x14ac:dyDescent="0.25">
      <c r="A714" s="2">
        <v>714</v>
      </c>
      <c r="B714" s="18">
        <v>45644.708287037036</v>
      </c>
      <c r="C714" s="2" t="s">
        <v>351</v>
      </c>
      <c r="D714" s="2" t="s">
        <v>249</v>
      </c>
      <c r="E714" s="2" t="s">
        <v>363</v>
      </c>
      <c r="F714" s="2" t="s">
        <v>33</v>
      </c>
      <c r="G714" s="3">
        <v>485000</v>
      </c>
      <c r="H714" s="8">
        <v>0</v>
      </c>
      <c r="I714" s="3">
        <v>0</v>
      </c>
      <c r="J714" s="3">
        <v>0</v>
      </c>
    </row>
    <row r="715" spans="1:10" x14ac:dyDescent="0.25">
      <c r="A715" s="2">
        <v>715</v>
      </c>
      <c r="B715" s="18">
        <v>45644.708287037036</v>
      </c>
      <c r="C715" s="2" t="s">
        <v>351</v>
      </c>
      <c r="D715" s="2" t="s">
        <v>249</v>
      </c>
      <c r="E715" s="2" t="s">
        <v>363</v>
      </c>
      <c r="F715" s="2" t="s">
        <v>57</v>
      </c>
      <c r="G715" s="3">
        <v>745000</v>
      </c>
      <c r="H715" s="8">
        <v>0</v>
      </c>
      <c r="I715" s="3">
        <v>0</v>
      </c>
      <c r="J715" s="3">
        <v>0</v>
      </c>
    </row>
    <row r="716" spans="1:10" x14ac:dyDescent="0.25">
      <c r="A716" s="2">
        <v>716</v>
      </c>
      <c r="B716" s="18">
        <v>45644.708287037036</v>
      </c>
      <c r="C716" s="2" t="s">
        <v>351</v>
      </c>
      <c r="D716" s="2" t="s">
        <v>249</v>
      </c>
      <c r="E716" s="2" t="s">
        <v>363</v>
      </c>
      <c r="F716" s="2" t="s">
        <v>51</v>
      </c>
      <c r="G716" s="3">
        <v>465000</v>
      </c>
      <c r="H716" s="8">
        <v>2</v>
      </c>
      <c r="I716" s="3">
        <v>0</v>
      </c>
      <c r="J716" s="3">
        <v>0</v>
      </c>
    </row>
    <row r="717" spans="1:10" x14ac:dyDescent="0.25">
      <c r="A717" s="2">
        <v>717</v>
      </c>
      <c r="B717" s="18">
        <v>45644.708287037036</v>
      </c>
      <c r="C717" s="2" t="s">
        <v>351</v>
      </c>
      <c r="D717" s="2" t="s">
        <v>249</v>
      </c>
      <c r="E717" s="2" t="s">
        <v>363</v>
      </c>
      <c r="F717" s="2" t="s">
        <v>47</v>
      </c>
      <c r="G717" s="3">
        <v>200000</v>
      </c>
      <c r="H717" s="8">
        <v>2</v>
      </c>
      <c r="I717" s="3">
        <v>0</v>
      </c>
      <c r="J717" s="3">
        <v>0</v>
      </c>
    </row>
    <row r="718" spans="1:10" x14ac:dyDescent="0.25">
      <c r="A718" s="2">
        <v>718</v>
      </c>
      <c r="B718" s="18">
        <v>45644.708287037036</v>
      </c>
      <c r="C718" s="2" t="s">
        <v>351</v>
      </c>
      <c r="D718" s="2" t="s">
        <v>249</v>
      </c>
      <c r="E718" s="2" t="s">
        <v>363</v>
      </c>
      <c r="F718" s="2" t="s">
        <v>49</v>
      </c>
      <c r="G718" s="3">
        <v>200000</v>
      </c>
      <c r="H718" s="8">
        <v>2</v>
      </c>
      <c r="I718" s="3">
        <v>0</v>
      </c>
      <c r="J718" s="3">
        <v>0</v>
      </c>
    </row>
    <row r="719" spans="1:10" x14ac:dyDescent="0.25">
      <c r="A719" s="2">
        <v>719</v>
      </c>
      <c r="B719" s="18">
        <v>45644.708287037036</v>
      </c>
      <c r="C719" s="2" t="s">
        <v>351</v>
      </c>
      <c r="D719" s="2" t="s">
        <v>249</v>
      </c>
      <c r="E719" s="2" t="s">
        <v>363</v>
      </c>
      <c r="F719" s="2" t="s">
        <v>79</v>
      </c>
      <c r="G719" s="3">
        <v>150000</v>
      </c>
      <c r="H719" s="8">
        <v>9</v>
      </c>
      <c r="I719" s="3">
        <v>0</v>
      </c>
      <c r="J719" s="3">
        <v>0</v>
      </c>
    </row>
    <row r="720" spans="1:10" x14ac:dyDescent="0.25">
      <c r="A720" s="2">
        <v>720</v>
      </c>
      <c r="B720" s="18">
        <v>45644.708287037036</v>
      </c>
      <c r="C720" s="2" t="s">
        <v>351</v>
      </c>
      <c r="D720" s="2" t="s">
        <v>249</v>
      </c>
      <c r="E720" s="2" t="s">
        <v>363</v>
      </c>
      <c r="F720" s="2" t="s">
        <v>89</v>
      </c>
      <c r="G720" s="3">
        <v>390000</v>
      </c>
      <c r="H720" s="8">
        <v>0</v>
      </c>
      <c r="I720" s="3">
        <v>0</v>
      </c>
      <c r="J720" s="3">
        <v>0</v>
      </c>
    </row>
    <row r="721" spans="1:10" x14ac:dyDescent="0.25">
      <c r="A721" s="2">
        <v>721</v>
      </c>
      <c r="B721" s="18">
        <v>45646.708287037036</v>
      </c>
      <c r="C721" s="2" t="s">
        <v>351</v>
      </c>
      <c r="D721" s="2" t="s">
        <v>303</v>
      </c>
      <c r="E721" s="2" t="s">
        <v>366</v>
      </c>
      <c r="F721" s="2" t="s">
        <v>31</v>
      </c>
      <c r="G721" s="3">
        <v>745000</v>
      </c>
      <c r="H721" s="8">
        <v>10</v>
      </c>
      <c r="I721" s="3">
        <v>4750000.055</v>
      </c>
      <c r="J721" s="3">
        <v>4750000.055</v>
      </c>
    </row>
    <row r="722" spans="1:10" x14ac:dyDescent="0.25">
      <c r="A722" s="2">
        <v>722</v>
      </c>
      <c r="B722" s="18">
        <v>45648.708287037036</v>
      </c>
      <c r="C722" s="2" t="s">
        <v>351</v>
      </c>
      <c r="D722" s="2" t="s">
        <v>307</v>
      </c>
      <c r="E722" s="2" t="s">
        <v>367</v>
      </c>
      <c r="F722" s="2" t="s">
        <v>25</v>
      </c>
      <c r="G722" s="3">
        <v>890000</v>
      </c>
      <c r="H722" s="8">
        <v>2</v>
      </c>
      <c r="I722" s="3">
        <v>1246000</v>
      </c>
      <c r="J722" s="3">
        <v>1246000</v>
      </c>
    </row>
    <row r="723" spans="1:10" x14ac:dyDescent="0.25">
      <c r="A723" s="2">
        <v>723</v>
      </c>
      <c r="B723" s="18">
        <v>45648.708287037036</v>
      </c>
      <c r="C723" s="2" t="s">
        <v>351</v>
      </c>
      <c r="D723" s="2" t="s">
        <v>338</v>
      </c>
      <c r="E723" s="2" t="s">
        <v>370</v>
      </c>
      <c r="F723" s="2" t="s">
        <v>421</v>
      </c>
      <c r="G723" s="3">
        <v>0</v>
      </c>
      <c r="H723" s="8">
        <v>0</v>
      </c>
      <c r="I723" s="3">
        <v>0</v>
      </c>
      <c r="J723" s="3">
        <v>0</v>
      </c>
    </row>
    <row r="724" spans="1:10" x14ac:dyDescent="0.25">
      <c r="A724" s="2">
        <v>724</v>
      </c>
      <c r="B724" s="18">
        <v>45648.708287037036</v>
      </c>
      <c r="C724" s="2" t="s">
        <v>351</v>
      </c>
      <c r="D724" s="2" t="s">
        <v>2</v>
      </c>
      <c r="E724" s="2" t="s">
        <v>370</v>
      </c>
      <c r="F724" s="2" t="s">
        <v>61</v>
      </c>
      <c r="G724" s="3">
        <v>890000</v>
      </c>
      <c r="H724" s="8">
        <v>4</v>
      </c>
      <c r="I724" s="3">
        <v>2492000</v>
      </c>
      <c r="J724" s="3">
        <v>2492000</v>
      </c>
    </row>
    <row r="725" spans="1:10" x14ac:dyDescent="0.25">
      <c r="A725" s="2">
        <v>725</v>
      </c>
      <c r="B725" s="18">
        <v>45648.708287037036</v>
      </c>
      <c r="C725" s="2" t="s">
        <v>351</v>
      </c>
      <c r="D725" s="2" t="s">
        <v>2</v>
      </c>
      <c r="E725" s="2" t="s">
        <v>370</v>
      </c>
      <c r="F725" s="2" t="s">
        <v>83</v>
      </c>
      <c r="G725" s="3">
        <v>790000</v>
      </c>
      <c r="H725" s="8">
        <v>5</v>
      </c>
      <c r="I725" s="3">
        <v>2765000</v>
      </c>
      <c r="J725" s="3">
        <v>2765000</v>
      </c>
    </row>
    <row r="726" spans="1:10" x14ac:dyDescent="0.25">
      <c r="A726" s="2">
        <v>726</v>
      </c>
      <c r="B726" s="18">
        <v>45651.708287037036</v>
      </c>
      <c r="C726" s="2" t="s">
        <v>351</v>
      </c>
      <c r="D726" s="2" t="s">
        <v>68</v>
      </c>
      <c r="E726" s="2" t="s">
        <v>363</v>
      </c>
      <c r="F726" s="2" t="s">
        <v>57</v>
      </c>
      <c r="G726" s="3">
        <v>745000</v>
      </c>
      <c r="H726" s="8">
        <v>23</v>
      </c>
      <c r="I726" s="3">
        <v>11137750</v>
      </c>
      <c r="J726" s="3">
        <v>11137750</v>
      </c>
    </row>
    <row r="727" spans="1:10" x14ac:dyDescent="0.25">
      <c r="A727" s="2">
        <v>727</v>
      </c>
      <c r="B727" s="18">
        <v>45651.708287037036</v>
      </c>
      <c r="C727" s="2" t="s">
        <v>351</v>
      </c>
      <c r="D727" s="2" t="s">
        <v>68</v>
      </c>
      <c r="E727" s="2" t="s">
        <v>363</v>
      </c>
      <c r="F727" s="2" t="s">
        <v>31</v>
      </c>
      <c r="G727" s="3">
        <v>745000</v>
      </c>
      <c r="H727" s="8">
        <v>47</v>
      </c>
      <c r="I727" s="3">
        <v>22759750</v>
      </c>
      <c r="J727" s="3">
        <v>22759750</v>
      </c>
    </row>
    <row r="728" spans="1:10" x14ac:dyDescent="0.25">
      <c r="A728" s="2">
        <v>728</v>
      </c>
      <c r="B728" s="18">
        <v>45651.708287037036</v>
      </c>
      <c r="C728" s="2" t="s">
        <v>351</v>
      </c>
      <c r="D728" s="2" t="s">
        <v>68</v>
      </c>
      <c r="E728" s="2" t="s">
        <v>363</v>
      </c>
      <c r="F728" s="2" t="s">
        <v>33</v>
      </c>
      <c r="G728" s="3">
        <v>485000</v>
      </c>
      <c r="H728" s="8">
        <v>23</v>
      </c>
      <c r="I728" s="3">
        <v>0</v>
      </c>
      <c r="J728" s="3">
        <v>0</v>
      </c>
    </row>
    <row r="729" spans="1:10" x14ac:dyDescent="0.25">
      <c r="A729" s="2">
        <v>729</v>
      </c>
      <c r="B729" s="18">
        <v>45651.708287037036</v>
      </c>
      <c r="C729" s="2" t="s">
        <v>351</v>
      </c>
      <c r="D729" s="2" t="s">
        <v>68</v>
      </c>
      <c r="E729" s="2" t="s">
        <v>363</v>
      </c>
      <c r="F729" s="2" t="s">
        <v>59</v>
      </c>
      <c r="G729" s="3">
        <v>475000</v>
      </c>
      <c r="H729" s="8">
        <v>47</v>
      </c>
      <c r="I729" s="3">
        <v>0</v>
      </c>
      <c r="J729" s="3">
        <v>0</v>
      </c>
    </row>
    <row r="730" spans="1:10" x14ac:dyDescent="0.25">
      <c r="A730" s="2">
        <v>730</v>
      </c>
      <c r="B730" s="18">
        <v>45652.708287037036</v>
      </c>
      <c r="C730" s="2" t="s">
        <v>351</v>
      </c>
      <c r="D730" s="2" t="s">
        <v>40</v>
      </c>
      <c r="E730" s="2" t="s">
        <v>369</v>
      </c>
      <c r="F730" s="2" t="s">
        <v>29</v>
      </c>
      <c r="G730" s="3">
        <v>590000</v>
      </c>
      <c r="H730" s="8">
        <v>10</v>
      </c>
      <c r="I730" s="3">
        <v>4248000</v>
      </c>
      <c r="J730" s="3">
        <v>4248000</v>
      </c>
    </row>
    <row r="731" spans="1:10" x14ac:dyDescent="0.25">
      <c r="A731" s="2">
        <v>731</v>
      </c>
      <c r="B731" s="18">
        <v>45652.708287037036</v>
      </c>
      <c r="C731" s="2" t="s">
        <v>351</v>
      </c>
      <c r="D731" s="2" t="s">
        <v>40</v>
      </c>
      <c r="E731" s="2" t="s">
        <v>369</v>
      </c>
      <c r="F731" s="2" t="s">
        <v>51</v>
      </c>
      <c r="G731" s="3">
        <v>465000</v>
      </c>
      <c r="H731" s="8">
        <v>10</v>
      </c>
      <c r="I731" s="3">
        <v>0</v>
      </c>
      <c r="J731" s="3">
        <v>0</v>
      </c>
    </row>
    <row r="732" spans="1:10" x14ac:dyDescent="0.25">
      <c r="A732" s="2">
        <v>732</v>
      </c>
      <c r="B732" s="18">
        <v>45652.708287037036</v>
      </c>
      <c r="C732" s="2" t="s">
        <v>351</v>
      </c>
      <c r="D732" s="2" t="s">
        <v>297</v>
      </c>
      <c r="E732" s="2" t="s">
        <v>364</v>
      </c>
      <c r="F732" s="2" t="s">
        <v>33</v>
      </c>
      <c r="G732" s="3">
        <v>485000</v>
      </c>
      <c r="H732" s="8">
        <v>50</v>
      </c>
      <c r="I732" s="3">
        <v>10185000</v>
      </c>
      <c r="J732" s="3">
        <v>10185000</v>
      </c>
    </row>
    <row r="733" spans="1:10" x14ac:dyDescent="0.25">
      <c r="A733" s="2">
        <v>733</v>
      </c>
      <c r="B733" s="18">
        <v>45652.708287037036</v>
      </c>
      <c r="C733" s="2" t="s">
        <v>351</v>
      </c>
      <c r="D733" s="2" t="s">
        <v>106</v>
      </c>
      <c r="E733" s="2" t="s">
        <v>367</v>
      </c>
      <c r="F733" s="2" t="s">
        <v>19</v>
      </c>
      <c r="G733" s="3">
        <v>590000</v>
      </c>
      <c r="H733" s="8">
        <v>1</v>
      </c>
      <c r="I733" s="3">
        <v>295000</v>
      </c>
      <c r="J733" s="3">
        <v>295000</v>
      </c>
    </row>
    <row r="734" spans="1:10" x14ac:dyDescent="0.25">
      <c r="A734" s="2">
        <v>734</v>
      </c>
      <c r="B734" s="18">
        <v>45652.708287037036</v>
      </c>
      <c r="C734" s="2" t="s">
        <v>351</v>
      </c>
      <c r="D734" s="2" t="s">
        <v>106</v>
      </c>
      <c r="E734" s="2" t="s">
        <v>367</v>
      </c>
      <c r="F734" s="2" t="s">
        <v>17</v>
      </c>
      <c r="G734" s="3">
        <v>1250000</v>
      </c>
      <c r="H734" s="8">
        <v>0</v>
      </c>
      <c r="I734" s="3">
        <v>0</v>
      </c>
      <c r="J734" s="3">
        <v>0</v>
      </c>
    </row>
    <row r="735" spans="1:10" x14ac:dyDescent="0.25">
      <c r="A735" s="2">
        <v>735</v>
      </c>
      <c r="B735" s="18">
        <v>45652.708287037036</v>
      </c>
      <c r="C735" s="2" t="s">
        <v>351</v>
      </c>
      <c r="D735" s="2" t="s">
        <v>106</v>
      </c>
      <c r="E735" s="2" t="s">
        <v>367</v>
      </c>
      <c r="F735" s="2" t="s">
        <v>85</v>
      </c>
      <c r="G735" s="3">
        <v>480000</v>
      </c>
      <c r="H735" s="8">
        <v>2</v>
      </c>
      <c r="I735" s="3">
        <v>480000</v>
      </c>
      <c r="J735" s="3">
        <v>480000</v>
      </c>
    </row>
    <row r="736" spans="1:10" x14ac:dyDescent="0.25">
      <c r="A736" s="2">
        <v>736</v>
      </c>
      <c r="B736" s="18">
        <v>45652.708287037036</v>
      </c>
      <c r="C736" s="2" t="s">
        <v>351</v>
      </c>
      <c r="D736" s="2" t="s">
        <v>303</v>
      </c>
      <c r="E736" s="2" t="s">
        <v>366</v>
      </c>
      <c r="F736" s="2" t="s">
        <v>31</v>
      </c>
      <c r="G736" s="3">
        <v>745000</v>
      </c>
      <c r="H736" s="8">
        <v>20</v>
      </c>
      <c r="I736" s="3">
        <v>9500000.11</v>
      </c>
      <c r="J736" s="3">
        <v>9500000.11</v>
      </c>
    </row>
    <row r="737" spans="1:10" x14ac:dyDescent="0.25">
      <c r="A737" s="2">
        <v>737</v>
      </c>
      <c r="B737" s="18">
        <v>45652.708287037036</v>
      </c>
      <c r="C737" s="2" t="s">
        <v>351</v>
      </c>
      <c r="D737" s="2" t="s">
        <v>268</v>
      </c>
      <c r="E737" s="2" t="s">
        <v>371</v>
      </c>
      <c r="F737" s="2" t="s">
        <v>27</v>
      </c>
      <c r="G737" s="3">
        <v>935000</v>
      </c>
      <c r="H737" s="8">
        <v>50</v>
      </c>
      <c r="I737" s="3">
        <v>23375000</v>
      </c>
      <c r="J737" s="3">
        <v>23375000</v>
      </c>
    </row>
    <row r="738" spans="1:10" x14ac:dyDescent="0.25">
      <c r="A738" s="2">
        <v>738</v>
      </c>
      <c r="B738" s="18">
        <v>45652.708287037036</v>
      </c>
      <c r="C738" s="2" t="s">
        <v>351</v>
      </c>
      <c r="D738" s="2" t="s">
        <v>38</v>
      </c>
      <c r="E738" s="2" t="s">
        <v>367</v>
      </c>
      <c r="F738" s="2" t="s">
        <v>51</v>
      </c>
      <c r="G738" s="3">
        <v>465000</v>
      </c>
      <c r="H738" s="8">
        <v>48</v>
      </c>
      <c r="I738" s="3">
        <v>6720000.001848</v>
      </c>
      <c r="J738" s="3">
        <v>6720000.001848</v>
      </c>
    </row>
    <row r="739" spans="1:10" x14ac:dyDescent="0.25">
      <c r="A739" s="2">
        <v>739</v>
      </c>
      <c r="B739" s="18">
        <v>45652.708287037036</v>
      </c>
      <c r="C739" s="2" t="s">
        <v>351</v>
      </c>
      <c r="D739" s="2" t="s">
        <v>337</v>
      </c>
      <c r="E739" s="2" t="s">
        <v>363</v>
      </c>
      <c r="F739" s="2" t="s">
        <v>33</v>
      </c>
      <c r="G739" s="3">
        <v>485000</v>
      </c>
      <c r="H739" s="8">
        <v>4</v>
      </c>
      <c r="I739" s="3">
        <v>0</v>
      </c>
      <c r="J739" s="3">
        <v>0</v>
      </c>
    </row>
    <row r="740" spans="1:10" x14ac:dyDescent="0.25">
      <c r="A740" s="2">
        <v>740</v>
      </c>
      <c r="B740" s="18">
        <v>45652.708287037036</v>
      </c>
      <c r="C740" s="2" t="s">
        <v>351</v>
      </c>
      <c r="D740" s="2" t="s">
        <v>337</v>
      </c>
      <c r="E740" s="2" t="s">
        <v>363</v>
      </c>
      <c r="F740" s="2" t="s">
        <v>59</v>
      </c>
      <c r="G740" s="3">
        <v>475000</v>
      </c>
      <c r="H740" s="8">
        <v>4</v>
      </c>
      <c r="I740" s="3">
        <v>0</v>
      </c>
      <c r="J740" s="3">
        <v>0</v>
      </c>
    </row>
    <row r="741" spans="1:10" x14ac:dyDescent="0.25">
      <c r="A741" s="2">
        <v>741</v>
      </c>
      <c r="B741" s="18">
        <v>45652.708287037036</v>
      </c>
      <c r="C741" s="2" t="s">
        <v>351</v>
      </c>
      <c r="D741" s="2" t="s">
        <v>337</v>
      </c>
      <c r="E741" s="2" t="s">
        <v>363</v>
      </c>
      <c r="F741" s="2" t="s">
        <v>51</v>
      </c>
      <c r="G741" s="3">
        <v>465000</v>
      </c>
      <c r="H741" s="8">
        <v>4</v>
      </c>
      <c r="I741" s="3">
        <v>0</v>
      </c>
      <c r="J741" s="3">
        <v>0</v>
      </c>
    </row>
    <row r="742" spans="1:10" x14ac:dyDescent="0.25">
      <c r="A742" s="2">
        <v>742</v>
      </c>
      <c r="B742" s="18">
        <v>45653.708287037036</v>
      </c>
      <c r="C742" s="2" t="s">
        <v>351</v>
      </c>
      <c r="D742" s="2" t="s">
        <v>267</v>
      </c>
      <c r="E742" s="2" t="s">
        <v>371</v>
      </c>
      <c r="F742" s="2" t="s">
        <v>85</v>
      </c>
      <c r="G742" s="3">
        <v>480000</v>
      </c>
      <c r="H742" s="8">
        <v>60</v>
      </c>
      <c r="I742" s="3">
        <v>12096000</v>
      </c>
      <c r="J742" s="3">
        <v>12096000</v>
      </c>
    </row>
    <row r="743" spans="1:10" x14ac:dyDescent="0.25">
      <c r="A743" s="2">
        <v>743</v>
      </c>
      <c r="B743" s="18">
        <v>45653.708287037036</v>
      </c>
      <c r="C743" s="2" t="s">
        <v>351</v>
      </c>
      <c r="D743" s="2" t="s">
        <v>267</v>
      </c>
      <c r="E743" s="2" t="s">
        <v>371</v>
      </c>
      <c r="F743" s="2" t="s">
        <v>89</v>
      </c>
      <c r="G743" s="3">
        <v>390000</v>
      </c>
      <c r="H743" s="8">
        <v>25</v>
      </c>
      <c r="I743" s="3">
        <v>0</v>
      </c>
      <c r="J743" s="3">
        <v>0</v>
      </c>
    </row>
    <row r="744" spans="1:10" x14ac:dyDescent="0.25">
      <c r="A744" s="2">
        <v>744</v>
      </c>
      <c r="B744" s="18">
        <v>45653.708287037036</v>
      </c>
      <c r="C744" s="2" t="s">
        <v>351</v>
      </c>
      <c r="D744" s="2" t="s">
        <v>267</v>
      </c>
      <c r="E744" s="2" t="s">
        <v>371</v>
      </c>
      <c r="F744" s="2" t="s">
        <v>25</v>
      </c>
      <c r="G744" s="3">
        <v>890000</v>
      </c>
      <c r="H744" s="8">
        <v>25</v>
      </c>
      <c r="I744" s="3">
        <v>11125000</v>
      </c>
      <c r="J744" s="3">
        <v>11125000</v>
      </c>
    </row>
    <row r="745" spans="1:10" x14ac:dyDescent="0.25">
      <c r="A745" s="2">
        <v>745</v>
      </c>
      <c r="B745" s="18">
        <v>45655.708287037036</v>
      </c>
      <c r="C745" s="2" t="s">
        <v>351</v>
      </c>
      <c r="D745" s="2" t="s">
        <v>284</v>
      </c>
      <c r="E745" s="2" t="s">
        <v>369</v>
      </c>
      <c r="F745" s="2" t="s">
        <v>51</v>
      </c>
      <c r="G745" s="3">
        <v>465000</v>
      </c>
      <c r="H745" s="8">
        <v>20</v>
      </c>
      <c r="I745" s="3">
        <v>0</v>
      </c>
      <c r="J745" s="3">
        <v>0</v>
      </c>
    </row>
    <row r="746" spans="1:10" x14ac:dyDescent="0.25">
      <c r="A746" s="2">
        <v>746</v>
      </c>
      <c r="B746" s="18">
        <v>45655.708287037036</v>
      </c>
      <c r="C746" s="2" t="s">
        <v>351</v>
      </c>
      <c r="D746" s="2" t="s">
        <v>109</v>
      </c>
      <c r="E746" s="2" t="s">
        <v>367</v>
      </c>
      <c r="F746" s="2" t="s">
        <v>33</v>
      </c>
      <c r="G746" s="3">
        <v>485000</v>
      </c>
      <c r="H746" s="8">
        <v>26</v>
      </c>
      <c r="I746" s="3">
        <v>8196500</v>
      </c>
      <c r="J746" s="3">
        <v>8196500</v>
      </c>
    </row>
    <row r="747" spans="1:10" x14ac:dyDescent="0.25">
      <c r="A747" s="2">
        <v>747</v>
      </c>
      <c r="B747" s="18">
        <v>45655.708287037036</v>
      </c>
      <c r="C747" s="2" t="s">
        <v>351</v>
      </c>
      <c r="D747" s="2" t="s">
        <v>109</v>
      </c>
      <c r="E747" s="2" t="s">
        <v>367</v>
      </c>
      <c r="F747" s="2" t="s">
        <v>59</v>
      </c>
      <c r="G747" s="3">
        <v>475000</v>
      </c>
      <c r="H747" s="8">
        <v>22</v>
      </c>
      <c r="I747" s="3">
        <v>6792500</v>
      </c>
      <c r="J747" s="3">
        <v>6792500</v>
      </c>
    </row>
    <row r="748" spans="1:10" x14ac:dyDescent="0.25">
      <c r="A748" s="2">
        <v>748</v>
      </c>
      <c r="B748" s="18">
        <v>45655.708287037036</v>
      </c>
      <c r="C748" s="2" t="s">
        <v>351</v>
      </c>
      <c r="D748" s="2" t="s">
        <v>109</v>
      </c>
      <c r="E748" s="2" t="s">
        <v>367</v>
      </c>
      <c r="F748" s="2" t="s">
        <v>23</v>
      </c>
      <c r="G748" s="3">
        <v>775000</v>
      </c>
      <c r="H748" s="8">
        <v>33</v>
      </c>
      <c r="I748" s="3">
        <v>16623750</v>
      </c>
      <c r="J748" s="3">
        <v>16623750</v>
      </c>
    </row>
    <row r="749" spans="1:10" x14ac:dyDescent="0.25">
      <c r="A749" s="2">
        <v>749</v>
      </c>
      <c r="B749" s="18">
        <v>45655.708287037036</v>
      </c>
      <c r="C749" s="2" t="s">
        <v>351</v>
      </c>
      <c r="D749" s="2" t="s">
        <v>109</v>
      </c>
      <c r="E749" s="2" t="s">
        <v>367</v>
      </c>
      <c r="F749" s="2" t="s">
        <v>89</v>
      </c>
      <c r="G749" s="3">
        <v>390000</v>
      </c>
      <c r="H749" s="8">
        <v>32</v>
      </c>
      <c r="I749" s="3">
        <v>0</v>
      </c>
      <c r="J749" s="3">
        <v>0</v>
      </c>
    </row>
    <row r="750" spans="1:10" x14ac:dyDescent="0.25">
      <c r="A750" s="2">
        <v>750</v>
      </c>
      <c r="B750" s="18">
        <v>45655.708287037036</v>
      </c>
      <c r="C750" s="2" t="s">
        <v>351</v>
      </c>
      <c r="D750" s="2" t="s">
        <v>109</v>
      </c>
      <c r="E750" s="2" t="s">
        <v>367</v>
      </c>
      <c r="F750" s="2" t="s">
        <v>47</v>
      </c>
      <c r="G750" s="3">
        <v>200000</v>
      </c>
      <c r="H750" s="8">
        <v>58</v>
      </c>
      <c r="I750" s="3">
        <v>0</v>
      </c>
      <c r="J750" s="3">
        <v>0</v>
      </c>
    </row>
    <row r="751" spans="1:10" x14ac:dyDescent="0.25">
      <c r="A751" s="2">
        <v>751</v>
      </c>
      <c r="B751" s="18">
        <v>45656.708287037036</v>
      </c>
      <c r="C751" s="2" t="s">
        <v>351</v>
      </c>
      <c r="D751" s="2" t="s">
        <v>267</v>
      </c>
      <c r="E751" s="2" t="s">
        <v>371</v>
      </c>
      <c r="F751" s="2" t="s">
        <v>59</v>
      </c>
      <c r="G751" s="3">
        <v>475000</v>
      </c>
      <c r="H751" s="8">
        <v>122</v>
      </c>
      <c r="I751" s="3">
        <v>26077499.999999996</v>
      </c>
      <c r="J751" s="3">
        <v>26077499.999999996</v>
      </c>
    </row>
    <row r="752" spans="1:10" x14ac:dyDescent="0.25">
      <c r="A752" s="2">
        <v>752</v>
      </c>
      <c r="B752" s="18">
        <v>45656.708287037036</v>
      </c>
      <c r="C752" s="2" t="s">
        <v>351</v>
      </c>
      <c r="D752" s="2" t="s">
        <v>267</v>
      </c>
      <c r="E752" s="2" t="s">
        <v>371</v>
      </c>
      <c r="F752" s="2" t="s">
        <v>57</v>
      </c>
      <c r="G752" s="3">
        <v>745000</v>
      </c>
      <c r="H752" s="8">
        <v>122</v>
      </c>
      <c r="I752" s="3">
        <v>45445000</v>
      </c>
      <c r="J752" s="3">
        <v>45445000</v>
      </c>
    </row>
    <row r="753" spans="1:10" x14ac:dyDescent="0.25">
      <c r="A753" s="2">
        <v>753</v>
      </c>
      <c r="B753" s="18">
        <v>45656.708287037036</v>
      </c>
      <c r="C753" s="2" t="s">
        <v>351</v>
      </c>
      <c r="D753" s="2" t="s">
        <v>267</v>
      </c>
      <c r="E753" s="2" t="s">
        <v>371</v>
      </c>
      <c r="F753" s="2" t="s">
        <v>19</v>
      </c>
      <c r="G753" s="3">
        <v>590000</v>
      </c>
      <c r="H753" s="8">
        <v>29</v>
      </c>
      <c r="I753" s="3">
        <v>8555000</v>
      </c>
      <c r="J753" s="3">
        <v>8555000</v>
      </c>
    </row>
    <row r="754" spans="1:10" x14ac:dyDescent="0.25">
      <c r="A754" s="2">
        <v>754</v>
      </c>
      <c r="B754" s="18">
        <v>45656.708287037036</v>
      </c>
      <c r="C754" s="2" t="s">
        <v>351</v>
      </c>
      <c r="D754" s="2" t="s">
        <v>267</v>
      </c>
      <c r="E754" s="2" t="s">
        <v>371</v>
      </c>
      <c r="F754" s="2" t="s">
        <v>27</v>
      </c>
      <c r="G754" s="3">
        <v>935000</v>
      </c>
      <c r="H754" s="8">
        <v>51</v>
      </c>
      <c r="I754" s="3">
        <v>23842500</v>
      </c>
      <c r="J754" s="3">
        <v>23842500</v>
      </c>
    </row>
    <row r="755" spans="1:10" x14ac:dyDescent="0.25">
      <c r="A755" s="2">
        <v>755</v>
      </c>
      <c r="B755" s="18">
        <v>45656.708287037036</v>
      </c>
      <c r="C755" s="2" t="s">
        <v>351</v>
      </c>
      <c r="D755" s="2" t="s">
        <v>297</v>
      </c>
      <c r="E755" s="2" t="s">
        <v>364</v>
      </c>
      <c r="F755" s="2" t="s">
        <v>33</v>
      </c>
      <c r="G755" s="3">
        <v>485000</v>
      </c>
      <c r="H755" s="8">
        <v>100</v>
      </c>
      <c r="I755" s="3">
        <v>20370000</v>
      </c>
      <c r="J755" s="3">
        <v>20370000</v>
      </c>
    </row>
    <row r="756" spans="1:10" x14ac:dyDescent="0.25">
      <c r="A756" s="2">
        <v>756</v>
      </c>
      <c r="B756" s="18">
        <v>45656.708287037036</v>
      </c>
      <c r="C756" s="2" t="s">
        <v>351</v>
      </c>
      <c r="D756" s="2" t="s">
        <v>297</v>
      </c>
      <c r="E756" s="2" t="s">
        <v>364</v>
      </c>
      <c r="F756" s="2" t="s">
        <v>59</v>
      </c>
      <c r="G756" s="3">
        <v>475000</v>
      </c>
      <c r="H756" s="8">
        <v>60</v>
      </c>
      <c r="I756" s="3">
        <v>11400000</v>
      </c>
      <c r="J756" s="3">
        <v>11400000</v>
      </c>
    </row>
    <row r="757" spans="1:10" x14ac:dyDescent="0.25">
      <c r="A757" s="2">
        <v>757</v>
      </c>
      <c r="B757" s="18">
        <v>45656.708287037036</v>
      </c>
      <c r="C757" s="2" t="s">
        <v>351</v>
      </c>
      <c r="D757" s="2" t="s">
        <v>297</v>
      </c>
      <c r="E757" s="2" t="s">
        <v>364</v>
      </c>
      <c r="F757" s="2" t="s">
        <v>29</v>
      </c>
      <c r="G757" s="3">
        <v>590000</v>
      </c>
      <c r="H757" s="8">
        <v>50</v>
      </c>
      <c r="I757" s="3">
        <v>14750000</v>
      </c>
      <c r="J757" s="3">
        <v>14750000</v>
      </c>
    </row>
    <row r="758" spans="1:10" x14ac:dyDescent="0.25">
      <c r="A758" s="2">
        <v>758</v>
      </c>
      <c r="B758" s="18">
        <v>45656.708287037036</v>
      </c>
      <c r="C758" s="2" t="s">
        <v>351</v>
      </c>
      <c r="D758" s="2" t="s">
        <v>268</v>
      </c>
      <c r="E758" s="2" t="s">
        <v>371</v>
      </c>
      <c r="F758" s="2" t="s">
        <v>59</v>
      </c>
      <c r="G758" s="3">
        <v>475000</v>
      </c>
      <c r="H758" s="8">
        <v>22</v>
      </c>
      <c r="I758" s="3">
        <v>4702499.999999999</v>
      </c>
      <c r="J758" s="3">
        <v>4702499.999999999</v>
      </c>
    </row>
    <row r="759" spans="1:10" x14ac:dyDescent="0.25">
      <c r="A759" s="2">
        <v>759</v>
      </c>
      <c r="B759" s="18">
        <v>45656.708287037036</v>
      </c>
      <c r="C759" s="2" t="s">
        <v>351</v>
      </c>
      <c r="D759" s="2" t="s">
        <v>268</v>
      </c>
      <c r="E759" s="2" t="s">
        <v>371</v>
      </c>
      <c r="F759" s="2" t="s">
        <v>57</v>
      </c>
      <c r="G759" s="3">
        <v>745000</v>
      </c>
      <c r="H759" s="8">
        <v>22</v>
      </c>
      <c r="I759" s="3">
        <v>8195000</v>
      </c>
      <c r="J759" s="3">
        <v>8195000</v>
      </c>
    </row>
    <row r="760" spans="1:10" x14ac:dyDescent="0.25">
      <c r="A760" s="2">
        <v>760</v>
      </c>
      <c r="B760" s="18">
        <v>45656.708287037036</v>
      </c>
      <c r="C760" s="2" t="s">
        <v>351</v>
      </c>
      <c r="D760" s="2" t="s">
        <v>268</v>
      </c>
      <c r="E760" s="2" t="s">
        <v>371</v>
      </c>
      <c r="F760" s="2" t="s">
        <v>19</v>
      </c>
      <c r="G760" s="3">
        <v>590000</v>
      </c>
      <c r="H760" s="8">
        <v>20</v>
      </c>
      <c r="I760" s="3">
        <v>5900000</v>
      </c>
      <c r="J760" s="3">
        <v>5900000</v>
      </c>
    </row>
    <row r="761" spans="1:10" x14ac:dyDescent="0.25">
      <c r="A761" s="2">
        <v>761</v>
      </c>
      <c r="B761" s="18">
        <v>45656.708287037036</v>
      </c>
      <c r="C761" s="2" t="s">
        <v>351</v>
      </c>
      <c r="D761" s="2" t="s">
        <v>268</v>
      </c>
      <c r="E761" s="2" t="s">
        <v>371</v>
      </c>
      <c r="F761" s="2" t="s">
        <v>27</v>
      </c>
      <c r="G761" s="3">
        <v>935000</v>
      </c>
      <c r="H761" s="8">
        <v>29</v>
      </c>
      <c r="I761" s="3">
        <v>13557500</v>
      </c>
      <c r="J761" s="3">
        <v>13557500</v>
      </c>
    </row>
    <row r="762" spans="1:10" x14ac:dyDescent="0.25">
      <c r="A762" s="2">
        <v>762</v>
      </c>
      <c r="B762" s="18">
        <v>45656.708287037036</v>
      </c>
      <c r="C762" s="2" t="s">
        <v>351</v>
      </c>
      <c r="D762" s="2" t="s">
        <v>253</v>
      </c>
      <c r="E762" s="2" t="s">
        <v>370</v>
      </c>
      <c r="F762" s="2" t="s">
        <v>61</v>
      </c>
      <c r="G762" s="3">
        <v>890000</v>
      </c>
      <c r="H762" s="8">
        <v>2</v>
      </c>
      <c r="I762" s="3">
        <v>1281600</v>
      </c>
      <c r="J762" s="3">
        <v>1281600</v>
      </c>
    </row>
    <row r="763" spans="1:10" x14ac:dyDescent="0.25">
      <c r="A763" s="2">
        <v>763</v>
      </c>
      <c r="B763" s="18">
        <v>45656.708287037036</v>
      </c>
      <c r="C763" s="2" t="s">
        <v>351</v>
      </c>
      <c r="D763" s="2" t="s">
        <v>253</v>
      </c>
      <c r="E763" s="2" t="s">
        <v>370</v>
      </c>
      <c r="F763" s="2" t="s">
        <v>57</v>
      </c>
      <c r="G763" s="3">
        <v>745000</v>
      </c>
      <c r="H763" s="8">
        <v>1</v>
      </c>
      <c r="I763" s="3">
        <v>536400</v>
      </c>
      <c r="J763" s="3">
        <v>536400</v>
      </c>
    </row>
    <row r="764" spans="1:10" x14ac:dyDescent="0.25">
      <c r="A764" s="2">
        <v>764</v>
      </c>
      <c r="B764" s="18">
        <v>45656.708287037036</v>
      </c>
      <c r="C764" s="2" t="s">
        <v>351</v>
      </c>
      <c r="D764" s="2" t="s">
        <v>253</v>
      </c>
      <c r="E764" s="2" t="s">
        <v>370</v>
      </c>
      <c r="F764" s="2" t="s">
        <v>31</v>
      </c>
      <c r="G764" s="3">
        <v>745000</v>
      </c>
      <c r="H764" s="8">
        <v>2</v>
      </c>
      <c r="I764" s="3">
        <v>1072800</v>
      </c>
      <c r="J764" s="3">
        <v>1072800</v>
      </c>
    </row>
    <row r="765" spans="1:10" x14ac:dyDescent="0.25">
      <c r="A765" s="2">
        <v>765</v>
      </c>
      <c r="B765" s="18">
        <v>45656.708287037036</v>
      </c>
      <c r="C765" s="2" t="s">
        <v>351</v>
      </c>
      <c r="D765" s="2" t="s">
        <v>253</v>
      </c>
      <c r="E765" s="2" t="s">
        <v>370</v>
      </c>
      <c r="F765" s="2" t="s">
        <v>19</v>
      </c>
      <c r="G765" s="3">
        <v>590000</v>
      </c>
      <c r="H765" s="8">
        <v>5</v>
      </c>
      <c r="I765" s="3">
        <v>2124000</v>
      </c>
      <c r="J765" s="3">
        <v>2124000</v>
      </c>
    </row>
    <row r="766" spans="1:10" x14ac:dyDescent="0.25">
      <c r="A766" s="2">
        <v>766</v>
      </c>
      <c r="B766" s="18">
        <v>45656.708287037036</v>
      </c>
      <c r="C766" s="2" t="s">
        <v>351</v>
      </c>
      <c r="D766" s="2" t="s">
        <v>253</v>
      </c>
      <c r="E766" s="2" t="s">
        <v>370</v>
      </c>
      <c r="F766" s="2" t="s">
        <v>35</v>
      </c>
      <c r="G766" s="3">
        <v>525000</v>
      </c>
      <c r="H766" s="8">
        <v>1</v>
      </c>
      <c r="I766" s="3">
        <v>378000</v>
      </c>
      <c r="J766" s="3">
        <v>378000</v>
      </c>
    </row>
    <row r="767" spans="1:10" x14ac:dyDescent="0.25">
      <c r="A767" s="2">
        <v>767</v>
      </c>
      <c r="B767" s="18">
        <v>45656.708287037036</v>
      </c>
      <c r="C767" s="2" t="s">
        <v>351</v>
      </c>
      <c r="D767" s="2" t="s">
        <v>297</v>
      </c>
      <c r="E767" s="2" t="s">
        <v>364</v>
      </c>
      <c r="F767" s="2" t="s">
        <v>19</v>
      </c>
      <c r="G767" s="3">
        <v>590000</v>
      </c>
      <c r="H767" s="8">
        <v>-50</v>
      </c>
      <c r="I767" s="3">
        <v>-13275000</v>
      </c>
      <c r="J767" s="3">
        <v>-13275000</v>
      </c>
    </row>
    <row r="768" spans="1:10" x14ac:dyDescent="0.25">
      <c r="A768" s="2">
        <v>768</v>
      </c>
      <c r="B768" s="18">
        <v>45656.708287037036</v>
      </c>
      <c r="C768" s="2" t="s">
        <v>351</v>
      </c>
      <c r="D768" s="2" t="s">
        <v>297</v>
      </c>
      <c r="E768" s="2" t="s">
        <v>364</v>
      </c>
      <c r="F768" s="2" t="s">
        <v>19</v>
      </c>
      <c r="G768" s="3">
        <v>590000</v>
      </c>
      <c r="H768" s="8">
        <v>50</v>
      </c>
      <c r="I768" s="3">
        <v>7375000</v>
      </c>
      <c r="J768" s="3">
        <v>7375000</v>
      </c>
    </row>
    <row r="769" spans="1:10" x14ac:dyDescent="0.25">
      <c r="A769" s="2">
        <v>769</v>
      </c>
      <c r="B769" s="18">
        <v>45656.708287037036</v>
      </c>
      <c r="C769" s="2" t="s">
        <v>351</v>
      </c>
      <c r="D769" s="2" t="s">
        <v>86</v>
      </c>
      <c r="E769" s="2" t="s">
        <v>369</v>
      </c>
      <c r="F769" s="2" t="s">
        <v>51</v>
      </c>
      <c r="G769" s="3">
        <v>465000</v>
      </c>
      <c r="H769" s="8">
        <v>-8</v>
      </c>
      <c r="I769" s="3">
        <v>-1488000</v>
      </c>
      <c r="J769" s="3">
        <v>-1488000</v>
      </c>
    </row>
    <row r="770" spans="1:10" x14ac:dyDescent="0.25">
      <c r="A770" s="2">
        <v>770</v>
      </c>
      <c r="B770" s="18">
        <v>45596.708287037036</v>
      </c>
      <c r="C770" s="2" t="s">
        <v>349</v>
      </c>
      <c r="D770" s="2" t="s">
        <v>268</v>
      </c>
      <c r="E770" s="2" t="s">
        <v>371</v>
      </c>
      <c r="F770" s="2" t="s">
        <v>27</v>
      </c>
      <c r="G770" s="3">
        <v>935000</v>
      </c>
      <c r="H770" s="8">
        <v>197</v>
      </c>
      <c r="I770" s="3">
        <v>92097500</v>
      </c>
      <c r="J770" s="3">
        <v>92097500</v>
      </c>
    </row>
    <row r="771" spans="1:10" x14ac:dyDescent="0.25">
      <c r="A771" s="2">
        <v>771</v>
      </c>
      <c r="B771" s="18">
        <v>45596.708287037036</v>
      </c>
      <c r="C771" s="2" t="s">
        <v>349</v>
      </c>
      <c r="D771" s="2" t="s">
        <v>267</v>
      </c>
      <c r="E771" s="2" t="s">
        <v>371</v>
      </c>
      <c r="F771" s="2" t="s">
        <v>27</v>
      </c>
      <c r="G771" s="3">
        <v>935000</v>
      </c>
      <c r="H771" s="8">
        <v>430</v>
      </c>
      <c r="I771" s="3">
        <v>201025000</v>
      </c>
      <c r="J771" s="3">
        <v>201025000</v>
      </c>
    </row>
    <row r="772" spans="1:10" x14ac:dyDescent="0.25">
      <c r="A772" s="2">
        <v>772</v>
      </c>
      <c r="B772" s="18">
        <v>45596.708287037036</v>
      </c>
      <c r="C772" s="2" t="s">
        <v>349</v>
      </c>
      <c r="D772" s="2" t="s">
        <v>107</v>
      </c>
      <c r="E772" s="2" t="s">
        <v>367</v>
      </c>
      <c r="F772" s="2" t="s">
        <v>69</v>
      </c>
      <c r="G772" s="3">
        <v>1450000</v>
      </c>
      <c r="H772" s="8">
        <v>0</v>
      </c>
      <c r="I772" s="3">
        <v>0</v>
      </c>
      <c r="J772" s="3">
        <v>0</v>
      </c>
    </row>
    <row r="773" spans="1:10" x14ac:dyDescent="0.25">
      <c r="A773" s="2">
        <v>773</v>
      </c>
      <c r="B773" s="18">
        <v>45596.708287037036</v>
      </c>
      <c r="C773" s="2" t="s">
        <v>349</v>
      </c>
      <c r="D773" s="2" t="s">
        <v>107</v>
      </c>
      <c r="E773" s="2" t="s">
        <v>367</v>
      </c>
      <c r="F773" s="2" t="s">
        <v>67</v>
      </c>
      <c r="G773" s="3">
        <v>945000</v>
      </c>
      <c r="H773" s="8">
        <v>0</v>
      </c>
      <c r="I773" s="3">
        <v>0</v>
      </c>
      <c r="J773" s="3">
        <v>0</v>
      </c>
    </row>
    <row r="774" spans="1:10" x14ac:dyDescent="0.25">
      <c r="A774" s="2">
        <v>774</v>
      </c>
      <c r="B774" s="18">
        <v>45596.708287037036</v>
      </c>
      <c r="C774" s="2" t="s">
        <v>349</v>
      </c>
      <c r="D774" s="2" t="s">
        <v>107</v>
      </c>
      <c r="E774" s="2" t="s">
        <v>367</v>
      </c>
      <c r="F774" s="2" t="s">
        <v>65</v>
      </c>
      <c r="G774" s="3">
        <v>750000</v>
      </c>
      <c r="H774" s="8">
        <v>0</v>
      </c>
      <c r="I774" s="3">
        <v>0</v>
      </c>
      <c r="J774" s="3">
        <v>0</v>
      </c>
    </row>
    <row r="775" spans="1:10" x14ac:dyDescent="0.25">
      <c r="A775" s="2">
        <v>775</v>
      </c>
      <c r="B775" s="18">
        <v>45596.708287037036</v>
      </c>
      <c r="C775" s="2" t="s">
        <v>349</v>
      </c>
      <c r="D775" s="2" t="s">
        <v>107</v>
      </c>
      <c r="E775" s="2" t="s">
        <v>367</v>
      </c>
      <c r="F775" s="2" t="s">
        <v>53</v>
      </c>
      <c r="G775" s="3">
        <v>550000</v>
      </c>
      <c r="H775" s="8">
        <v>2</v>
      </c>
      <c r="I775" s="3">
        <v>0</v>
      </c>
      <c r="J775" s="3">
        <v>0</v>
      </c>
    </row>
    <row r="776" spans="1:10" x14ac:dyDescent="0.25">
      <c r="A776" s="2">
        <v>776</v>
      </c>
      <c r="B776" s="18">
        <v>45596.708287037036</v>
      </c>
      <c r="C776" s="2" t="s">
        <v>349</v>
      </c>
      <c r="D776" s="2" t="s">
        <v>107</v>
      </c>
      <c r="E776" s="2" t="s">
        <v>367</v>
      </c>
      <c r="F776" s="2" t="s">
        <v>51</v>
      </c>
      <c r="G776" s="3">
        <v>465000</v>
      </c>
      <c r="H776" s="8">
        <v>2</v>
      </c>
      <c r="I776" s="3">
        <v>0</v>
      </c>
      <c r="J776" s="3">
        <v>0</v>
      </c>
    </row>
    <row r="777" spans="1:10" x14ac:dyDescent="0.25">
      <c r="A777" s="2">
        <v>777</v>
      </c>
      <c r="B777" s="18">
        <v>45596.708287037036</v>
      </c>
      <c r="C777" s="2" t="s">
        <v>349</v>
      </c>
      <c r="D777" s="2" t="s">
        <v>330</v>
      </c>
      <c r="E777" s="2" t="s">
        <v>363</v>
      </c>
      <c r="F777" s="2" t="s">
        <v>23</v>
      </c>
      <c r="G777" s="3">
        <v>775000</v>
      </c>
      <c r="H777" s="8">
        <v>22</v>
      </c>
      <c r="I777" s="3">
        <v>11935000</v>
      </c>
      <c r="J777" s="3">
        <v>11935000</v>
      </c>
    </row>
    <row r="778" spans="1:10" x14ac:dyDescent="0.25">
      <c r="A778" s="2">
        <v>778</v>
      </c>
      <c r="B778" s="18">
        <v>45596.708287037036</v>
      </c>
      <c r="C778" s="2" t="s">
        <v>349</v>
      </c>
      <c r="D778" s="2" t="s">
        <v>338</v>
      </c>
      <c r="E778" s="2" t="s">
        <v>370</v>
      </c>
      <c r="F778" s="2" t="s">
        <v>421</v>
      </c>
      <c r="G778" s="3">
        <v>0</v>
      </c>
      <c r="H778" s="8">
        <v>0</v>
      </c>
      <c r="I778" s="3">
        <v>0</v>
      </c>
      <c r="J778" s="3">
        <v>0</v>
      </c>
    </row>
    <row r="779" spans="1:10" x14ac:dyDescent="0.25">
      <c r="A779" s="2">
        <v>779</v>
      </c>
      <c r="B779" s="18">
        <v>45599.708287037036</v>
      </c>
      <c r="C779" s="2" t="s">
        <v>350</v>
      </c>
      <c r="D779" s="2" t="s">
        <v>66</v>
      </c>
      <c r="E779" s="2" t="s">
        <v>365</v>
      </c>
      <c r="F779" s="2" t="s">
        <v>61</v>
      </c>
      <c r="G779" s="3">
        <v>890000</v>
      </c>
      <c r="H779" s="8">
        <v>1</v>
      </c>
      <c r="I779" s="3">
        <v>623000</v>
      </c>
      <c r="J779" s="3">
        <v>623000</v>
      </c>
    </row>
    <row r="780" spans="1:10" x14ac:dyDescent="0.25">
      <c r="A780" s="2">
        <v>780</v>
      </c>
      <c r="B780" s="18">
        <v>45599.708287037036</v>
      </c>
      <c r="C780" s="2" t="s">
        <v>350</v>
      </c>
      <c r="D780" s="2" t="s">
        <v>24</v>
      </c>
      <c r="E780" s="2" t="s">
        <v>367</v>
      </c>
      <c r="F780" s="2" t="s">
        <v>19</v>
      </c>
      <c r="G780" s="3">
        <v>590000</v>
      </c>
      <c r="H780" s="8">
        <v>10</v>
      </c>
      <c r="I780" s="3">
        <v>2950000</v>
      </c>
      <c r="J780" s="3">
        <v>2950000</v>
      </c>
    </row>
    <row r="781" spans="1:10" x14ac:dyDescent="0.25">
      <c r="A781" s="2">
        <v>781</v>
      </c>
      <c r="B781" s="18">
        <v>45600.708287037036</v>
      </c>
      <c r="C781" s="2" t="s">
        <v>350</v>
      </c>
      <c r="D781" s="2" t="s">
        <v>267</v>
      </c>
      <c r="E781" s="2" t="s">
        <v>371</v>
      </c>
      <c r="F781" s="2" t="s">
        <v>33</v>
      </c>
      <c r="G781" s="3">
        <v>485000</v>
      </c>
      <c r="H781" s="8">
        <v>121</v>
      </c>
      <c r="I781" s="3">
        <v>26408250</v>
      </c>
      <c r="J781" s="3">
        <v>26408250</v>
      </c>
    </row>
    <row r="782" spans="1:10" x14ac:dyDescent="0.25">
      <c r="A782" s="2">
        <v>782</v>
      </c>
      <c r="B782" s="18">
        <v>45600.708287037036</v>
      </c>
      <c r="C782" s="2" t="s">
        <v>350</v>
      </c>
      <c r="D782" s="2" t="s">
        <v>267</v>
      </c>
      <c r="E782" s="2" t="s">
        <v>371</v>
      </c>
      <c r="F782" s="2" t="s">
        <v>59</v>
      </c>
      <c r="G782" s="3">
        <v>475000</v>
      </c>
      <c r="H782" s="8">
        <v>93</v>
      </c>
      <c r="I782" s="3">
        <v>19878749.999999996</v>
      </c>
      <c r="J782" s="3">
        <v>19878749.999999996</v>
      </c>
    </row>
    <row r="783" spans="1:10" x14ac:dyDescent="0.25">
      <c r="A783" s="2">
        <v>783</v>
      </c>
      <c r="B783" s="18">
        <v>45600.708287037036</v>
      </c>
      <c r="C783" s="2" t="s">
        <v>350</v>
      </c>
      <c r="D783" s="2" t="s">
        <v>267</v>
      </c>
      <c r="E783" s="2" t="s">
        <v>371</v>
      </c>
      <c r="F783" s="2" t="s">
        <v>31</v>
      </c>
      <c r="G783" s="3">
        <v>745000</v>
      </c>
      <c r="H783" s="8">
        <v>121</v>
      </c>
      <c r="I783" s="3">
        <v>45072500</v>
      </c>
      <c r="J783" s="3">
        <v>45072500</v>
      </c>
    </row>
    <row r="784" spans="1:10" x14ac:dyDescent="0.25">
      <c r="A784" s="2">
        <v>784</v>
      </c>
      <c r="B784" s="18">
        <v>45600.708287037036</v>
      </c>
      <c r="C784" s="2" t="s">
        <v>350</v>
      </c>
      <c r="D784" s="2" t="s">
        <v>267</v>
      </c>
      <c r="E784" s="2" t="s">
        <v>371</v>
      </c>
      <c r="F784" s="2" t="s">
        <v>57</v>
      </c>
      <c r="G784" s="3">
        <v>745000</v>
      </c>
      <c r="H784" s="8">
        <v>93</v>
      </c>
      <c r="I784" s="3">
        <v>34642500</v>
      </c>
      <c r="J784" s="3">
        <v>34642500</v>
      </c>
    </row>
    <row r="785" spans="1:10" x14ac:dyDescent="0.25">
      <c r="A785" s="2">
        <v>785</v>
      </c>
      <c r="B785" s="18">
        <v>45600.708287037036</v>
      </c>
      <c r="C785" s="2" t="s">
        <v>350</v>
      </c>
      <c r="D785" s="2" t="s">
        <v>267</v>
      </c>
      <c r="E785" s="2" t="s">
        <v>371</v>
      </c>
      <c r="F785" s="2" t="s">
        <v>83</v>
      </c>
      <c r="G785" s="3">
        <v>790000</v>
      </c>
      <c r="H785" s="8">
        <v>87</v>
      </c>
      <c r="I785" s="3">
        <v>34365000</v>
      </c>
      <c r="J785" s="3">
        <v>34365000</v>
      </c>
    </row>
    <row r="786" spans="1:10" x14ac:dyDescent="0.25">
      <c r="A786" s="2">
        <v>786</v>
      </c>
      <c r="B786" s="18">
        <v>45600.708287037036</v>
      </c>
      <c r="C786" s="2" t="s">
        <v>350</v>
      </c>
      <c r="D786" s="2" t="s">
        <v>267</v>
      </c>
      <c r="E786" s="2" t="s">
        <v>371</v>
      </c>
      <c r="F786" s="2" t="s">
        <v>27</v>
      </c>
      <c r="G786" s="3">
        <v>935000</v>
      </c>
      <c r="H786" s="8">
        <v>392</v>
      </c>
      <c r="I786" s="3">
        <v>183260000</v>
      </c>
      <c r="J786" s="3">
        <v>183260000</v>
      </c>
    </row>
    <row r="787" spans="1:10" x14ac:dyDescent="0.25">
      <c r="A787" s="2">
        <v>787</v>
      </c>
      <c r="B787" s="18">
        <v>45600.708287037036</v>
      </c>
      <c r="C787" s="2" t="s">
        <v>350</v>
      </c>
      <c r="D787" s="2" t="s">
        <v>267</v>
      </c>
      <c r="E787" s="2" t="s">
        <v>371</v>
      </c>
      <c r="F787" s="2" t="s">
        <v>33</v>
      </c>
      <c r="G787" s="3">
        <v>485000</v>
      </c>
      <c r="H787" s="8">
        <v>232</v>
      </c>
      <c r="I787" s="3">
        <v>50634000</v>
      </c>
      <c r="J787" s="3">
        <v>50634000</v>
      </c>
    </row>
    <row r="788" spans="1:10" x14ac:dyDescent="0.25">
      <c r="A788" s="2">
        <v>788</v>
      </c>
      <c r="B788" s="18">
        <v>45600.708287037036</v>
      </c>
      <c r="C788" s="2" t="s">
        <v>350</v>
      </c>
      <c r="D788" s="2" t="s">
        <v>267</v>
      </c>
      <c r="E788" s="2" t="s">
        <v>371</v>
      </c>
      <c r="F788" s="2" t="s">
        <v>59</v>
      </c>
      <c r="G788" s="3">
        <v>475000</v>
      </c>
      <c r="H788" s="8">
        <v>191</v>
      </c>
      <c r="I788" s="3">
        <v>40826249.99999999</v>
      </c>
      <c r="J788" s="3">
        <v>40826249.99999999</v>
      </c>
    </row>
    <row r="789" spans="1:10" x14ac:dyDescent="0.25">
      <c r="A789" s="2">
        <v>789</v>
      </c>
      <c r="B789" s="18">
        <v>45600.708287037036</v>
      </c>
      <c r="C789" s="2" t="s">
        <v>350</v>
      </c>
      <c r="D789" s="2" t="s">
        <v>267</v>
      </c>
      <c r="E789" s="2" t="s">
        <v>371</v>
      </c>
      <c r="F789" s="2" t="s">
        <v>31</v>
      </c>
      <c r="G789" s="3">
        <v>745000</v>
      </c>
      <c r="H789" s="8">
        <v>518</v>
      </c>
      <c r="I789" s="3">
        <v>192955000</v>
      </c>
      <c r="J789" s="3">
        <v>192955000</v>
      </c>
    </row>
    <row r="790" spans="1:10" x14ac:dyDescent="0.25">
      <c r="A790" s="2">
        <v>790</v>
      </c>
      <c r="B790" s="18">
        <v>45600.708287037036</v>
      </c>
      <c r="C790" s="2" t="s">
        <v>350</v>
      </c>
      <c r="D790" s="2" t="s">
        <v>267</v>
      </c>
      <c r="E790" s="2" t="s">
        <v>371</v>
      </c>
      <c r="F790" s="2" t="s">
        <v>57</v>
      </c>
      <c r="G790" s="3">
        <v>745000</v>
      </c>
      <c r="H790" s="8">
        <v>366</v>
      </c>
      <c r="I790" s="3">
        <v>136335000</v>
      </c>
      <c r="J790" s="3">
        <v>136335000</v>
      </c>
    </row>
    <row r="791" spans="1:10" x14ac:dyDescent="0.25">
      <c r="A791" s="2">
        <v>791</v>
      </c>
      <c r="B791" s="18">
        <v>45600.708287037036</v>
      </c>
      <c r="C791" s="2" t="s">
        <v>350</v>
      </c>
      <c r="D791" s="2" t="s">
        <v>267</v>
      </c>
      <c r="E791" s="2" t="s">
        <v>371</v>
      </c>
      <c r="F791" s="2" t="s">
        <v>19</v>
      </c>
      <c r="G791" s="3">
        <v>590000</v>
      </c>
      <c r="H791" s="8">
        <v>54</v>
      </c>
      <c r="I791" s="3">
        <v>15930000</v>
      </c>
      <c r="J791" s="3">
        <v>15930000</v>
      </c>
    </row>
    <row r="792" spans="1:10" x14ac:dyDescent="0.25">
      <c r="A792" s="2">
        <v>792</v>
      </c>
      <c r="B792" s="18">
        <v>45600.708287037036</v>
      </c>
      <c r="C792" s="2" t="s">
        <v>350</v>
      </c>
      <c r="D792" s="2" t="s">
        <v>303</v>
      </c>
      <c r="E792" s="2" t="s">
        <v>366</v>
      </c>
      <c r="F792" s="2" t="s">
        <v>31</v>
      </c>
      <c r="G792" s="3">
        <v>745000</v>
      </c>
      <c r="H792" s="8">
        <v>10</v>
      </c>
      <c r="I792" s="3">
        <v>4470000</v>
      </c>
      <c r="J792" s="3">
        <v>4470000</v>
      </c>
    </row>
    <row r="793" spans="1:10" x14ac:dyDescent="0.25">
      <c r="A793" s="2">
        <v>793</v>
      </c>
      <c r="B793" s="18">
        <v>45600.708287037036</v>
      </c>
      <c r="C793" s="2" t="s">
        <v>350</v>
      </c>
      <c r="D793" s="2" t="s">
        <v>240</v>
      </c>
      <c r="E793" s="2" t="s">
        <v>367</v>
      </c>
      <c r="F793" s="2" t="s">
        <v>19</v>
      </c>
      <c r="G793" s="3">
        <v>590000</v>
      </c>
      <c r="H793" s="8">
        <v>1</v>
      </c>
      <c r="I793" s="3">
        <v>531000</v>
      </c>
      <c r="J793" s="3">
        <v>531000</v>
      </c>
    </row>
    <row r="794" spans="1:10" x14ac:dyDescent="0.25">
      <c r="A794" s="2">
        <v>794</v>
      </c>
      <c r="B794" s="18">
        <v>45600.708287037036</v>
      </c>
      <c r="C794" s="2" t="s">
        <v>350</v>
      </c>
      <c r="D794" s="2" t="s">
        <v>240</v>
      </c>
      <c r="E794" s="2" t="s">
        <v>367</v>
      </c>
      <c r="F794" s="2" t="s">
        <v>89</v>
      </c>
      <c r="G794" s="3">
        <v>390000</v>
      </c>
      <c r="H794" s="8">
        <v>1</v>
      </c>
      <c r="I794" s="3">
        <v>0</v>
      </c>
      <c r="J794" s="3">
        <v>0</v>
      </c>
    </row>
    <row r="795" spans="1:10" x14ac:dyDescent="0.25">
      <c r="A795" s="2">
        <v>795</v>
      </c>
      <c r="B795" s="18">
        <v>45600.708287037036</v>
      </c>
      <c r="C795" s="2" t="s">
        <v>350</v>
      </c>
      <c r="D795" s="2" t="s">
        <v>244</v>
      </c>
      <c r="E795" s="2" t="s">
        <v>367</v>
      </c>
      <c r="F795" s="2" t="s">
        <v>61</v>
      </c>
      <c r="G795" s="3">
        <v>890000</v>
      </c>
      <c r="H795" s="8">
        <v>1</v>
      </c>
      <c r="I795" s="3">
        <v>801000</v>
      </c>
      <c r="J795" s="3">
        <v>801000</v>
      </c>
    </row>
    <row r="796" spans="1:10" x14ac:dyDescent="0.25">
      <c r="A796" s="2">
        <v>796</v>
      </c>
      <c r="B796" s="18">
        <v>45600.708287037036</v>
      </c>
      <c r="C796" s="2" t="s">
        <v>350</v>
      </c>
      <c r="D796" s="2" t="s">
        <v>244</v>
      </c>
      <c r="E796" s="2" t="s">
        <v>367</v>
      </c>
      <c r="F796" s="2" t="s">
        <v>89</v>
      </c>
      <c r="G796" s="3">
        <v>390000</v>
      </c>
      <c r="H796" s="8">
        <v>1</v>
      </c>
      <c r="I796" s="3">
        <v>0</v>
      </c>
      <c r="J796" s="3">
        <v>0</v>
      </c>
    </row>
    <row r="797" spans="1:10" x14ac:dyDescent="0.25">
      <c r="A797" s="2">
        <v>797</v>
      </c>
      <c r="B797" s="18">
        <v>45601.708287037036</v>
      </c>
      <c r="C797" s="2" t="s">
        <v>350</v>
      </c>
      <c r="D797" s="2" t="s">
        <v>268</v>
      </c>
      <c r="E797" s="2" t="s">
        <v>371</v>
      </c>
      <c r="F797" s="2" t="s">
        <v>33</v>
      </c>
      <c r="G797" s="3">
        <v>485000</v>
      </c>
      <c r="H797" s="8">
        <v>9</v>
      </c>
      <c r="I797" s="3">
        <v>1964250</v>
      </c>
      <c r="J797" s="3">
        <v>1964250</v>
      </c>
    </row>
    <row r="798" spans="1:10" x14ac:dyDescent="0.25">
      <c r="A798" s="2">
        <v>798</v>
      </c>
      <c r="B798" s="18">
        <v>45601.708287037036</v>
      </c>
      <c r="C798" s="2" t="s">
        <v>350</v>
      </c>
      <c r="D798" s="2" t="s">
        <v>268</v>
      </c>
      <c r="E798" s="2" t="s">
        <v>371</v>
      </c>
      <c r="F798" s="2" t="s">
        <v>59</v>
      </c>
      <c r="G798" s="3">
        <v>475000</v>
      </c>
      <c r="H798" s="8">
        <v>110</v>
      </c>
      <c r="I798" s="3">
        <v>23512499.999999996</v>
      </c>
      <c r="J798" s="3">
        <v>23512499.999999996</v>
      </c>
    </row>
    <row r="799" spans="1:10" x14ac:dyDescent="0.25">
      <c r="A799" s="2">
        <v>799</v>
      </c>
      <c r="B799" s="18">
        <v>45601.708287037036</v>
      </c>
      <c r="C799" s="2" t="s">
        <v>350</v>
      </c>
      <c r="D799" s="2" t="s">
        <v>268</v>
      </c>
      <c r="E799" s="2" t="s">
        <v>371</v>
      </c>
      <c r="F799" s="2" t="s">
        <v>31</v>
      </c>
      <c r="G799" s="3">
        <v>745000</v>
      </c>
      <c r="H799" s="8">
        <v>197</v>
      </c>
      <c r="I799" s="3">
        <v>73382500</v>
      </c>
      <c r="J799" s="3">
        <v>73382500</v>
      </c>
    </row>
    <row r="800" spans="1:10" x14ac:dyDescent="0.25">
      <c r="A800" s="2">
        <v>800</v>
      </c>
      <c r="B800" s="18">
        <v>45601.708287037036</v>
      </c>
      <c r="C800" s="2" t="s">
        <v>350</v>
      </c>
      <c r="D800" s="2" t="s">
        <v>268</v>
      </c>
      <c r="E800" s="2" t="s">
        <v>371</v>
      </c>
      <c r="F800" s="2" t="s">
        <v>57</v>
      </c>
      <c r="G800" s="3">
        <v>745000</v>
      </c>
      <c r="H800" s="8">
        <v>134</v>
      </c>
      <c r="I800" s="3">
        <v>49915000</v>
      </c>
      <c r="J800" s="3">
        <v>49915000</v>
      </c>
    </row>
    <row r="801" spans="1:10" x14ac:dyDescent="0.25">
      <c r="A801" s="2">
        <v>801</v>
      </c>
      <c r="B801" s="18">
        <v>45601.708287037036</v>
      </c>
      <c r="C801" s="2" t="s">
        <v>350</v>
      </c>
      <c r="D801" s="2" t="s">
        <v>268</v>
      </c>
      <c r="E801" s="2" t="s">
        <v>371</v>
      </c>
      <c r="F801" s="2" t="s">
        <v>19</v>
      </c>
      <c r="G801" s="3">
        <v>590000</v>
      </c>
      <c r="H801" s="8">
        <v>18</v>
      </c>
      <c r="I801" s="3">
        <v>5310000</v>
      </c>
      <c r="J801" s="3">
        <v>5310000</v>
      </c>
    </row>
    <row r="802" spans="1:10" x14ac:dyDescent="0.25">
      <c r="A802" s="2">
        <v>802</v>
      </c>
      <c r="B802" s="18">
        <v>45601.708287037036</v>
      </c>
      <c r="C802" s="2" t="s">
        <v>350</v>
      </c>
      <c r="D802" s="2" t="s">
        <v>268</v>
      </c>
      <c r="E802" s="2" t="s">
        <v>371</v>
      </c>
      <c r="F802" s="2" t="s">
        <v>33</v>
      </c>
      <c r="G802" s="3">
        <v>485000</v>
      </c>
      <c r="H802" s="8">
        <v>197</v>
      </c>
      <c r="I802" s="3">
        <v>42995250</v>
      </c>
      <c r="J802" s="3">
        <v>42995250</v>
      </c>
    </row>
    <row r="803" spans="1:10" x14ac:dyDescent="0.25">
      <c r="A803" s="2">
        <v>803</v>
      </c>
      <c r="B803" s="18">
        <v>45601.708287037036</v>
      </c>
      <c r="C803" s="2" t="s">
        <v>350</v>
      </c>
      <c r="D803" s="2" t="s">
        <v>268</v>
      </c>
      <c r="E803" s="2" t="s">
        <v>371</v>
      </c>
      <c r="F803" s="2" t="s">
        <v>59</v>
      </c>
      <c r="G803" s="3">
        <v>475000</v>
      </c>
      <c r="H803" s="8">
        <v>134</v>
      </c>
      <c r="I803" s="3">
        <v>28642499.999999996</v>
      </c>
      <c r="J803" s="3">
        <v>28642499.999999996</v>
      </c>
    </row>
    <row r="804" spans="1:10" x14ac:dyDescent="0.25">
      <c r="A804" s="2">
        <v>804</v>
      </c>
      <c r="B804" s="18">
        <v>45602.708287037036</v>
      </c>
      <c r="C804" s="2" t="s">
        <v>350</v>
      </c>
      <c r="D804" s="2" t="s">
        <v>92</v>
      </c>
      <c r="E804" s="2" t="s">
        <v>365</v>
      </c>
      <c r="F804" s="2" t="s">
        <v>23</v>
      </c>
      <c r="G804" s="3">
        <v>775000</v>
      </c>
      <c r="H804" s="8">
        <v>10</v>
      </c>
      <c r="I804" s="3">
        <v>5425000</v>
      </c>
      <c r="J804" s="3">
        <v>5425000</v>
      </c>
    </row>
    <row r="805" spans="1:10" x14ac:dyDescent="0.25">
      <c r="A805" s="2">
        <v>805</v>
      </c>
      <c r="B805" s="18">
        <v>45602.708287037036</v>
      </c>
      <c r="C805" s="2" t="s">
        <v>350</v>
      </c>
      <c r="D805" s="2" t="s">
        <v>107</v>
      </c>
      <c r="E805" s="2" t="s">
        <v>367</v>
      </c>
      <c r="F805" s="2" t="s">
        <v>29</v>
      </c>
      <c r="G805" s="3">
        <v>590000</v>
      </c>
      <c r="H805" s="8">
        <v>1</v>
      </c>
      <c r="I805" s="3">
        <v>383500</v>
      </c>
      <c r="J805" s="3">
        <v>383500</v>
      </c>
    </row>
    <row r="806" spans="1:10" x14ac:dyDescent="0.25">
      <c r="A806" s="2">
        <v>806</v>
      </c>
      <c r="B806" s="18">
        <v>45602.708287037036</v>
      </c>
      <c r="C806" s="2" t="s">
        <v>350</v>
      </c>
      <c r="D806" s="2" t="s">
        <v>318</v>
      </c>
      <c r="E806" s="2" t="s">
        <v>363</v>
      </c>
      <c r="F806" s="2" t="s">
        <v>73</v>
      </c>
      <c r="G806" s="3">
        <v>1350000</v>
      </c>
      <c r="H806" s="8">
        <v>1</v>
      </c>
      <c r="I806" s="3">
        <v>0</v>
      </c>
      <c r="J806" s="3">
        <v>0</v>
      </c>
    </row>
    <row r="807" spans="1:10" x14ac:dyDescent="0.25">
      <c r="A807" s="2">
        <v>807</v>
      </c>
      <c r="B807" s="18">
        <v>45603.708287037036</v>
      </c>
      <c r="C807" s="2" t="s">
        <v>350</v>
      </c>
      <c r="D807" s="2" t="s">
        <v>267</v>
      </c>
      <c r="E807" s="2" t="s">
        <v>371</v>
      </c>
      <c r="F807" s="2" t="s">
        <v>33</v>
      </c>
      <c r="G807" s="3">
        <v>485000</v>
      </c>
      <c r="H807" s="8">
        <v>518</v>
      </c>
      <c r="I807" s="3">
        <v>113053500</v>
      </c>
      <c r="J807" s="3">
        <v>113053500</v>
      </c>
    </row>
    <row r="808" spans="1:10" x14ac:dyDescent="0.25">
      <c r="A808" s="2">
        <v>808</v>
      </c>
      <c r="B808" s="18">
        <v>45603.708287037036</v>
      </c>
      <c r="C808" s="2" t="s">
        <v>350</v>
      </c>
      <c r="D808" s="2" t="s">
        <v>267</v>
      </c>
      <c r="E808" s="2" t="s">
        <v>371</v>
      </c>
      <c r="F808" s="2" t="s">
        <v>59</v>
      </c>
      <c r="G808" s="3">
        <v>475000</v>
      </c>
      <c r="H808" s="8">
        <v>238</v>
      </c>
      <c r="I808" s="3">
        <v>50872499.99999999</v>
      </c>
      <c r="J808" s="3">
        <v>50872499.99999999</v>
      </c>
    </row>
    <row r="809" spans="1:10" x14ac:dyDescent="0.25">
      <c r="A809" s="2">
        <v>809</v>
      </c>
      <c r="B809" s="18">
        <v>45603.708287037036</v>
      </c>
      <c r="C809" s="2" t="s">
        <v>350</v>
      </c>
      <c r="D809" s="2" t="s">
        <v>258</v>
      </c>
      <c r="E809" s="2" t="s">
        <v>364</v>
      </c>
      <c r="F809" s="2" t="s">
        <v>59</v>
      </c>
      <c r="G809" s="3">
        <v>475000</v>
      </c>
      <c r="H809" s="8">
        <v>30</v>
      </c>
      <c r="I809" s="3">
        <v>10687500</v>
      </c>
      <c r="J809" s="3">
        <v>9298125</v>
      </c>
    </row>
    <row r="810" spans="1:10" x14ac:dyDescent="0.25">
      <c r="A810" s="2">
        <v>810</v>
      </c>
      <c r="B810" s="18">
        <v>45603.708287037036</v>
      </c>
      <c r="C810" s="2" t="s">
        <v>350</v>
      </c>
      <c r="D810" s="2" t="s">
        <v>258</v>
      </c>
      <c r="E810" s="2" t="s">
        <v>364</v>
      </c>
      <c r="F810" s="2" t="s">
        <v>33</v>
      </c>
      <c r="G810" s="3">
        <v>485000</v>
      </c>
      <c r="H810" s="8">
        <v>30</v>
      </c>
      <c r="I810" s="3">
        <v>10912500</v>
      </c>
      <c r="J810" s="3">
        <v>9493875</v>
      </c>
    </row>
    <row r="811" spans="1:10" x14ac:dyDescent="0.25">
      <c r="A811" s="2">
        <v>811</v>
      </c>
      <c r="B811" s="18">
        <v>45603.708287037036</v>
      </c>
      <c r="C811" s="2" t="s">
        <v>350</v>
      </c>
      <c r="D811" s="2" t="s">
        <v>258</v>
      </c>
      <c r="E811" s="2" t="s">
        <v>364</v>
      </c>
      <c r="F811" s="2" t="s">
        <v>59</v>
      </c>
      <c r="G811" s="3">
        <v>475000</v>
      </c>
      <c r="H811" s="8">
        <v>3</v>
      </c>
      <c r="I811" s="3">
        <v>0</v>
      </c>
      <c r="J811" s="3">
        <v>0</v>
      </c>
    </row>
    <row r="812" spans="1:10" x14ac:dyDescent="0.25">
      <c r="A812" s="2">
        <v>812</v>
      </c>
      <c r="B812" s="18">
        <v>45603.708287037036</v>
      </c>
      <c r="C812" s="2" t="s">
        <v>350</v>
      </c>
      <c r="D812" s="2" t="s">
        <v>258</v>
      </c>
      <c r="E812" s="2" t="s">
        <v>364</v>
      </c>
      <c r="F812" s="2" t="s">
        <v>33</v>
      </c>
      <c r="G812" s="3">
        <v>485000</v>
      </c>
      <c r="H812" s="8">
        <v>3</v>
      </c>
      <c r="I812" s="3">
        <v>0</v>
      </c>
      <c r="J812" s="3">
        <v>0</v>
      </c>
    </row>
    <row r="813" spans="1:10" x14ac:dyDescent="0.25">
      <c r="A813" s="2">
        <v>813</v>
      </c>
      <c r="B813" s="18">
        <v>45603.708287037036</v>
      </c>
      <c r="C813" s="2" t="s">
        <v>350</v>
      </c>
      <c r="D813" s="2" t="s">
        <v>258</v>
      </c>
      <c r="E813" s="2" t="s">
        <v>364</v>
      </c>
      <c r="F813" s="2" t="s">
        <v>89</v>
      </c>
      <c r="G813" s="3">
        <v>390000</v>
      </c>
      <c r="H813" s="8">
        <v>60</v>
      </c>
      <c r="I813" s="3">
        <v>0</v>
      </c>
      <c r="J813" s="3">
        <v>0</v>
      </c>
    </row>
    <row r="814" spans="1:10" x14ac:dyDescent="0.25">
      <c r="A814" s="2">
        <v>814</v>
      </c>
      <c r="B814" s="18">
        <v>45603.708287037036</v>
      </c>
      <c r="C814" s="2" t="s">
        <v>350</v>
      </c>
      <c r="D814" s="2" t="s">
        <v>258</v>
      </c>
      <c r="E814" s="2" t="s">
        <v>364</v>
      </c>
      <c r="F814" s="2" t="s">
        <v>23</v>
      </c>
      <c r="G814" s="3">
        <v>775000</v>
      </c>
      <c r="H814" s="8">
        <v>-66</v>
      </c>
      <c r="I814" s="3">
        <v>-40920000</v>
      </c>
      <c r="J814" s="3">
        <v>-35600400</v>
      </c>
    </row>
    <row r="815" spans="1:10" x14ac:dyDescent="0.25">
      <c r="A815" s="2">
        <v>815</v>
      </c>
      <c r="B815" s="18">
        <v>45603.708287037036</v>
      </c>
      <c r="C815" s="2" t="s">
        <v>350</v>
      </c>
      <c r="D815" s="2" t="s">
        <v>258</v>
      </c>
      <c r="E815" s="2" t="s">
        <v>364</v>
      </c>
      <c r="F815" s="2" t="s">
        <v>23</v>
      </c>
      <c r="G815" s="3">
        <v>775000</v>
      </c>
      <c r="H815" s="8">
        <v>-3</v>
      </c>
      <c r="I815" s="3">
        <v>0</v>
      </c>
      <c r="J815" s="3">
        <v>0</v>
      </c>
    </row>
    <row r="816" spans="1:10" x14ac:dyDescent="0.25">
      <c r="A816" s="2">
        <v>816</v>
      </c>
      <c r="B816" s="18">
        <v>45604.708287037036</v>
      </c>
      <c r="C816" s="2" t="s">
        <v>350</v>
      </c>
      <c r="D816" s="2" t="s">
        <v>258</v>
      </c>
      <c r="E816" s="2" t="s">
        <v>364</v>
      </c>
      <c r="F816" s="2" t="s">
        <v>19</v>
      </c>
      <c r="G816" s="3">
        <v>590000</v>
      </c>
      <c r="H816" s="8">
        <v>40</v>
      </c>
      <c r="I816" s="3">
        <v>21712000</v>
      </c>
      <c r="J816" s="3">
        <v>21712000</v>
      </c>
    </row>
    <row r="817" spans="1:10" x14ac:dyDescent="0.25">
      <c r="A817" s="2">
        <v>817</v>
      </c>
      <c r="B817" s="18">
        <v>45604.708287037036</v>
      </c>
      <c r="C817" s="2" t="s">
        <v>350</v>
      </c>
      <c r="D817" s="2" t="s">
        <v>258</v>
      </c>
      <c r="E817" s="2" t="s">
        <v>364</v>
      </c>
      <c r="F817" s="2" t="s">
        <v>19</v>
      </c>
      <c r="G817" s="3">
        <v>590000</v>
      </c>
      <c r="H817" s="8">
        <v>40</v>
      </c>
      <c r="I817" s="3">
        <v>0</v>
      </c>
      <c r="J817" s="3">
        <v>0</v>
      </c>
    </row>
    <row r="818" spans="1:10" x14ac:dyDescent="0.25">
      <c r="A818" s="2">
        <v>818</v>
      </c>
      <c r="B818" s="18">
        <v>45604.708287037036</v>
      </c>
      <c r="C818" s="2" t="s">
        <v>350</v>
      </c>
      <c r="D818" s="2" t="s">
        <v>92</v>
      </c>
      <c r="E818" s="2" t="s">
        <v>365</v>
      </c>
      <c r="F818" s="2" t="s">
        <v>85</v>
      </c>
      <c r="G818" s="3">
        <v>480000</v>
      </c>
      <c r="H818" s="8">
        <v>-10</v>
      </c>
      <c r="I818" s="3">
        <v>-2880000</v>
      </c>
      <c r="J818" s="3">
        <v>-2793600</v>
      </c>
    </row>
    <row r="819" spans="1:10" x14ac:dyDescent="0.25">
      <c r="A819" s="2">
        <v>819</v>
      </c>
      <c r="B819" s="18">
        <v>45604.708287037036</v>
      </c>
      <c r="C819" s="2" t="s">
        <v>350</v>
      </c>
      <c r="D819" s="2" t="s">
        <v>92</v>
      </c>
      <c r="E819" s="2" t="s">
        <v>365</v>
      </c>
      <c r="F819" s="2" t="s">
        <v>83</v>
      </c>
      <c r="G819" s="3">
        <v>790000</v>
      </c>
      <c r="H819" s="8">
        <v>-10</v>
      </c>
      <c r="I819" s="3">
        <v>-4740000</v>
      </c>
      <c r="J819" s="3">
        <v>-4597800</v>
      </c>
    </row>
    <row r="820" spans="1:10" x14ac:dyDescent="0.25">
      <c r="A820" s="2">
        <v>820</v>
      </c>
      <c r="B820" s="18">
        <v>45604.708287037036</v>
      </c>
      <c r="C820" s="2" t="s">
        <v>350</v>
      </c>
      <c r="D820" s="2" t="s">
        <v>92</v>
      </c>
      <c r="E820" s="2" t="s">
        <v>365</v>
      </c>
      <c r="F820" s="2" t="s">
        <v>35</v>
      </c>
      <c r="G820" s="3">
        <v>525000</v>
      </c>
      <c r="H820" s="8">
        <v>-10</v>
      </c>
      <c r="I820" s="3">
        <v>-3150000</v>
      </c>
      <c r="J820" s="3">
        <v>-3055500</v>
      </c>
    </row>
    <row r="821" spans="1:10" x14ac:dyDescent="0.25">
      <c r="A821" s="2">
        <v>821</v>
      </c>
      <c r="B821" s="18">
        <v>45604.708287037036</v>
      </c>
      <c r="C821" s="2" t="s">
        <v>350</v>
      </c>
      <c r="D821" s="2" t="s">
        <v>92</v>
      </c>
      <c r="E821" s="2" t="s">
        <v>365</v>
      </c>
      <c r="F821" s="2" t="s">
        <v>23</v>
      </c>
      <c r="G821" s="3">
        <v>775000</v>
      </c>
      <c r="H821" s="8">
        <v>-1</v>
      </c>
      <c r="I821" s="3">
        <v>-465000</v>
      </c>
      <c r="J821" s="3">
        <v>-451050</v>
      </c>
    </row>
    <row r="822" spans="1:10" x14ac:dyDescent="0.25">
      <c r="A822" s="2">
        <v>822</v>
      </c>
      <c r="B822" s="18">
        <v>45604.708287037036</v>
      </c>
      <c r="C822" s="2" t="s">
        <v>350</v>
      </c>
      <c r="D822" s="2" t="s">
        <v>92</v>
      </c>
      <c r="E822" s="2" t="s">
        <v>365</v>
      </c>
      <c r="F822" s="2" t="s">
        <v>33</v>
      </c>
      <c r="G822" s="3">
        <v>485000</v>
      </c>
      <c r="H822" s="8">
        <v>-10</v>
      </c>
      <c r="I822" s="3">
        <v>-2910000</v>
      </c>
      <c r="J822" s="3">
        <v>-2822700</v>
      </c>
    </row>
    <row r="823" spans="1:10" x14ac:dyDescent="0.25">
      <c r="A823" s="2">
        <v>823</v>
      </c>
      <c r="B823" s="18">
        <v>45604.708287037036</v>
      </c>
      <c r="C823" s="2" t="s">
        <v>350</v>
      </c>
      <c r="D823" s="2" t="s">
        <v>92</v>
      </c>
      <c r="E823" s="2" t="s">
        <v>365</v>
      </c>
      <c r="F823" s="2" t="s">
        <v>59</v>
      </c>
      <c r="G823" s="3">
        <v>475000</v>
      </c>
      <c r="H823" s="8">
        <v>-10</v>
      </c>
      <c r="I823" s="3">
        <v>-2850000</v>
      </c>
      <c r="J823" s="3">
        <v>-2764500</v>
      </c>
    </row>
    <row r="824" spans="1:10" x14ac:dyDescent="0.25">
      <c r="A824" s="2">
        <v>824</v>
      </c>
      <c r="B824" s="18">
        <v>45604.708287037036</v>
      </c>
      <c r="C824" s="2" t="s">
        <v>350</v>
      </c>
      <c r="D824" s="2" t="s">
        <v>92</v>
      </c>
      <c r="E824" s="2" t="s">
        <v>365</v>
      </c>
      <c r="F824" s="2" t="s">
        <v>89</v>
      </c>
      <c r="G824" s="3">
        <v>390000</v>
      </c>
      <c r="H824" s="8">
        <v>22</v>
      </c>
      <c r="I824" s="3">
        <v>1209999.648</v>
      </c>
      <c r="J824" s="3">
        <v>1209999.648</v>
      </c>
    </row>
    <row r="825" spans="1:10" x14ac:dyDescent="0.25">
      <c r="A825" s="2">
        <v>825</v>
      </c>
      <c r="B825" s="18">
        <v>45604.708287037036</v>
      </c>
      <c r="C825" s="2" t="s">
        <v>350</v>
      </c>
      <c r="D825" s="2" t="s">
        <v>92</v>
      </c>
      <c r="E825" s="2" t="s">
        <v>365</v>
      </c>
      <c r="F825" s="2" t="s">
        <v>49</v>
      </c>
      <c r="G825" s="3">
        <v>200000</v>
      </c>
      <c r="H825" s="8">
        <v>20</v>
      </c>
      <c r="I825" s="3">
        <v>800000</v>
      </c>
      <c r="J825" s="3">
        <v>800000</v>
      </c>
    </row>
    <row r="826" spans="1:10" x14ac:dyDescent="0.25">
      <c r="A826" s="2">
        <v>826</v>
      </c>
      <c r="B826" s="18">
        <v>45604.708287037036</v>
      </c>
      <c r="C826" s="2" t="s">
        <v>350</v>
      </c>
      <c r="D826" s="2" t="s">
        <v>283</v>
      </c>
      <c r="E826" s="2" t="s">
        <v>369</v>
      </c>
      <c r="F826" s="2" t="s">
        <v>23</v>
      </c>
      <c r="G826" s="3">
        <v>775000</v>
      </c>
      <c r="H826" s="8">
        <v>10</v>
      </c>
      <c r="I826" s="3">
        <v>5812500</v>
      </c>
      <c r="J826" s="3">
        <v>5812500</v>
      </c>
    </row>
    <row r="827" spans="1:10" x14ac:dyDescent="0.25">
      <c r="A827" s="2">
        <v>827</v>
      </c>
      <c r="B827" s="18">
        <v>45606.708287037036</v>
      </c>
      <c r="C827" s="2" t="s">
        <v>350</v>
      </c>
      <c r="D827" s="2" t="s">
        <v>303</v>
      </c>
      <c r="E827" s="2" t="s">
        <v>366</v>
      </c>
      <c r="F827" s="2" t="s">
        <v>31</v>
      </c>
      <c r="G827" s="3">
        <v>745000</v>
      </c>
      <c r="H827" s="8">
        <v>10</v>
      </c>
      <c r="I827" s="3">
        <v>4470000</v>
      </c>
      <c r="J827" s="3">
        <v>4470000</v>
      </c>
    </row>
    <row r="828" spans="1:10" x14ac:dyDescent="0.25">
      <c r="A828" s="2">
        <v>828</v>
      </c>
      <c r="B828" s="18">
        <v>45606.708287037036</v>
      </c>
      <c r="C828" s="2" t="s">
        <v>350</v>
      </c>
      <c r="D828" s="2" t="s">
        <v>24</v>
      </c>
      <c r="E828" s="2" t="s">
        <v>367</v>
      </c>
      <c r="F828" s="2" t="s">
        <v>61</v>
      </c>
      <c r="G828" s="3">
        <v>890000</v>
      </c>
      <c r="H828" s="8">
        <v>5</v>
      </c>
      <c r="I828" s="3">
        <v>2225000</v>
      </c>
      <c r="J828" s="3">
        <v>2225000</v>
      </c>
    </row>
    <row r="829" spans="1:10" x14ac:dyDescent="0.25">
      <c r="A829" s="2">
        <v>829</v>
      </c>
      <c r="B829" s="18">
        <v>45606.708287037036</v>
      </c>
      <c r="C829" s="2" t="s">
        <v>350</v>
      </c>
      <c r="D829" s="2" t="s">
        <v>24</v>
      </c>
      <c r="E829" s="2" t="s">
        <v>367</v>
      </c>
      <c r="F829" s="2" t="s">
        <v>63</v>
      </c>
      <c r="G829" s="3">
        <v>550000</v>
      </c>
      <c r="H829" s="8">
        <v>5</v>
      </c>
      <c r="I829" s="3">
        <v>1375000</v>
      </c>
      <c r="J829" s="3">
        <v>1375000</v>
      </c>
    </row>
    <row r="830" spans="1:10" x14ac:dyDescent="0.25">
      <c r="A830" s="2">
        <v>830</v>
      </c>
      <c r="B830" s="18">
        <v>45606.708287037036</v>
      </c>
      <c r="C830" s="2" t="s">
        <v>350</v>
      </c>
      <c r="D830" s="2" t="s">
        <v>262</v>
      </c>
      <c r="E830" s="2" t="s">
        <v>364</v>
      </c>
      <c r="F830" s="2" t="s">
        <v>79</v>
      </c>
      <c r="G830" s="3">
        <v>150000</v>
      </c>
      <c r="H830" s="8">
        <v>90</v>
      </c>
      <c r="I830" s="3">
        <v>0</v>
      </c>
      <c r="J830" s="3">
        <v>0</v>
      </c>
    </row>
    <row r="831" spans="1:10" x14ac:dyDescent="0.25">
      <c r="A831" s="2">
        <v>831</v>
      </c>
      <c r="B831" s="18">
        <v>45607.708287037036</v>
      </c>
      <c r="C831" s="2" t="s">
        <v>350</v>
      </c>
      <c r="D831" s="2" t="s">
        <v>264</v>
      </c>
      <c r="E831" s="2" t="s">
        <v>371</v>
      </c>
      <c r="F831" s="2" t="s">
        <v>85</v>
      </c>
      <c r="G831" s="3">
        <v>480000</v>
      </c>
      <c r="H831" s="8">
        <v>400</v>
      </c>
      <c r="I831" s="3">
        <v>80640000</v>
      </c>
      <c r="J831" s="3">
        <v>80640000</v>
      </c>
    </row>
    <row r="832" spans="1:10" x14ac:dyDescent="0.25">
      <c r="A832" s="2">
        <v>832</v>
      </c>
      <c r="B832" s="18">
        <v>45607.708287037036</v>
      </c>
      <c r="C832" s="2" t="s">
        <v>350</v>
      </c>
      <c r="D832" s="2" t="s">
        <v>268</v>
      </c>
      <c r="E832" s="2" t="s">
        <v>371</v>
      </c>
      <c r="F832" s="2" t="s">
        <v>33</v>
      </c>
      <c r="G832" s="3">
        <v>485000</v>
      </c>
      <c r="H832" s="8">
        <v>120</v>
      </c>
      <c r="I832" s="3">
        <v>26190000</v>
      </c>
      <c r="J832" s="3">
        <v>26190000</v>
      </c>
    </row>
    <row r="833" spans="1:10" x14ac:dyDescent="0.25">
      <c r="A833" s="2">
        <v>833</v>
      </c>
      <c r="B833" s="18">
        <v>45607.708287037036</v>
      </c>
      <c r="C833" s="2" t="s">
        <v>350</v>
      </c>
      <c r="D833" s="2" t="s">
        <v>268</v>
      </c>
      <c r="E833" s="2" t="s">
        <v>371</v>
      </c>
      <c r="F833" s="2" t="s">
        <v>59</v>
      </c>
      <c r="G833" s="3">
        <v>475000</v>
      </c>
      <c r="H833" s="8">
        <v>30</v>
      </c>
      <c r="I833" s="3">
        <v>6412499.999999999</v>
      </c>
      <c r="J833" s="3">
        <v>6412499.999999999</v>
      </c>
    </row>
    <row r="834" spans="1:10" x14ac:dyDescent="0.25">
      <c r="A834" s="2">
        <v>834</v>
      </c>
      <c r="B834" s="18">
        <v>45607.708287037036</v>
      </c>
      <c r="C834" s="2" t="s">
        <v>350</v>
      </c>
      <c r="D834" s="2" t="s">
        <v>268</v>
      </c>
      <c r="E834" s="2" t="s">
        <v>371</v>
      </c>
      <c r="F834" s="2" t="s">
        <v>31</v>
      </c>
      <c r="G834" s="3">
        <v>745000</v>
      </c>
      <c r="H834" s="8">
        <v>97</v>
      </c>
      <c r="I834" s="3">
        <v>36132500</v>
      </c>
      <c r="J834" s="3">
        <v>36132500</v>
      </c>
    </row>
    <row r="835" spans="1:10" x14ac:dyDescent="0.25">
      <c r="A835" s="2">
        <v>835</v>
      </c>
      <c r="B835" s="18">
        <v>45607.708287037036</v>
      </c>
      <c r="C835" s="2" t="s">
        <v>350</v>
      </c>
      <c r="D835" s="2" t="s">
        <v>268</v>
      </c>
      <c r="E835" s="2" t="s">
        <v>371</v>
      </c>
      <c r="F835" s="2" t="s">
        <v>57</v>
      </c>
      <c r="G835" s="3">
        <v>745000</v>
      </c>
      <c r="H835" s="8">
        <v>10</v>
      </c>
      <c r="I835" s="3">
        <v>3725000</v>
      </c>
      <c r="J835" s="3">
        <v>3725000</v>
      </c>
    </row>
    <row r="836" spans="1:10" x14ac:dyDescent="0.25">
      <c r="A836" s="2">
        <v>836</v>
      </c>
      <c r="B836" s="18">
        <v>45607.708287037036</v>
      </c>
      <c r="C836" s="2" t="s">
        <v>350</v>
      </c>
      <c r="D836" s="2" t="s">
        <v>268</v>
      </c>
      <c r="E836" s="2" t="s">
        <v>371</v>
      </c>
      <c r="F836" s="2" t="s">
        <v>85</v>
      </c>
      <c r="G836" s="3">
        <v>480000</v>
      </c>
      <c r="H836" s="8">
        <v>270</v>
      </c>
      <c r="I836" s="3">
        <v>54432000</v>
      </c>
      <c r="J836" s="3">
        <v>54432000</v>
      </c>
    </row>
    <row r="837" spans="1:10" x14ac:dyDescent="0.25">
      <c r="A837" s="2">
        <v>837</v>
      </c>
      <c r="B837" s="18">
        <v>45607.708287037036</v>
      </c>
      <c r="C837" s="2" t="s">
        <v>350</v>
      </c>
      <c r="D837" s="2" t="s">
        <v>2</v>
      </c>
      <c r="E837" s="2" t="s">
        <v>370</v>
      </c>
      <c r="F837" s="2" t="s">
        <v>83</v>
      </c>
      <c r="G837" s="3">
        <v>790000</v>
      </c>
      <c r="H837" s="8">
        <v>4</v>
      </c>
      <c r="I837" s="3">
        <v>2212000</v>
      </c>
      <c r="J837" s="3">
        <v>2212000</v>
      </c>
    </row>
    <row r="838" spans="1:10" x14ac:dyDescent="0.25">
      <c r="A838" s="2">
        <v>838</v>
      </c>
      <c r="B838" s="18">
        <v>45607.708287037036</v>
      </c>
      <c r="C838" s="2" t="s">
        <v>350</v>
      </c>
      <c r="D838" s="2" t="s">
        <v>329</v>
      </c>
      <c r="E838" s="2" t="s">
        <v>363</v>
      </c>
      <c r="F838" s="2" t="s">
        <v>31</v>
      </c>
      <c r="G838" s="3">
        <v>745000</v>
      </c>
      <c r="H838" s="8">
        <v>5</v>
      </c>
      <c r="I838" s="3">
        <v>2793750</v>
      </c>
      <c r="J838" s="3">
        <v>2793750</v>
      </c>
    </row>
    <row r="839" spans="1:10" x14ac:dyDescent="0.25">
      <c r="A839" s="2">
        <v>839</v>
      </c>
      <c r="B839" s="18">
        <v>45607.708287037036</v>
      </c>
      <c r="C839" s="2" t="s">
        <v>350</v>
      </c>
      <c r="D839" s="2" t="s">
        <v>329</v>
      </c>
      <c r="E839" s="2" t="s">
        <v>363</v>
      </c>
      <c r="F839" s="2" t="s">
        <v>33</v>
      </c>
      <c r="G839" s="3">
        <v>485000</v>
      </c>
      <c r="H839" s="8">
        <v>5</v>
      </c>
      <c r="I839" s="3">
        <v>0</v>
      </c>
      <c r="J839" s="3">
        <v>0</v>
      </c>
    </row>
    <row r="840" spans="1:10" x14ac:dyDescent="0.25">
      <c r="A840" s="2">
        <v>840</v>
      </c>
      <c r="B840" s="18">
        <v>45607.708287037036</v>
      </c>
      <c r="C840" s="2" t="s">
        <v>350</v>
      </c>
      <c r="D840" s="2" t="s">
        <v>329</v>
      </c>
      <c r="E840" s="2" t="s">
        <v>363</v>
      </c>
      <c r="F840" s="2" t="s">
        <v>57</v>
      </c>
      <c r="G840" s="3">
        <v>745000</v>
      </c>
      <c r="H840" s="8">
        <v>5</v>
      </c>
      <c r="I840" s="3">
        <v>2793750</v>
      </c>
      <c r="J840" s="3">
        <v>2793750</v>
      </c>
    </row>
    <row r="841" spans="1:10" x14ac:dyDescent="0.25">
      <c r="A841" s="2">
        <v>841</v>
      </c>
      <c r="B841" s="18">
        <v>45607.708287037036</v>
      </c>
      <c r="C841" s="2" t="s">
        <v>350</v>
      </c>
      <c r="D841" s="2" t="s">
        <v>329</v>
      </c>
      <c r="E841" s="2" t="s">
        <v>363</v>
      </c>
      <c r="F841" s="2" t="s">
        <v>59</v>
      </c>
      <c r="G841" s="3">
        <v>475000</v>
      </c>
      <c r="H841" s="8">
        <v>5</v>
      </c>
      <c r="I841" s="3">
        <v>0</v>
      </c>
      <c r="J841" s="3">
        <v>0</v>
      </c>
    </row>
    <row r="842" spans="1:10" x14ac:dyDescent="0.25">
      <c r="A842" s="2">
        <v>842</v>
      </c>
      <c r="B842" s="18">
        <v>45607.708287037036</v>
      </c>
      <c r="C842" s="2" t="s">
        <v>350</v>
      </c>
      <c r="D842" s="2" t="s">
        <v>267</v>
      </c>
      <c r="E842" s="2" t="s">
        <v>371</v>
      </c>
      <c r="F842" s="2" t="s">
        <v>33</v>
      </c>
      <c r="G842" s="3">
        <v>485000</v>
      </c>
      <c r="H842" s="8">
        <v>670</v>
      </c>
      <c r="I842" s="3">
        <v>146227500</v>
      </c>
      <c r="J842" s="3">
        <v>146227500</v>
      </c>
    </row>
    <row r="843" spans="1:10" x14ac:dyDescent="0.25">
      <c r="A843" s="2">
        <v>843</v>
      </c>
      <c r="B843" s="18">
        <v>45607.708287037036</v>
      </c>
      <c r="C843" s="2" t="s">
        <v>350</v>
      </c>
      <c r="D843" s="2" t="s">
        <v>267</v>
      </c>
      <c r="E843" s="2" t="s">
        <v>371</v>
      </c>
      <c r="F843" s="2" t="s">
        <v>59</v>
      </c>
      <c r="G843" s="3">
        <v>475000</v>
      </c>
      <c r="H843" s="8">
        <v>230</v>
      </c>
      <c r="I843" s="3">
        <v>49162499.99999999</v>
      </c>
      <c r="J843" s="3">
        <v>49162499.99999999</v>
      </c>
    </row>
    <row r="844" spans="1:10" x14ac:dyDescent="0.25">
      <c r="A844" s="2">
        <v>844</v>
      </c>
      <c r="B844" s="18">
        <v>45607.708287037036</v>
      </c>
      <c r="C844" s="2" t="s">
        <v>350</v>
      </c>
      <c r="D844" s="2" t="s">
        <v>267</v>
      </c>
      <c r="E844" s="2" t="s">
        <v>371</v>
      </c>
      <c r="F844" s="2" t="s">
        <v>31</v>
      </c>
      <c r="G844" s="3">
        <v>745000</v>
      </c>
      <c r="H844" s="8">
        <v>645</v>
      </c>
      <c r="I844" s="3">
        <v>240262500</v>
      </c>
      <c r="J844" s="3">
        <v>240262500</v>
      </c>
    </row>
    <row r="845" spans="1:10" x14ac:dyDescent="0.25">
      <c r="A845" s="2">
        <v>845</v>
      </c>
      <c r="B845" s="18">
        <v>45607.708287037036</v>
      </c>
      <c r="C845" s="2" t="s">
        <v>350</v>
      </c>
      <c r="D845" s="2" t="s">
        <v>267</v>
      </c>
      <c r="E845" s="2" t="s">
        <v>371</v>
      </c>
      <c r="F845" s="2" t="s">
        <v>57</v>
      </c>
      <c r="G845" s="3">
        <v>745000</v>
      </c>
      <c r="H845" s="8">
        <v>79</v>
      </c>
      <c r="I845" s="3">
        <v>29427500</v>
      </c>
      <c r="J845" s="3">
        <v>29427500</v>
      </c>
    </row>
    <row r="846" spans="1:10" x14ac:dyDescent="0.25">
      <c r="A846" s="2">
        <v>846</v>
      </c>
      <c r="B846" s="18">
        <v>45607.708287037036</v>
      </c>
      <c r="C846" s="2" t="s">
        <v>350</v>
      </c>
      <c r="D846" s="2" t="s">
        <v>267</v>
      </c>
      <c r="E846" s="2" t="s">
        <v>371</v>
      </c>
      <c r="F846" s="2" t="s">
        <v>85</v>
      </c>
      <c r="G846" s="3">
        <v>480000</v>
      </c>
      <c r="H846" s="8">
        <v>700</v>
      </c>
      <c r="I846" s="3">
        <v>141120000</v>
      </c>
      <c r="J846" s="3">
        <v>141120000</v>
      </c>
    </row>
    <row r="847" spans="1:10" x14ac:dyDescent="0.25">
      <c r="A847" s="2">
        <v>847</v>
      </c>
      <c r="B847" s="18">
        <v>45608.708287037036</v>
      </c>
      <c r="C847" s="2" t="s">
        <v>350</v>
      </c>
      <c r="D847" s="2" t="s">
        <v>86</v>
      </c>
      <c r="E847" s="2" t="s">
        <v>369</v>
      </c>
      <c r="F847" s="2" t="s">
        <v>63</v>
      </c>
      <c r="G847" s="3">
        <v>550000</v>
      </c>
      <c r="H847" s="8">
        <v>10</v>
      </c>
      <c r="I847" s="3">
        <v>2750000</v>
      </c>
      <c r="J847" s="3">
        <v>2750000</v>
      </c>
    </row>
    <row r="848" spans="1:10" x14ac:dyDescent="0.25">
      <c r="A848" s="2">
        <v>848</v>
      </c>
      <c r="B848" s="18">
        <v>45608.708287037036</v>
      </c>
      <c r="C848" s="2" t="s">
        <v>350</v>
      </c>
      <c r="D848" s="2" t="s">
        <v>86</v>
      </c>
      <c r="E848" s="2" t="s">
        <v>369</v>
      </c>
      <c r="F848" s="2" t="s">
        <v>85</v>
      </c>
      <c r="G848" s="3">
        <v>480000</v>
      </c>
      <c r="H848" s="8">
        <v>20</v>
      </c>
      <c r="I848" s="3">
        <v>4800000</v>
      </c>
      <c r="J848" s="3">
        <v>4800000</v>
      </c>
    </row>
    <row r="849" spans="1:10" x14ac:dyDescent="0.25">
      <c r="A849" s="2">
        <v>849</v>
      </c>
      <c r="B849" s="18">
        <v>45608.708287037036</v>
      </c>
      <c r="C849" s="2" t="s">
        <v>350</v>
      </c>
      <c r="D849" s="2" t="s">
        <v>86</v>
      </c>
      <c r="E849" s="2" t="s">
        <v>369</v>
      </c>
      <c r="F849" s="2" t="s">
        <v>19</v>
      </c>
      <c r="G849" s="3">
        <v>590000</v>
      </c>
      <c r="H849" s="8">
        <v>5</v>
      </c>
      <c r="I849" s="3">
        <v>1475000</v>
      </c>
      <c r="J849" s="3">
        <v>1475000</v>
      </c>
    </row>
    <row r="850" spans="1:10" x14ac:dyDescent="0.25">
      <c r="A850" s="2">
        <v>850</v>
      </c>
      <c r="B850" s="18">
        <v>45608.708287037036</v>
      </c>
      <c r="C850" s="2" t="s">
        <v>350</v>
      </c>
      <c r="D850" s="2" t="s">
        <v>86</v>
      </c>
      <c r="E850" s="2" t="s">
        <v>369</v>
      </c>
      <c r="F850" s="2" t="s">
        <v>29</v>
      </c>
      <c r="G850" s="3">
        <v>590000</v>
      </c>
      <c r="H850" s="8">
        <v>5</v>
      </c>
      <c r="I850" s="3">
        <v>1475000</v>
      </c>
      <c r="J850" s="3">
        <v>1475000</v>
      </c>
    </row>
    <row r="851" spans="1:10" x14ac:dyDescent="0.25">
      <c r="A851" s="2">
        <v>851</v>
      </c>
      <c r="B851" s="18">
        <v>45608.708287037036</v>
      </c>
      <c r="C851" s="2" t="s">
        <v>350</v>
      </c>
      <c r="D851" s="2" t="s">
        <v>86</v>
      </c>
      <c r="E851" s="2" t="s">
        <v>369</v>
      </c>
      <c r="F851" s="2" t="s">
        <v>51</v>
      </c>
      <c r="G851" s="3">
        <v>465000</v>
      </c>
      <c r="H851" s="8">
        <v>10</v>
      </c>
      <c r="I851" s="3">
        <v>1860000</v>
      </c>
      <c r="J851" s="3">
        <v>1860000</v>
      </c>
    </row>
    <row r="852" spans="1:10" x14ac:dyDescent="0.25">
      <c r="A852" s="2">
        <v>852</v>
      </c>
      <c r="B852" s="18">
        <v>45608.708287037036</v>
      </c>
      <c r="C852" s="2" t="s">
        <v>350</v>
      </c>
      <c r="D852" s="2" t="s">
        <v>106</v>
      </c>
      <c r="E852" s="2" t="s">
        <v>367</v>
      </c>
      <c r="F852" s="2" t="s">
        <v>27</v>
      </c>
      <c r="G852" s="3">
        <v>935000</v>
      </c>
      <c r="H852" s="8">
        <v>2</v>
      </c>
      <c r="I852" s="3">
        <v>1215500</v>
      </c>
      <c r="J852" s="3">
        <v>1215500</v>
      </c>
    </row>
    <row r="853" spans="1:10" x14ac:dyDescent="0.25">
      <c r="A853" s="2">
        <v>853</v>
      </c>
      <c r="B853" s="18">
        <v>45609.708287037036</v>
      </c>
      <c r="C853" s="2" t="s">
        <v>350</v>
      </c>
      <c r="D853" s="2" t="s">
        <v>109</v>
      </c>
      <c r="E853" s="2" t="s">
        <v>367</v>
      </c>
      <c r="F853" s="2" t="s">
        <v>33</v>
      </c>
      <c r="G853" s="3">
        <v>485000</v>
      </c>
      <c r="H853" s="8">
        <v>20</v>
      </c>
      <c r="I853" s="3">
        <v>6305000</v>
      </c>
      <c r="J853" s="3">
        <v>6305000</v>
      </c>
    </row>
    <row r="854" spans="1:10" x14ac:dyDescent="0.25">
      <c r="A854" s="2">
        <v>854</v>
      </c>
      <c r="B854" s="18">
        <v>45609.708287037036</v>
      </c>
      <c r="C854" s="2" t="s">
        <v>350</v>
      </c>
      <c r="D854" s="2" t="s">
        <v>109</v>
      </c>
      <c r="E854" s="2" t="s">
        <v>367</v>
      </c>
      <c r="F854" s="2" t="s">
        <v>59</v>
      </c>
      <c r="G854" s="3">
        <v>475000</v>
      </c>
      <c r="H854" s="8">
        <v>23</v>
      </c>
      <c r="I854" s="3">
        <v>7101250</v>
      </c>
      <c r="J854" s="3">
        <v>7101250</v>
      </c>
    </row>
    <row r="855" spans="1:10" x14ac:dyDescent="0.25">
      <c r="A855" s="2">
        <v>855</v>
      </c>
      <c r="B855" s="18">
        <v>45609.708287037036</v>
      </c>
      <c r="C855" s="2" t="s">
        <v>350</v>
      </c>
      <c r="D855" s="2" t="s">
        <v>109</v>
      </c>
      <c r="E855" s="2" t="s">
        <v>367</v>
      </c>
      <c r="F855" s="2" t="s">
        <v>23</v>
      </c>
      <c r="G855" s="3">
        <v>775000</v>
      </c>
      <c r="H855" s="8">
        <v>15</v>
      </c>
      <c r="I855" s="3">
        <v>7556250</v>
      </c>
      <c r="J855" s="3">
        <v>7556250</v>
      </c>
    </row>
    <row r="856" spans="1:10" x14ac:dyDescent="0.25">
      <c r="A856" s="2">
        <v>856</v>
      </c>
      <c r="B856" s="18">
        <v>45609.708287037036</v>
      </c>
      <c r="C856" s="2" t="s">
        <v>350</v>
      </c>
      <c r="D856" s="2" t="s">
        <v>109</v>
      </c>
      <c r="E856" s="2" t="s">
        <v>367</v>
      </c>
      <c r="F856" s="2" t="s">
        <v>89</v>
      </c>
      <c r="G856" s="3">
        <v>390000</v>
      </c>
      <c r="H856" s="8">
        <v>15</v>
      </c>
      <c r="I856" s="3">
        <v>0</v>
      </c>
      <c r="J856" s="3">
        <v>0</v>
      </c>
    </row>
    <row r="857" spans="1:10" x14ac:dyDescent="0.25">
      <c r="A857" s="2">
        <v>857</v>
      </c>
      <c r="B857" s="18">
        <v>45609.708287037036</v>
      </c>
      <c r="C857" s="2" t="s">
        <v>350</v>
      </c>
      <c r="D857" s="2" t="s">
        <v>109</v>
      </c>
      <c r="E857" s="2" t="s">
        <v>367</v>
      </c>
      <c r="F857" s="2" t="s">
        <v>47</v>
      </c>
      <c r="G857" s="3">
        <v>200000</v>
      </c>
      <c r="H857" s="8">
        <v>43</v>
      </c>
      <c r="I857" s="3">
        <v>0</v>
      </c>
      <c r="J857" s="3">
        <v>0</v>
      </c>
    </row>
    <row r="858" spans="1:10" x14ac:dyDescent="0.25">
      <c r="A858" s="2">
        <v>858</v>
      </c>
      <c r="B858" s="18">
        <v>45609.708287037036</v>
      </c>
      <c r="C858" s="2" t="s">
        <v>350</v>
      </c>
      <c r="D858" s="2" t="s">
        <v>34</v>
      </c>
      <c r="E858" s="2" t="s">
        <v>370</v>
      </c>
      <c r="F858" s="2" t="s">
        <v>23</v>
      </c>
      <c r="G858" s="3">
        <v>775000</v>
      </c>
      <c r="H858" s="8">
        <v>1</v>
      </c>
      <c r="I858" s="3">
        <v>503750</v>
      </c>
      <c r="J858" s="3">
        <v>503750</v>
      </c>
    </row>
    <row r="859" spans="1:10" x14ac:dyDescent="0.25">
      <c r="A859" s="2">
        <v>859</v>
      </c>
      <c r="B859" s="18">
        <v>45609.708287037036</v>
      </c>
      <c r="C859" s="2" t="s">
        <v>350</v>
      </c>
      <c r="D859" s="2" t="s">
        <v>34</v>
      </c>
      <c r="E859" s="2" t="s">
        <v>370</v>
      </c>
      <c r="F859" s="2" t="s">
        <v>33</v>
      </c>
      <c r="G859" s="3">
        <v>485000</v>
      </c>
      <c r="H859" s="8">
        <v>1</v>
      </c>
      <c r="I859" s="3">
        <v>291000</v>
      </c>
      <c r="J859" s="3">
        <v>291000</v>
      </c>
    </row>
    <row r="860" spans="1:10" x14ac:dyDescent="0.25">
      <c r="A860" s="2">
        <v>860</v>
      </c>
      <c r="B860" s="18">
        <v>45609.708287037036</v>
      </c>
      <c r="C860" s="2" t="s">
        <v>350</v>
      </c>
      <c r="D860" s="2" t="s">
        <v>34</v>
      </c>
      <c r="E860" s="2" t="s">
        <v>370</v>
      </c>
      <c r="F860" s="2" t="s">
        <v>59</v>
      </c>
      <c r="G860" s="3">
        <v>475000</v>
      </c>
      <c r="H860" s="8">
        <v>1</v>
      </c>
      <c r="I860" s="3">
        <v>285000</v>
      </c>
      <c r="J860" s="3">
        <v>285000</v>
      </c>
    </row>
    <row r="861" spans="1:10" x14ac:dyDescent="0.25">
      <c r="A861" s="2">
        <v>861</v>
      </c>
      <c r="B861" s="18">
        <v>45609.708287037036</v>
      </c>
      <c r="C861" s="2" t="s">
        <v>350</v>
      </c>
      <c r="D861" s="2" t="s">
        <v>34</v>
      </c>
      <c r="E861" s="2" t="s">
        <v>370</v>
      </c>
      <c r="F861" s="2" t="s">
        <v>85</v>
      </c>
      <c r="G861" s="3">
        <v>480000</v>
      </c>
      <c r="H861" s="8">
        <v>1</v>
      </c>
      <c r="I861" s="3">
        <v>288000</v>
      </c>
      <c r="J861" s="3">
        <v>288000</v>
      </c>
    </row>
    <row r="862" spans="1:10" x14ac:dyDescent="0.25">
      <c r="A862" s="2">
        <v>862</v>
      </c>
      <c r="B862" s="18">
        <v>45609.708287037036</v>
      </c>
      <c r="C862" s="2" t="s">
        <v>350</v>
      </c>
      <c r="D862" s="2" t="s">
        <v>34</v>
      </c>
      <c r="E862" s="2" t="s">
        <v>370</v>
      </c>
      <c r="F862" s="2" t="s">
        <v>29</v>
      </c>
      <c r="G862" s="3">
        <v>590000</v>
      </c>
      <c r="H862" s="8">
        <v>1</v>
      </c>
      <c r="I862" s="3">
        <v>354000</v>
      </c>
      <c r="J862" s="3">
        <v>354000</v>
      </c>
    </row>
    <row r="863" spans="1:10" x14ac:dyDescent="0.25">
      <c r="A863" s="2">
        <v>863</v>
      </c>
      <c r="B863" s="18">
        <v>45609.708287037036</v>
      </c>
      <c r="C863" s="2" t="s">
        <v>350</v>
      </c>
      <c r="D863" s="2" t="s">
        <v>34</v>
      </c>
      <c r="E863" s="2" t="s">
        <v>370</v>
      </c>
      <c r="F863" s="2" t="s">
        <v>23</v>
      </c>
      <c r="G863" s="3">
        <v>775000</v>
      </c>
      <c r="H863" s="8">
        <v>3</v>
      </c>
      <c r="I863" s="3">
        <v>1511250</v>
      </c>
      <c r="J863" s="3">
        <v>1511250</v>
      </c>
    </row>
    <row r="864" spans="1:10" x14ac:dyDescent="0.25">
      <c r="A864" s="2">
        <v>864</v>
      </c>
      <c r="B864" s="18">
        <v>45609.708287037036</v>
      </c>
      <c r="C864" s="2" t="s">
        <v>350</v>
      </c>
      <c r="D864" s="2" t="s">
        <v>34</v>
      </c>
      <c r="E864" s="2" t="s">
        <v>370</v>
      </c>
      <c r="F864" s="2" t="s">
        <v>33</v>
      </c>
      <c r="G864" s="3">
        <v>485000</v>
      </c>
      <c r="H864" s="8">
        <v>12</v>
      </c>
      <c r="I864" s="3">
        <v>3492000</v>
      </c>
      <c r="J864" s="3">
        <v>3492000</v>
      </c>
    </row>
    <row r="865" spans="1:10" x14ac:dyDescent="0.25">
      <c r="A865" s="2">
        <v>865</v>
      </c>
      <c r="B865" s="18">
        <v>45609.708287037036</v>
      </c>
      <c r="C865" s="2" t="s">
        <v>350</v>
      </c>
      <c r="D865" s="2" t="s">
        <v>34</v>
      </c>
      <c r="E865" s="2" t="s">
        <v>370</v>
      </c>
      <c r="F865" s="2" t="s">
        <v>59</v>
      </c>
      <c r="G865" s="3">
        <v>475000</v>
      </c>
      <c r="H865" s="8">
        <v>24</v>
      </c>
      <c r="I865" s="3">
        <v>6840000</v>
      </c>
      <c r="J865" s="3">
        <v>6840000</v>
      </c>
    </row>
    <row r="866" spans="1:10" x14ac:dyDescent="0.25">
      <c r="A866" s="2">
        <v>866</v>
      </c>
      <c r="B866" s="18">
        <v>45609.708287037036</v>
      </c>
      <c r="C866" s="2" t="s">
        <v>350</v>
      </c>
      <c r="D866" s="2" t="s">
        <v>34</v>
      </c>
      <c r="E866" s="2" t="s">
        <v>370</v>
      </c>
      <c r="F866" s="2" t="s">
        <v>85</v>
      </c>
      <c r="G866" s="3">
        <v>480000</v>
      </c>
      <c r="H866" s="8">
        <v>2</v>
      </c>
      <c r="I866" s="3">
        <v>576000</v>
      </c>
      <c r="J866" s="3">
        <v>576000</v>
      </c>
    </row>
    <row r="867" spans="1:10" x14ac:dyDescent="0.25">
      <c r="A867" s="2">
        <v>867</v>
      </c>
      <c r="B867" s="18">
        <v>45610.708287037036</v>
      </c>
      <c r="C867" s="2" t="s">
        <v>350</v>
      </c>
      <c r="D867" s="2" t="s">
        <v>276</v>
      </c>
      <c r="E867" s="2" t="s">
        <v>369</v>
      </c>
      <c r="F867" s="2" t="s">
        <v>63</v>
      </c>
      <c r="G867" s="3">
        <v>550000</v>
      </c>
      <c r="H867" s="8">
        <v>5</v>
      </c>
      <c r="I867" s="3">
        <v>2062500</v>
      </c>
      <c r="J867" s="3">
        <v>2062500</v>
      </c>
    </row>
    <row r="868" spans="1:10" x14ac:dyDescent="0.25">
      <c r="A868" s="2">
        <v>868</v>
      </c>
      <c r="B868" s="18">
        <v>45610.708287037036</v>
      </c>
      <c r="C868" s="2" t="s">
        <v>350</v>
      </c>
      <c r="D868" s="2" t="s">
        <v>276</v>
      </c>
      <c r="E868" s="2" t="s">
        <v>369</v>
      </c>
      <c r="F868" s="2" t="s">
        <v>89</v>
      </c>
      <c r="G868" s="3">
        <v>390000</v>
      </c>
      <c r="H868" s="8">
        <v>5</v>
      </c>
      <c r="I868" s="3">
        <v>0</v>
      </c>
      <c r="J868" s="3">
        <v>0</v>
      </c>
    </row>
    <row r="869" spans="1:10" x14ac:dyDescent="0.25">
      <c r="A869" s="2">
        <v>869</v>
      </c>
      <c r="B869" s="18">
        <v>45610.708287037036</v>
      </c>
      <c r="C869" s="2" t="s">
        <v>350</v>
      </c>
      <c r="D869" s="2" t="s">
        <v>258</v>
      </c>
      <c r="E869" s="2" t="s">
        <v>364</v>
      </c>
      <c r="F869" s="2" t="s">
        <v>31</v>
      </c>
      <c r="G869" s="3">
        <v>745000</v>
      </c>
      <c r="H869" s="8">
        <v>50</v>
      </c>
      <c r="I869" s="3">
        <v>37250000</v>
      </c>
      <c r="J869" s="3">
        <v>34270000</v>
      </c>
    </row>
    <row r="870" spans="1:10" x14ac:dyDescent="0.25">
      <c r="A870" s="2">
        <v>870</v>
      </c>
      <c r="B870" s="18">
        <v>45610.708287037036</v>
      </c>
      <c r="C870" s="2" t="s">
        <v>350</v>
      </c>
      <c r="D870" s="2" t="s">
        <v>258</v>
      </c>
      <c r="E870" s="2" t="s">
        <v>364</v>
      </c>
      <c r="F870" s="2" t="s">
        <v>31</v>
      </c>
      <c r="G870" s="3">
        <v>745000</v>
      </c>
      <c r="H870" s="8">
        <v>15</v>
      </c>
      <c r="I870" s="3">
        <v>0</v>
      </c>
      <c r="J870" s="3">
        <v>0</v>
      </c>
    </row>
    <row r="871" spans="1:10" x14ac:dyDescent="0.25">
      <c r="A871" s="2">
        <v>871</v>
      </c>
      <c r="B871" s="18">
        <v>45610.708287037036</v>
      </c>
      <c r="C871" s="2" t="s">
        <v>350</v>
      </c>
      <c r="D871" s="2" t="s">
        <v>258</v>
      </c>
      <c r="E871" s="2" t="s">
        <v>364</v>
      </c>
      <c r="F871" s="2" t="s">
        <v>57</v>
      </c>
      <c r="G871" s="3">
        <v>745000</v>
      </c>
      <c r="H871" s="8">
        <v>30</v>
      </c>
      <c r="I871" s="3">
        <v>22350000</v>
      </c>
      <c r="J871" s="3">
        <v>20562000</v>
      </c>
    </row>
    <row r="872" spans="1:10" x14ac:dyDescent="0.25">
      <c r="A872" s="2">
        <v>872</v>
      </c>
      <c r="B872" s="18">
        <v>45610.708287037036</v>
      </c>
      <c r="C872" s="2" t="s">
        <v>350</v>
      </c>
      <c r="D872" s="2" t="s">
        <v>258</v>
      </c>
      <c r="E872" s="2" t="s">
        <v>364</v>
      </c>
      <c r="F872" s="2" t="s">
        <v>57</v>
      </c>
      <c r="G872" s="3">
        <v>745000</v>
      </c>
      <c r="H872" s="8">
        <v>9</v>
      </c>
      <c r="I872" s="3">
        <v>0</v>
      </c>
      <c r="J872" s="3">
        <v>0</v>
      </c>
    </row>
    <row r="873" spans="1:10" x14ac:dyDescent="0.25">
      <c r="A873" s="2">
        <v>873</v>
      </c>
      <c r="B873" s="18">
        <v>45610.708287037036</v>
      </c>
      <c r="C873" s="2" t="s">
        <v>350</v>
      </c>
      <c r="D873" s="2" t="s">
        <v>258</v>
      </c>
      <c r="E873" s="2" t="s">
        <v>364</v>
      </c>
      <c r="F873" s="2" t="s">
        <v>59</v>
      </c>
      <c r="G873" s="3">
        <v>475000</v>
      </c>
      <c r="H873" s="8">
        <v>104</v>
      </c>
      <c r="I873" s="3">
        <v>0</v>
      </c>
      <c r="J873" s="3">
        <v>0</v>
      </c>
    </row>
    <row r="874" spans="1:10" x14ac:dyDescent="0.25">
      <c r="A874" s="2">
        <v>874</v>
      </c>
      <c r="B874" s="18">
        <v>45610.708287037036</v>
      </c>
      <c r="C874" s="2" t="s">
        <v>350</v>
      </c>
      <c r="D874" s="2" t="s">
        <v>258</v>
      </c>
      <c r="E874" s="2" t="s">
        <v>364</v>
      </c>
      <c r="F874" s="2" t="s">
        <v>89</v>
      </c>
      <c r="G874" s="3">
        <v>390000</v>
      </c>
      <c r="H874" s="8">
        <v>14</v>
      </c>
      <c r="I874" s="3">
        <v>0</v>
      </c>
      <c r="J874" s="3">
        <v>0</v>
      </c>
    </row>
    <row r="875" spans="1:10" x14ac:dyDescent="0.25">
      <c r="A875" s="2">
        <v>875</v>
      </c>
      <c r="B875" s="18">
        <v>45610.708287037036</v>
      </c>
      <c r="C875" s="2" t="s">
        <v>350</v>
      </c>
      <c r="D875" s="2" t="s">
        <v>258</v>
      </c>
      <c r="E875" s="2" t="s">
        <v>364</v>
      </c>
      <c r="F875" s="2" t="s">
        <v>47</v>
      </c>
      <c r="G875" s="3">
        <v>200000</v>
      </c>
      <c r="H875" s="8">
        <v>20</v>
      </c>
      <c r="I875" s="3">
        <v>0</v>
      </c>
      <c r="J875" s="3">
        <v>0</v>
      </c>
    </row>
    <row r="876" spans="1:10" x14ac:dyDescent="0.25">
      <c r="A876" s="2">
        <v>876</v>
      </c>
      <c r="B876" s="18">
        <v>45610.708287037036</v>
      </c>
      <c r="C876" s="2" t="s">
        <v>350</v>
      </c>
      <c r="D876" s="2" t="s">
        <v>288</v>
      </c>
      <c r="E876" s="2" t="s">
        <v>369</v>
      </c>
      <c r="F876" s="2" t="s">
        <v>19</v>
      </c>
      <c r="G876" s="3">
        <v>590000</v>
      </c>
      <c r="H876" s="8">
        <v>-20</v>
      </c>
      <c r="I876" s="3">
        <v>-6490000</v>
      </c>
      <c r="J876" s="3">
        <v>-6490000</v>
      </c>
    </row>
    <row r="877" spans="1:10" x14ac:dyDescent="0.25">
      <c r="A877" s="2">
        <v>877</v>
      </c>
      <c r="B877" s="18">
        <v>45610.708287037036</v>
      </c>
      <c r="C877" s="2" t="s">
        <v>350</v>
      </c>
      <c r="D877" s="2" t="s">
        <v>288</v>
      </c>
      <c r="E877" s="2" t="s">
        <v>369</v>
      </c>
      <c r="F877" s="2" t="s">
        <v>31</v>
      </c>
      <c r="G877" s="3">
        <v>745000</v>
      </c>
      <c r="H877" s="8">
        <v>-11</v>
      </c>
      <c r="I877" s="3">
        <v>-4507250</v>
      </c>
      <c r="J877" s="3">
        <v>-4507250</v>
      </c>
    </row>
    <row r="878" spans="1:10" x14ac:dyDescent="0.25">
      <c r="A878" s="2">
        <v>878</v>
      </c>
      <c r="B878" s="18">
        <v>45610.708287037036</v>
      </c>
      <c r="C878" s="2" t="s">
        <v>350</v>
      </c>
      <c r="D878" s="2" t="s">
        <v>288</v>
      </c>
      <c r="E878" s="2" t="s">
        <v>369</v>
      </c>
      <c r="F878" s="2" t="s">
        <v>57</v>
      </c>
      <c r="G878" s="3">
        <v>745000</v>
      </c>
      <c r="H878" s="8">
        <v>-12</v>
      </c>
      <c r="I878" s="3">
        <v>-4917000</v>
      </c>
      <c r="J878" s="3">
        <v>-4917000</v>
      </c>
    </row>
    <row r="879" spans="1:10" x14ac:dyDescent="0.25">
      <c r="A879" s="2">
        <v>879</v>
      </c>
      <c r="B879" s="18">
        <v>45610.708287037036</v>
      </c>
      <c r="C879" s="2" t="s">
        <v>350</v>
      </c>
      <c r="D879" s="2" t="s">
        <v>288</v>
      </c>
      <c r="E879" s="2" t="s">
        <v>369</v>
      </c>
      <c r="F879" s="2" t="s">
        <v>33</v>
      </c>
      <c r="G879" s="3">
        <v>485000</v>
      </c>
      <c r="H879" s="8">
        <v>-13</v>
      </c>
      <c r="I879" s="3">
        <v>-3467750</v>
      </c>
      <c r="J879" s="3">
        <v>-3467750</v>
      </c>
    </row>
    <row r="880" spans="1:10" x14ac:dyDescent="0.25">
      <c r="A880" s="2">
        <v>880</v>
      </c>
      <c r="B880" s="18">
        <v>45610.708287037036</v>
      </c>
      <c r="C880" s="2" t="s">
        <v>350</v>
      </c>
      <c r="D880" s="2" t="s">
        <v>288</v>
      </c>
      <c r="E880" s="2" t="s">
        <v>369</v>
      </c>
      <c r="F880" s="2" t="s">
        <v>49</v>
      </c>
      <c r="G880" s="3">
        <v>200000</v>
      </c>
      <c r="H880" s="8">
        <v>-36</v>
      </c>
      <c r="I880" s="3">
        <v>0</v>
      </c>
      <c r="J880" s="3">
        <v>0</v>
      </c>
    </row>
    <row r="881" spans="1:10" x14ac:dyDescent="0.25">
      <c r="A881" s="2">
        <v>881</v>
      </c>
      <c r="B881" s="18">
        <v>45610.708287037036</v>
      </c>
      <c r="C881" s="2" t="s">
        <v>350</v>
      </c>
      <c r="D881" s="2" t="s">
        <v>288</v>
      </c>
      <c r="E881" s="2" t="s">
        <v>369</v>
      </c>
      <c r="F881" s="2" t="s">
        <v>89</v>
      </c>
      <c r="G881" s="3">
        <v>390000</v>
      </c>
      <c r="H881" s="8">
        <v>20</v>
      </c>
      <c r="I881" s="3">
        <v>1099999.9998000008</v>
      </c>
      <c r="J881" s="3">
        <v>1099999.9998000008</v>
      </c>
    </row>
    <row r="882" spans="1:10" x14ac:dyDescent="0.25">
      <c r="A882" s="2">
        <v>882</v>
      </c>
      <c r="B882" s="18">
        <v>45610.708287037036</v>
      </c>
      <c r="C882" s="2" t="s">
        <v>350</v>
      </c>
      <c r="D882" s="2" t="s">
        <v>288</v>
      </c>
      <c r="E882" s="2" t="s">
        <v>369</v>
      </c>
      <c r="F882" s="2" t="s">
        <v>23</v>
      </c>
      <c r="G882" s="3">
        <v>775000</v>
      </c>
      <c r="H882" s="8">
        <v>36</v>
      </c>
      <c r="I882" s="3">
        <v>18693000</v>
      </c>
      <c r="J882" s="3">
        <v>18693000</v>
      </c>
    </row>
    <row r="883" spans="1:10" x14ac:dyDescent="0.25">
      <c r="A883" s="2">
        <v>883</v>
      </c>
      <c r="B883" s="18">
        <v>45611.708287037036</v>
      </c>
      <c r="C883" s="2" t="s">
        <v>350</v>
      </c>
      <c r="D883" s="2" t="s">
        <v>268</v>
      </c>
      <c r="E883" s="2" t="s">
        <v>371</v>
      </c>
      <c r="F883" s="2" t="s">
        <v>33</v>
      </c>
      <c r="G883" s="3">
        <v>485000</v>
      </c>
      <c r="H883" s="8">
        <v>23</v>
      </c>
      <c r="I883" s="3">
        <v>5019750</v>
      </c>
      <c r="J883" s="3">
        <v>5019750</v>
      </c>
    </row>
    <row r="884" spans="1:10" x14ac:dyDescent="0.25">
      <c r="A884" s="2">
        <v>884</v>
      </c>
      <c r="B884" s="18">
        <v>45611.708287037036</v>
      </c>
      <c r="C884" s="2" t="s">
        <v>350</v>
      </c>
      <c r="D884" s="2" t="s">
        <v>268</v>
      </c>
      <c r="E884" s="2" t="s">
        <v>371</v>
      </c>
      <c r="F884" s="2" t="s">
        <v>59</v>
      </c>
      <c r="G884" s="3">
        <v>475000</v>
      </c>
      <c r="H884" s="8">
        <v>9</v>
      </c>
      <c r="I884" s="3">
        <v>1923749.9999999998</v>
      </c>
      <c r="J884" s="3">
        <v>1923749.9999999998</v>
      </c>
    </row>
    <row r="885" spans="1:10" x14ac:dyDescent="0.25">
      <c r="A885" s="2">
        <v>885</v>
      </c>
      <c r="B885" s="18">
        <v>45611.708287037036</v>
      </c>
      <c r="C885" s="2" t="s">
        <v>350</v>
      </c>
      <c r="D885" s="2" t="s">
        <v>268</v>
      </c>
      <c r="E885" s="2" t="s">
        <v>371</v>
      </c>
      <c r="F885" s="2" t="s">
        <v>31</v>
      </c>
      <c r="G885" s="3">
        <v>745000</v>
      </c>
      <c r="H885" s="8">
        <v>23</v>
      </c>
      <c r="I885" s="3">
        <v>8567500</v>
      </c>
      <c r="J885" s="3">
        <v>8567500</v>
      </c>
    </row>
    <row r="886" spans="1:10" x14ac:dyDescent="0.25">
      <c r="A886" s="2">
        <v>886</v>
      </c>
      <c r="B886" s="18">
        <v>45611.708287037036</v>
      </c>
      <c r="C886" s="2" t="s">
        <v>350</v>
      </c>
      <c r="D886" s="2" t="s">
        <v>268</v>
      </c>
      <c r="E886" s="2" t="s">
        <v>371</v>
      </c>
      <c r="F886" s="2" t="s">
        <v>57</v>
      </c>
      <c r="G886" s="3">
        <v>745000</v>
      </c>
      <c r="H886" s="8">
        <v>9</v>
      </c>
      <c r="I886" s="3">
        <v>3352500</v>
      </c>
      <c r="J886" s="3">
        <v>3352500</v>
      </c>
    </row>
    <row r="887" spans="1:10" x14ac:dyDescent="0.25">
      <c r="A887" s="2">
        <v>887</v>
      </c>
      <c r="B887" s="18">
        <v>45611.708287037036</v>
      </c>
      <c r="C887" s="2" t="s">
        <v>350</v>
      </c>
      <c r="D887" s="2" t="s">
        <v>268</v>
      </c>
      <c r="E887" s="2" t="s">
        <v>371</v>
      </c>
      <c r="F887" s="2" t="s">
        <v>19</v>
      </c>
      <c r="G887" s="3">
        <v>590000</v>
      </c>
      <c r="H887" s="8">
        <v>13</v>
      </c>
      <c r="I887" s="3">
        <v>3835000</v>
      </c>
      <c r="J887" s="3">
        <v>3835000</v>
      </c>
    </row>
    <row r="888" spans="1:10" x14ac:dyDescent="0.25">
      <c r="A888" s="2">
        <v>888</v>
      </c>
      <c r="B888" s="18">
        <v>45611.708287037036</v>
      </c>
      <c r="C888" s="2" t="s">
        <v>350</v>
      </c>
      <c r="D888" s="2" t="s">
        <v>268</v>
      </c>
      <c r="E888" s="2" t="s">
        <v>371</v>
      </c>
      <c r="F888" s="2" t="s">
        <v>27</v>
      </c>
      <c r="G888" s="3">
        <v>935000</v>
      </c>
      <c r="H888" s="8">
        <v>55</v>
      </c>
      <c r="I888" s="3">
        <v>25712500</v>
      </c>
      <c r="J888" s="3">
        <v>25712500</v>
      </c>
    </row>
    <row r="889" spans="1:10" x14ac:dyDescent="0.25">
      <c r="A889" s="2">
        <v>889</v>
      </c>
      <c r="B889" s="18">
        <v>45613.708287037036</v>
      </c>
      <c r="C889" s="2" t="s">
        <v>350</v>
      </c>
      <c r="D889" s="2" t="s">
        <v>267</v>
      </c>
      <c r="E889" s="2" t="s">
        <v>371</v>
      </c>
      <c r="F889" s="2" t="s">
        <v>33</v>
      </c>
      <c r="G889" s="3">
        <v>485000</v>
      </c>
      <c r="H889" s="8">
        <v>2</v>
      </c>
      <c r="I889" s="3">
        <v>436500</v>
      </c>
      <c r="J889" s="3">
        <v>436500</v>
      </c>
    </row>
    <row r="890" spans="1:10" x14ac:dyDescent="0.25">
      <c r="A890" s="2">
        <v>890</v>
      </c>
      <c r="B890" s="18">
        <v>45613.708287037036</v>
      </c>
      <c r="C890" s="2" t="s">
        <v>350</v>
      </c>
      <c r="D890" s="2" t="s">
        <v>267</v>
      </c>
      <c r="E890" s="2" t="s">
        <v>371</v>
      </c>
      <c r="F890" s="2" t="s">
        <v>59</v>
      </c>
      <c r="G890" s="3">
        <v>475000</v>
      </c>
      <c r="H890" s="8">
        <v>84</v>
      </c>
      <c r="I890" s="3">
        <v>17954999.999999996</v>
      </c>
      <c r="J890" s="3">
        <v>17954999.999999996</v>
      </c>
    </row>
    <row r="891" spans="1:10" x14ac:dyDescent="0.25">
      <c r="A891" s="2">
        <v>891</v>
      </c>
      <c r="B891" s="18">
        <v>45613.708287037036</v>
      </c>
      <c r="C891" s="2" t="s">
        <v>350</v>
      </c>
      <c r="D891" s="2" t="s">
        <v>267</v>
      </c>
      <c r="E891" s="2" t="s">
        <v>371</v>
      </c>
      <c r="F891" s="2" t="s">
        <v>31</v>
      </c>
      <c r="G891" s="3">
        <v>745000</v>
      </c>
      <c r="H891" s="8">
        <v>117</v>
      </c>
      <c r="I891" s="3">
        <v>43582500</v>
      </c>
      <c r="J891" s="3">
        <v>43582500</v>
      </c>
    </row>
    <row r="892" spans="1:10" x14ac:dyDescent="0.25">
      <c r="A892" s="2">
        <v>892</v>
      </c>
      <c r="B892" s="18">
        <v>45613.708287037036</v>
      </c>
      <c r="C892" s="2" t="s">
        <v>350</v>
      </c>
      <c r="D892" s="2" t="s">
        <v>267</v>
      </c>
      <c r="E892" s="2" t="s">
        <v>371</v>
      </c>
      <c r="F892" s="2" t="s">
        <v>57</v>
      </c>
      <c r="G892" s="3">
        <v>745000</v>
      </c>
      <c r="H892" s="8">
        <v>84</v>
      </c>
      <c r="I892" s="3">
        <v>31290000</v>
      </c>
      <c r="J892" s="3">
        <v>31290000</v>
      </c>
    </row>
    <row r="893" spans="1:10" x14ac:dyDescent="0.25">
      <c r="A893" s="2">
        <v>893</v>
      </c>
      <c r="B893" s="18">
        <v>45613.708287037036</v>
      </c>
      <c r="C893" s="2" t="s">
        <v>350</v>
      </c>
      <c r="D893" s="2" t="s">
        <v>267</v>
      </c>
      <c r="E893" s="2" t="s">
        <v>371</v>
      </c>
      <c r="F893" s="2" t="s">
        <v>19</v>
      </c>
      <c r="G893" s="3">
        <v>590000</v>
      </c>
      <c r="H893" s="8">
        <v>26</v>
      </c>
      <c r="I893" s="3">
        <v>7670000</v>
      </c>
      <c r="J893" s="3">
        <v>7670000</v>
      </c>
    </row>
    <row r="894" spans="1:10" x14ac:dyDescent="0.25">
      <c r="A894" s="2">
        <v>894</v>
      </c>
      <c r="B894" s="18">
        <v>45613.708287037036</v>
      </c>
      <c r="C894" s="2" t="s">
        <v>350</v>
      </c>
      <c r="D894" s="2" t="s">
        <v>72</v>
      </c>
      <c r="E894" s="2" t="s">
        <v>364</v>
      </c>
      <c r="F894" s="2" t="s">
        <v>25</v>
      </c>
      <c r="G894" s="3">
        <v>890000</v>
      </c>
      <c r="H894" s="8">
        <v>500</v>
      </c>
      <c r="I894" s="3">
        <v>400500000</v>
      </c>
      <c r="J894" s="3">
        <v>348435000</v>
      </c>
    </row>
    <row r="895" spans="1:10" x14ac:dyDescent="0.25">
      <c r="A895" s="2">
        <v>895</v>
      </c>
      <c r="B895" s="18">
        <v>45613.708287037036</v>
      </c>
      <c r="C895" s="2" t="s">
        <v>350</v>
      </c>
      <c r="D895" s="2" t="s">
        <v>72</v>
      </c>
      <c r="E895" s="2" t="s">
        <v>364</v>
      </c>
      <c r="F895" s="2" t="s">
        <v>25</v>
      </c>
      <c r="G895" s="3">
        <v>890000</v>
      </c>
      <c r="H895" s="8">
        <v>300</v>
      </c>
      <c r="I895" s="3">
        <v>0</v>
      </c>
      <c r="J895" s="3">
        <v>0</v>
      </c>
    </row>
    <row r="896" spans="1:10" x14ac:dyDescent="0.25">
      <c r="A896" s="2">
        <v>896</v>
      </c>
      <c r="B896" s="18">
        <v>45613.708287037036</v>
      </c>
      <c r="C896" s="2" t="s">
        <v>350</v>
      </c>
      <c r="D896" s="2" t="s">
        <v>72</v>
      </c>
      <c r="E896" s="2" t="s">
        <v>364</v>
      </c>
      <c r="F896" s="2" t="s">
        <v>57</v>
      </c>
      <c r="G896" s="3">
        <v>745000</v>
      </c>
      <c r="H896" s="8">
        <v>200</v>
      </c>
      <c r="I896" s="3">
        <v>149000000</v>
      </c>
      <c r="J896" s="3">
        <v>137080000</v>
      </c>
    </row>
    <row r="897" spans="1:10" x14ac:dyDescent="0.25">
      <c r="A897" s="2">
        <v>897</v>
      </c>
      <c r="B897" s="18">
        <v>45613.708287037036</v>
      </c>
      <c r="C897" s="2" t="s">
        <v>350</v>
      </c>
      <c r="D897" s="2" t="s">
        <v>72</v>
      </c>
      <c r="E897" s="2" t="s">
        <v>364</v>
      </c>
      <c r="F897" s="2" t="s">
        <v>57</v>
      </c>
      <c r="G897" s="3">
        <v>745000</v>
      </c>
      <c r="H897" s="8">
        <v>60</v>
      </c>
      <c r="I897" s="3">
        <v>0</v>
      </c>
      <c r="J897" s="3">
        <v>0</v>
      </c>
    </row>
    <row r="898" spans="1:10" x14ac:dyDescent="0.25">
      <c r="A898" s="2">
        <v>898</v>
      </c>
      <c r="B898" s="18">
        <v>45613.708287037036</v>
      </c>
      <c r="C898" s="2" t="s">
        <v>350</v>
      </c>
      <c r="D898" s="2" t="s">
        <v>72</v>
      </c>
      <c r="E898" s="2" t="s">
        <v>364</v>
      </c>
      <c r="F898" s="2" t="s">
        <v>59</v>
      </c>
      <c r="G898" s="3">
        <v>475000</v>
      </c>
      <c r="H898" s="8">
        <v>260</v>
      </c>
      <c r="I898" s="3">
        <v>0</v>
      </c>
      <c r="J898" s="3">
        <v>0</v>
      </c>
    </row>
    <row r="899" spans="1:10" x14ac:dyDescent="0.25">
      <c r="A899" s="2">
        <v>899</v>
      </c>
      <c r="B899" s="18">
        <v>45613.708287037036</v>
      </c>
      <c r="C899" s="2" t="s">
        <v>350</v>
      </c>
      <c r="D899" s="2" t="s">
        <v>303</v>
      </c>
      <c r="E899" s="2" t="s">
        <v>366</v>
      </c>
      <c r="F899" s="2" t="s">
        <v>31</v>
      </c>
      <c r="G899" s="3">
        <v>745000</v>
      </c>
      <c r="H899" s="8">
        <v>10</v>
      </c>
      <c r="I899" s="3">
        <v>4470000</v>
      </c>
      <c r="J899" s="3">
        <v>4470000</v>
      </c>
    </row>
    <row r="900" spans="1:10" x14ac:dyDescent="0.25">
      <c r="A900" s="2">
        <v>900</v>
      </c>
      <c r="B900" s="18">
        <v>45613.708287037036</v>
      </c>
      <c r="C900" s="2" t="s">
        <v>350</v>
      </c>
      <c r="D900" s="2" t="s">
        <v>34</v>
      </c>
      <c r="E900" s="2" t="s">
        <v>370</v>
      </c>
      <c r="F900" s="2" t="s">
        <v>421</v>
      </c>
      <c r="G900" s="3">
        <v>0</v>
      </c>
      <c r="H900" s="8">
        <v>0</v>
      </c>
      <c r="I900" s="3">
        <v>0</v>
      </c>
      <c r="J900" s="3">
        <v>0</v>
      </c>
    </row>
    <row r="901" spans="1:10" x14ac:dyDescent="0.25">
      <c r="A901" s="2">
        <v>901</v>
      </c>
      <c r="B901" s="18">
        <v>45613.708287037036</v>
      </c>
      <c r="C901" s="2" t="s">
        <v>350</v>
      </c>
      <c r="D901" s="2" t="s">
        <v>241</v>
      </c>
      <c r="E901" s="2" t="s">
        <v>367</v>
      </c>
      <c r="F901" s="2" t="s">
        <v>63</v>
      </c>
      <c r="G901" s="3">
        <v>550000</v>
      </c>
      <c r="H901" s="8">
        <v>1</v>
      </c>
      <c r="I901" s="3">
        <v>495000</v>
      </c>
      <c r="J901" s="3">
        <v>495000</v>
      </c>
    </row>
    <row r="902" spans="1:10" x14ac:dyDescent="0.25">
      <c r="A902" s="2">
        <v>902</v>
      </c>
      <c r="B902" s="18">
        <v>45613.708287037036</v>
      </c>
      <c r="C902" s="2" t="s">
        <v>350</v>
      </c>
      <c r="D902" s="2" t="s">
        <v>241</v>
      </c>
      <c r="E902" s="2" t="s">
        <v>367</v>
      </c>
      <c r="F902" s="2" t="s">
        <v>89</v>
      </c>
      <c r="G902" s="3">
        <v>390000</v>
      </c>
      <c r="H902" s="8">
        <v>1</v>
      </c>
      <c r="I902" s="3">
        <v>0</v>
      </c>
      <c r="J902" s="3">
        <v>0</v>
      </c>
    </row>
    <row r="903" spans="1:10" x14ac:dyDescent="0.25">
      <c r="A903" s="2">
        <v>903</v>
      </c>
      <c r="B903" s="18">
        <v>45614.708287037036</v>
      </c>
      <c r="C903" s="2" t="s">
        <v>350</v>
      </c>
      <c r="D903" s="2" t="s">
        <v>277</v>
      </c>
      <c r="E903" s="2" t="s">
        <v>369</v>
      </c>
      <c r="F903" s="2" t="s">
        <v>25</v>
      </c>
      <c r="G903" s="3">
        <v>890000</v>
      </c>
      <c r="H903" s="8">
        <v>10</v>
      </c>
      <c r="I903" s="3">
        <v>8010000</v>
      </c>
      <c r="J903" s="3">
        <v>8010000</v>
      </c>
    </row>
    <row r="904" spans="1:10" x14ac:dyDescent="0.25">
      <c r="A904" s="2">
        <v>904</v>
      </c>
      <c r="B904" s="18">
        <v>45614.708287037036</v>
      </c>
      <c r="C904" s="2" t="s">
        <v>350</v>
      </c>
      <c r="D904" s="2" t="s">
        <v>277</v>
      </c>
      <c r="E904" s="2" t="s">
        <v>369</v>
      </c>
      <c r="F904" s="2" t="s">
        <v>25</v>
      </c>
      <c r="G904" s="3">
        <v>890000</v>
      </c>
      <c r="H904" s="8">
        <v>3</v>
      </c>
      <c r="I904" s="3">
        <v>0</v>
      </c>
      <c r="J904" s="3">
        <v>0</v>
      </c>
    </row>
    <row r="905" spans="1:10" x14ac:dyDescent="0.25">
      <c r="A905" s="2">
        <v>905</v>
      </c>
      <c r="B905" s="18">
        <v>45614.708287037036</v>
      </c>
      <c r="C905" s="2" t="s">
        <v>350</v>
      </c>
      <c r="D905" s="2" t="s">
        <v>277</v>
      </c>
      <c r="E905" s="2" t="s">
        <v>369</v>
      </c>
      <c r="F905" s="2" t="s">
        <v>29</v>
      </c>
      <c r="G905" s="3">
        <v>590000</v>
      </c>
      <c r="H905" s="8">
        <v>5</v>
      </c>
      <c r="I905" s="3">
        <v>2212500</v>
      </c>
      <c r="J905" s="3">
        <v>2212500</v>
      </c>
    </row>
    <row r="906" spans="1:10" x14ac:dyDescent="0.25">
      <c r="A906" s="2">
        <v>906</v>
      </c>
      <c r="B906" s="18">
        <v>45614.708287037036</v>
      </c>
      <c r="C906" s="2" t="s">
        <v>350</v>
      </c>
      <c r="D906" s="2" t="s">
        <v>277</v>
      </c>
      <c r="E906" s="2" t="s">
        <v>369</v>
      </c>
      <c r="F906" s="2" t="s">
        <v>35</v>
      </c>
      <c r="G906" s="3">
        <v>525000</v>
      </c>
      <c r="H906" s="8">
        <v>1</v>
      </c>
      <c r="I906" s="3">
        <v>0</v>
      </c>
      <c r="J906" s="3">
        <v>0</v>
      </c>
    </row>
    <row r="907" spans="1:10" x14ac:dyDescent="0.25">
      <c r="A907" s="2">
        <v>907</v>
      </c>
      <c r="B907" s="18">
        <v>45614.708287037036</v>
      </c>
      <c r="C907" s="2" t="s">
        <v>350</v>
      </c>
      <c r="D907" s="2" t="s">
        <v>296</v>
      </c>
      <c r="E907" s="2" t="s">
        <v>363</v>
      </c>
      <c r="F907" s="2" t="s">
        <v>51</v>
      </c>
      <c r="G907" s="3">
        <v>465000</v>
      </c>
      <c r="H907" s="8">
        <v>1</v>
      </c>
      <c r="I907" s="3">
        <v>0</v>
      </c>
      <c r="J907" s="3">
        <v>0</v>
      </c>
    </row>
    <row r="908" spans="1:10" x14ac:dyDescent="0.25">
      <c r="A908" s="2">
        <v>908</v>
      </c>
      <c r="B908" s="18">
        <v>45614.708287037036</v>
      </c>
      <c r="C908" s="2" t="s">
        <v>350</v>
      </c>
      <c r="D908" s="2" t="s">
        <v>92</v>
      </c>
      <c r="E908" s="2" t="s">
        <v>365</v>
      </c>
      <c r="F908" s="2" t="s">
        <v>25</v>
      </c>
      <c r="G908" s="3">
        <v>890000</v>
      </c>
      <c r="H908" s="8">
        <v>8</v>
      </c>
      <c r="I908" s="3">
        <v>4272000</v>
      </c>
      <c r="J908" s="3">
        <v>4272000</v>
      </c>
    </row>
    <row r="909" spans="1:10" x14ac:dyDescent="0.25">
      <c r="A909" s="2">
        <v>909</v>
      </c>
      <c r="B909" s="18">
        <v>45614.708287037036</v>
      </c>
      <c r="C909" s="2" t="s">
        <v>350</v>
      </c>
      <c r="D909" s="2" t="s">
        <v>92</v>
      </c>
      <c r="E909" s="2" t="s">
        <v>365</v>
      </c>
      <c r="F909" s="2" t="s">
        <v>23</v>
      </c>
      <c r="G909" s="3">
        <v>775000</v>
      </c>
      <c r="H909" s="8">
        <v>2</v>
      </c>
      <c r="I909" s="3">
        <v>1085000</v>
      </c>
      <c r="J909" s="3">
        <v>1085000</v>
      </c>
    </row>
    <row r="910" spans="1:10" x14ac:dyDescent="0.25">
      <c r="A910" s="2">
        <v>910</v>
      </c>
      <c r="B910" s="18">
        <v>45614.708287037036</v>
      </c>
      <c r="C910" s="2" t="s">
        <v>350</v>
      </c>
      <c r="D910" s="2" t="s">
        <v>161</v>
      </c>
      <c r="E910" s="2" t="s">
        <v>367</v>
      </c>
      <c r="F910" s="2" t="s">
        <v>33</v>
      </c>
      <c r="G910" s="3">
        <v>485000</v>
      </c>
      <c r="H910" s="8">
        <v>1</v>
      </c>
      <c r="I910" s="3">
        <v>0</v>
      </c>
      <c r="J910" s="3">
        <v>0</v>
      </c>
    </row>
    <row r="911" spans="1:10" x14ac:dyDescent="0.25">
      <c r="A911" s="2">
        <v>911</v>
      </c>
      <c r="B911" s="18">
        <v>45614.708287037036</v>
      </c>
      <c r="C911" s="2" t="s">
        <v>350</v>
      </c>
      <c r="D911" s="2" t="s">
        <v>147</v>
      </c>
      <c r="E911" s="2" t="s">
        <v>367</v>
      </c>
      <c r="F911" s="2" t="s">
        <v>79</v>
      </c>
      <c r="G911" s="3">
        <v>150000</v>
      </c>
      <c r="H911" s="8">
        <v>1</v>
      </c>
      <c r="I911" s="3">
        <v>0</v>
      </c>
      <c r="J911" s="3">
        <v>0</v>
      </c>
    </row>
    <row r="912" spans="1:10" x14ac:dyDescent="0.25">
      <c r="A912" s="2">
        <v>912</v>
      </c>
      <c r="B912" s="18">
        <v>45614.708287037036</v>
      </c>
      <c r="C912" s="2" t="s">
        <v>350</v>
      </c>
      <c r="D912" s="2" t="s">
        <v>204</v>
      </c>
      <c r="E912" s="2" t="s">
        <v>367</v>
      </c>
      <c r="F912" s="2" t="s">
        <v>79</v>
      </c>
      <c r="G912" s="3">
        <v>150000</v>
      </c>
      <c r="H912" s="8">
        <v>1</v>
      </c>
      <c r="I912" s="3">
        <v>0</v>
      </c>
      <c r="J912" s="3">
        <v>0</v>
      </c>
    </row>
    <row r="913" spans="1:10" x14ac:dyDescent="0.25">
      <c r="A913" s="2">
        <v>913</v>
      </c>
      <c r="B913" s="18">
        <v>45614.708287037036</v>
      </c>
      <c r="C913" s="2" t="s">
        <v>350</v>
      </c>
      <c r="D913" s="2" t="s">
        <v>137</v>
      </c>
      <c r="E913" s="2" t="s">
        <v>367</v>
      </c>
      <c r="F913" s="2" t="s">
        <v>79</v>
      </c>
      <c r="G913" s="3">
        <v>150000</v>
      </c>
      <c r="H913" s="8">
        <v>1</v>
      </c>
      <c r="I913" s="3">
        <v>0</v>
      </c>
      <c r="J913" s="3">
        <v>0</v>
      </c>
    </row>
    <row r="914" spans="1:10" x14ac:dyDescent="0.25">
      <c r="A914" s="2">
        <v>914</v>
      </c>
      <c r="B914" s="18">
        <v>45615.708287037036</v>
      </c>
      <c r="C914" s="2" t="s">
        <v>350</v>
      </c>
      <c r="D914" s="2" t="s">
        <v>318</v>
      </c>
      <c r="E914" s="2" t="s">
        <v>363</v>
      </c>
      <c r="F914" s="2" t="s">
        <v>31</v>
      </c>
      <c r="G914" s="3">
        <v>745000</v>
      </c>
      <c r="H914" s="8">
        <v>20</v>
      </c>
      <c r="I914" s="3">
        <v>14900000</v>
      </c>
      <c r="J914" s="3">
        <v>14900000</v>
      </c>
    </row>
    <row r="915" spans="1:10" x14ac:dyDescent="0.25">
      <c r="A915" s="2">
        <v>915</v>
      </c>
      <c r="B915" s="18">
        <v>45615.708287037036</v>
      </c>
      <c r="C915" s="2" t="s">
        <v>350</v>
      </c>
      <c r="D915" s="2" t="s">
        <v>318</v>
      </c>
      <c r="E915" s="2" t="s">
        <v>363</v>
      </c>
      <c r="F915" s="2" t="s">
        <v>59</v>
      </c>
      <c r="G915" s="3">
        <v>475000</v>
      </c>
      <c r="H915" s="8">
        <v>20</v>
      </c>
      <c r="I915" s="3">
        <v>0</v>
      </c>
      <c r="J915" s="3">
        <v>0</v>
      </c>
    </row>
    <row r="916" spans="1:10" x14ac:dyDescent="0.25">
      <c r="A916" s="2">
        <v>916</v>
      </c>
      <c r="B916" s="18">
        <v>45615.708287037036</v>
      </c>
      <c r="C916" s="2" t="s">
        <v>350</v>
      </c>
      <c r="D916" s="2" t="s">
        <v>319</v>
      </c>
      <c r="E916" s="2" t="s">
        <v>367</v>
      </c>
      <c r="F916" s="2" t="s">
        <v>31</v>
      </c>
      <c r="G916" s="3">
        <v>745000</v>
      </c>
      <c r="H916" s="8">
        <v>6</v>
      </c>
      <c r="I916" s="3">
        <v>0</v>
      </c>
      <c r="J916" s="3">
        <v>0</v>
      </c>
    </row>
    <row r="917" spans="1:10" x14ac:dyDescent="0.25">
      <c r="A917" s="2">
        <v>917</v>
      </c>
      <c r="B917" s="18">
        <v>45615.708287037036</v>
      </c>
      <c r="C917" s="2" t="s">
        <v>350</v>
      </c>
      <c r="D917" s="2" t="s">
        <v>319</v>
      </c>
      <c r="E917" s="2" t="s">
        <v>367</v>
      </c>
      <c r="F917" s="2" t="s">
        <v>59</v>
      </c>
      <c r="G917" s="3">
        <v>475000</v>
      </c>
      <c r="H917" s="8">
        <v>6</v>
      </c>
      <c r="I917" s="3">
        <v>0</v>
      </c>
      <c r="J917" s="3">
        <v>0</v>
      </c>
    </row>
    <row r="918" spans="1:10" x14ac:dyDescent="0.25">
      <c r="A918" s="2">
        <v>918</v>
      </c>
      <c r="B918" s="18">
        <v>45615.708287037036</v>
      </c>
      <c r="C918" s="2" t="s">
        <v>350</v>
      </c>
      <c r="D918" s="2" t="s">
        <v>268</v>
      </c>
      <c r="E918" s="2" t="s">
        <v>371</v>
      </c>
      <c r="F918" s="2" t="s">
        <v>25</v>
      </c>
      <c r="G918" s="3">
        <v>890000</v>
      </c>
      <c r="H918" s="8">
        <v>1</v>
      </c>
      <c r="I918" s="3">
        <v>0</v>
      </c>
      <c r="J918" s="3">
        <v>0</v>
      </c>
    </row>
    <row r="919" spans="1:10" x14ac:dyDescent="0.25">
      <c r="A919" s="2">
        <v>919</v>
      </c>
      <c r="B919" s="18">
        <v>45615.708287037036</v>
      </c>
      <c r="C919" s="2" t="s">
        <v>350</v>
      </c>
      <c r="D919" s="2" t="s">
        <v>268</v>
      </c>
      <c r="E919" s="2" t="s">
        <v>371</v>
      </c>
      <c r="F919" s="2" t="s">
        <v>73</v>
      </c>
      <c r="G919" s="3">
        <v>1350000</v>
      </c>
      <c r="H919" s="8">
        <v>1</v>
      </c>
      <c r="I919" s="3">
        <v>0</v>
      </c>
      <c r="J919" s="3">
        <v>0</v>
      </c>
    </row>
    <row r="920" spans="1:10" x14ac:dyDescent="0.25">
      <c r="A920" s="2">
        <v>920</v>
      </c>
      <c r="B920" s="18">
        <v>45615.708287037036</v>
      </c>
      <c r="C920" s="2" t="s">
        <v>350</v>
      </c>
      <c r="D920" s="2" t="s">
        <v>268</v>
      </c>
      <c r="E920" s="2" t="s">
        <v>371</v>
      </c>
      <c r="F920" s="2" t="s">
        <v>53</v>
      </c>
      <c r="G920" s="3">
        <v>550000</v>
      </c>
      <c r="H920" s="8">
        <v>1</v>
      </c>
      <c r="I920" s="3">
        <v>0</v>
      </c>
      <c r="J920" s="3">
        <v>0</v>
      </c>
    </row>
    <row r="921" spans="1:10" x14ac:dyDescent="0.25">
      <c r="A921" s="2">
        <v>921</v>
      </c>
      <c r="B921" s="18">
        <v>45615.708287037036</v>
      </c>
      <c r="C921" s="2" t="s">
        <v>350</v>
      </c>
      <c r="D921" s="2" t="s">
        <v>96</v>
      </c>
      <c r="E921" s="2" t="s">
        <v>369</v>
      </c>
      <c r="F921" s="2" t="s">
        <v>59</v>
      </c>
      <c r="G921" s="3">
        <v>475000</v>
      </c>
      <c r="H921" s="8">
        <v>50</v>
      </c>
      <c r="I921" s="3">
        <v>17812500</v>
      </c>
      <c r="J921" s="3">
        <v>17812500</v>
      </c>
    </row>
    <row r="922" spans="1:10" x14ac:dyDescent="0.25">
      <c r="A922" s="2">
        <v>922</v>
      </c>
      <c r="B922" s="18">
        <v>45615.708287037036</v>
      </c>
      <c r="C922" s="2" t="s">
        <v>350</v>
      </c>
      <c r="D922" s="2" t="s">
        <v>96</v>
      </c>
      <c r="E922" s="2" t="s">
        <v>369</v>
      </c>
      <c r="F922" s="2" t="s">
        <v>59</v>
      </c>
      <c r="G922" s="3">
        <v>475000</v>
      </c>
      <c r="H922" s="8">
        <v>6</v>
      </c>
      <c r="I922" s="3">
        <v>0</v>
      </c>
      <c r="J922" s="3">
        <v>0</v>
      </c>
    </row>
    <row r="923" spans="1:10" x14ac:dyDescent="0.25">
      <c r="A923" s="2">
        <v>923</v>
      </c>
      <c r="B923" s="18">
        <v>45615.708287037036</v>
      </c>
      <c r="C923" s="2" t="s">
        <v>350</v>
      </c>
      <c r="D923" s="2" t="s">
        <v>96</v>
      </c>
      <c r="E923" s="2" t="s">
        <v>369</v>
      </c>
      <c r="F923" s="2" t="s">
        <v>47</v>
      </c>
      <c r="G923" s="3">
        <v>200000</v>
      </c>
      <c r="H923" s="8">
        <v>50</v>
      </c>
      <c r="I923" s="3">
        <v>0</v>
      </c>
      <c r="J923" s="3">
        <v>0</v>
      </c>
    </row>
    <row r="924" spans="1:10" x14ac:dyDescent="0.25">
      <c r="A924" s="2">
        <v>924</v>
      </c>
      <c r="B924" s="18">
        <v>45615.708287037036</v>
      </c>
      <c r="C924" s="2" t="s">
        <v>350</v>
      </c>
      <c r="D924" s="2" t="s">
        <v>96</v>
      </c>
      <c r="E924" s="2" t="s">
        <v>369</v>
      </c>
      <c r="F924" s="2" t="s">
        <v>25</v>
      </c>
      <c r="G924" s="3">
        <v>890000</v>
      </c>
      <c r="H924" s="8">
        <v>100</v>
      </c>
      <c r="I924" s="3">
        <v>43500000.005</v>
      </c>
      <c r="J924" s="3">
        <v>43500000.005</v>
      </c>
    </row>
    <row r="925" spans="1:10" x14ac:dyDescent="0.25">
      <c r="A925" s="2">
        <v>925</v>
      </c>
      <c r="B925" s="18">
        <v>45615.708287037036</v>
      </c>
      <c r="C925" s="2" t="s">
        <v>350</v>
      </c>
      <c r="D925" s="2" t="s">
        <v>96</v>
      </c>
      <c r="E925" s="2" t="s">
        <v>369</v>
      </c>
      <c r="F925" s="2" t="s">
        <v>29</v>
      </c>
      <c r="G925" s="3">
        <v>590000</v>
      </c>
      <c r="H925" s="8">
        <v>32</v>
      </c>
      <c r="I925" s="3">
        <v>14160000</v>
      </c>
      <c r="J925" s="3">
        <v>14160000</v>
      </c>
    </row>
    <row r="926" spans="1:10" x14ac:dyDescent="0.25">
      <c r="A926" s="2">
        <v>926</v>
      </c>
      <c r="B926" s="18">
        <v>45615.708287037036</v>
      </c>
      <c r="C926" s="2" t="s">
        <v>350</v>
      </c>
      <c r="D926" s="2" t="s">
        <v>96</v>
      </c>
      <c r="E926" s="2" t="s">
        <v>369</v>
      </c>
      <c r="F926" s="2" t="s">
        <v>29</v>
      </c>
      <c r="G926" s="3">
        <v>590000</v>
      </c>
      <c r="H926" s="8">
        <v>4</v>
      </c>
      <c r="I926" s="3">
        <v>0</v>
      </c>
      <c r="J926" s="3">
        <v>0</v>
      </c>
    </row>
    <row r="927" spans="1:10" x14ac:dyDescent="0.25">
      <c r="A927" s="2">
        <v>927</v>
      </c>
      <c r="B927" s="18">
        <v>45615.708287037036</v>
      </c>
      <c r="C927" s="2" t="s">
        <v>350</v>
      </c>
      <c r="D927" s="2" t="s">
        <v>72</v>
      </c>
      <c r="E927" s="2" t="s">
        <v>364</v>
      </c>
      <c r="F927" s="2" t="s">
        <v>53</v>
      </c>
      <c r="G927" s="3">
        <v>550000</v>
      </c>
      <c r="H927" s="8">
        <v>20</v>
      </c>
      <c r="I927" s="3">
        <v>3828000</v>
      </c>
      <c r="J927" s="3">
        <v>3828000</v>
      </c>
    </row>
    <row r="928" spans="1:10" x14ac:dyDescent="0.25">
      <c r="A928" s="2">
        <v>928</v>
      </c>
      <c r="B928" s="18">
        <v>45615.708287037036</v>
      </c>
      <c r="C928" s="2" t="s">
        <v>350</v>
      </c>
      <c r="D928" s="2" t="s">
        <v>74</v>
      </c>
      <c r="E928" s="2" t="s">
        <v>369</v>
      </c>
      <c r="F928" s="2" t="s">
        <v>33</v>
      </c>
      <c r="G928" s="3">
        <v>485000</v>
      </c>
      <c r="H928" s="8">
        <v>1</v>
      </c>
      <c r="I928" s="3">
        <v>0</v>
      </c>
      <c r="J928" s="3">
        <v>0</v>
      </c>
    </row>
    <row r="929" spans="1:10" x14ac:dyDescent="0.25">
      <c r="A929" s="2">
        <v>929</v>
      </c>
      <c r="B929" s="18">
        <v>45615.708287037036</v>
      </c>
      <c r="C929" s="2" t="s">
        <v>350</v>
      </c>
      <c r="D929" s="2" t="s">
        <v>74</v>
      </c>
      <c r="E929" s="2" t="s">
        <v>369</v>
      </c>
      <c r="F929" s="2" t="s">
        <v>59</v>
      </c>
      <c r="G929" s="3">
        <v>475000</v>
      </c>
      <c r="H929" s="8">
        <v>1</v>
      </c>
      <c r="I929" s="3">
        <v>0</v>
      </c>
      <c r="J929" s="3">
        <v>0</v>
      </c>
    </row>
    <row r="930" spans="1:10" x14ac:dyDescent="0.25">
      <c r="A930" s="2">
        <v>930</v>
      </c>
      <c r="B930" s="18">
        <v>45616.708287037036</v>
      </c>
      <c r="C930" s="2" t="s">
        <v>350</v>
      </c>
      <c r="D930" s="2" t="s">
        <v>2</v>
      </c>
      <c r="E930" s="2" t="s">
        <v>370</v>
      </c>
      <c r="F930" s="2" t="s">
        <v>19</v>
      </c>
      <c r="G930" s="3">
        <v>590000</v>
      </c>
      <c r="H930" s="8">
        <v>6</v>
      </c>
      <c r="I930" s="3">
        <v>2230207.08</v>
      </c>
      <c r="J930" s="3">
        <v>2230207.08</v>
      </c>
    </row>
    <row r="931" spans="1:10" x14ac:dyDescent="0.25">
      <c r="A931" s="2">
        <v>931</v>
      </c>
      <c r="B931" s="18">
        <v>45616.708287037036</v>
      </c>
      <c r="C931" s="2" t="s">
        <v>350</v>
      </c>
      <c r="D931" s="2" t="s">
        <v>2</v>
      </c>
      <c r="E931" s="2" t="s">
        <v>370</v>
      </c>
      <c r="F931" s="2" t="s">
        <v>29</v>
      </c>
      <c r="G931" s="3">
        <v>590000</v>
      </c>
      <c r="H931" s="8">
        <v>6</v>
      </c>
      <c r="I931" s="3">
        <v>2230207.08</v>
      </c>
      <c r="J931" s="3">
        <v>2230207.08</v>
      </c>
    </row>
    <row r="932" spans="1:10" x14ac:dyDescent="0.25">
      <c r="A932" s="2">
        <v>932</v>
      </c>
      <c r="B932" s="18">
        <v>45616.708287037036</v>
      </c>
      <c r="C932" s="2" t="s">
        <v>350</v>
      </c>
      <c r="D932" s="2" t="s">
        <v>2</v>
      </c>
      <c r="E932" s="2" t="s">
        <v>370</v>
      </c>
      <c r="F932" s="2" t="s">
        <v>61</v>
      </c>
      <c r="G932" s="3">
        <v>890000</v>
      </c>
      <c r="H932" s="8">
        <v>6</v>
      </c>
      <c r="I932" s="3">
        <v>3364210.68</v>
      </c>
      <c r="J932" s="3">
        <v>3364210.68</v>
      </c>
    </row>
    <row r="933" spans="1:10" x14ac:dyDescent="0.25">
      <c r="A933" s="2">
        <v>933</v>
      </c>
      <c r="B933" s="18">
        <v>45616.708287037036</v>
      </c>
      <c r="C933" s="2" t="s">
        <v>350</v>
      </c>
      <c r="D933" s="2" t="s">
        <v>2</v>
      </c>
      <c r="E933" s="2" t="s">
        <v>370</v>
      </c>
      <c r="F933" s="2" t="s">
        <v>83</v>
      </c>
      <c r="G933" s="3">
        <v>790000</v>
      </c>
      <c r="H933" s="8">
        <v>6</v>
      </c>
      <c r="I933" s="3">
        <v>2986209.48</v>
      </c>
      <c r="J933" s="3">
        <v>2986209.48</v>
      </c>
    </row>
    <row r="934" spans="1:10" x14ac:dyDescent="0.25">
      <c r="A934" s="2">
        <v>934</v>
      </c>
      <c r="B934" s="18">
        <v>45616.708287037036</v>
      </c>
      <c r="C934" s="2" t="s">
        <v>350</v>
      </c>
      <c r="D934" s="2" t="s">
        <v>96</v>
      </c>
      <c r="E934" s="2" t="s">
        <v>369</v>
      </c>
      <c r="F934" s="2" t="s">
        <v>31</v>
      </c>
      <c r="G934" s="3">
        <v>745000</v>
      </c>
      <c r="H934" s="8">
        <v>40</v>
      </c>
      <c r="I934" s="3">
        <v>27416000</v>
      </c>
      <c r="J934" s="3">
        <v>27416000</v>
      </c>
    </row>
    <row r="935" spans="1:10" x14ac:dyDescent="0.25">
      <c r="A935" s="2">
        <v>935</v>
      </c>
      <c r="B935" s="18">
        <v>45616.708287037036</v>
      </c>
      <c r="C935" s="2" t="s">
        <v>350</v>
      </c>
      <c r="D935" s="2" t="s">
        <v>96</v>
      </c>
      <c r="E935" s="2" t="s">
        <v>369</v>
      </c>
      <c r="F935" s="2" t="s">
        <v>31</v>
      </c>
      <c r="G935" s="3">
        <v>745000</v>
      </c>
      <c r="H935" s="8">
        <v>12</v>
      </c>
      <c r="I935" s="3">
        <v>0</v>
      </c>
      <c r="J935" s="3">
        <v>0</v>
      </c>
    </row>
    <row r="936" spans="1:10" x14ac:dyDescent="0.25">
      <c r="A936" s="2">
        <v>936</v>
      </c>
      <c r="B936" s="18">
        <v>45616.708287037036</v>
      </c>
      <c r="C936" s="2" t="s">
        <v>350</v>
      </c>
      <c r="D936" s="2" t="s">
        <v>96</v>
      </c>
      <c r="E936" s="2" t="s">
        <v>369</v>
      </c>
      <c r="F936" s="2" t="s">
        <v>59</v>
      </c>
      <c r="G936" s="3">
        <v>475000</v>
      </c>
      <c r="H936" s="8">
        <v>52</v>
      </c>
      <c r="I936" s="3">
        <v>0</v>
      </c>
      <c r="J936" s="3">
        <v>0</v>
      </c>
    </row>
    <row r="937" spans="1:10" x14ac:dyDescent="0.25">
      <c r="A937" s="2">
        <v>937</v>
      </c>
      <c r="B937" s="18">
        <v>45617.708287037036</v>
      </c>
      <c r="C937" s="2" t="s">
        <v>350</v>
      </c>
      <c r="D937" s="2" t="s">
        <v>297</v>
      </c>
      <c r="E937" s="2" t="s">
        <v>364</v>
      </c>
      <c r="F937" s="2" t="s">
        <v>25</v>
      </c>
      <c r="G937" s="3">
        <v>890000</v>
      </c>
      <c r="H937" s="8">
        <v>150</v>
      </c>
      <c r="I937" s="3">
        <v>120150000</v>
      </c>
      <c r="J937" s="3">
        <v>104530500</v>
      </c>
    </row>
    <row r="938" spans="1:10" x14ac:dyDescent="0.25">
      <c r="A938" s="2">
        <v>938</v>
      </c>
      <c r="B938" s="18">
        <v>45617.708287037036</v>
      </c>
      <c r="C938" s="2" t="s">
        <v>350</v>
      </c>
      <c r="D938" s="2" t="s">
        <v>297</v>
      </c>
      <c r="E938" s="2" t="s">
        <v>364</v>
      </c>
      <c r="F938" s="2" t="s">
        <v>25</v>
      </c>
      <c r="G938" s="3">
        <v>890000</v>
      </c>
      <c r="H938" s="8">
        <v>90</v>
      </c>
      <c r="I938" s="3">
        <v>0</v>
      </c>
      <c r="J938" s="3">
        <v>0</v>
      </c>
    </row>
    <row r="939" spans="1:10" x14ac:dyDescent="0.25">
      <c r="A939" s="2">
        <v>939</v>
      </c>
      <c r="B939" s="18">
        <v>45617.708287037036</v>
      </c>
      <c r="C939" s="2" t="s">
        <v>350</v>
      </c>
      <c r="D939" s="2" t="s">
        <v>2</v>
      </c>
      <c r="E939" s="2" t="s">
        <v>370</v>
      </c>
      <c r="F939" s="2" t="s">
        <v>19</v>
      </c>
      <c r="G939" s="3">
        <v>590000</v>
      </c>
      <c r="H939" s="8">
        <v>3</v>
      </c>
      <c r="I939" s="3">
        <v>1239000</v>
      </c>
      <c r="J939" s="3">
        <v>1239000</v>
      </c>
    </row>
    <row r="940" spans="1:10" x14ac:dyDescent="0.25">
      <c r="A940" s="2">
        <v>940</v>
      </c>
      <c r="B940" s="18">
        <v>45617.708287037036</v>
      </c>
      <c r="C940" s="2" t="s">
        <v>350</v>
      </c>
      <c r="D940" s="2" t="s">
        <v>2</v>
      </c>
      <c r="E940" s="2" t="s">
        <v>370</v>
      </c>
      <c r="F940" s="2" t="s">
        <v>83</v>
      </c>
      <c r="G940" s="3">
        <v>790000</v>
      </c>
      <c r="H940" s="8">
        <v>3</v>
      </c>
      <c r="I940" s="3">
        <v>1659000</v>
      </c>
      <c r="J940" s="3">
        <v>1659000</v>
      </c>
    </row>
    <row r="941" spans="1:10" x14ac:dyDescent="0.25">
      <c r="A941" s="2">
        <v>941</v>
      </c>
      <c r="B941" s="18">
        <v>45620.708287037036</v>
      </c>
      <c r="C941" s="2" t="s">
        <v>350</v>
      </c>
      <c r="D941" s="2" t="s">
        <v>268</v>
      </c>
      <c r="E941" s="2" t="s">
        <v>371</v>
      </c>
      <c r="F941" s="2" t="s">
        <v>33</v>
      </c>
      <c r="G941" s="3">
        <v>485000</v>
      </c>
      <c r="H941" s="8">
        <v>61</v>
      </c>
      <c r="I941" s="3">
        <v>13313250</v>
      </c>
      <c r="J941" s="3">
        <v>13313250</v>
      </c>
    </row>
    <row r="942" spans="1:10" x14ac:dyDescent="0.25">
      <c r="A942" s="2">
        <v>942</v>
      </c>
      <c r="B942" s="18">
        <v>45620.708287037036</v>
      </c>
      <c r="C942" s="2" t="s">
        <v>350</v>
      </c>
      <c r="D942" s="2" t="s">
        <v>268</v>
      </c>
      <c r="E942" s="2" t="s">
        <v>371</v>
      </c>
      <c r="F942" s="2" t="s">
        <v>59</v>
      </c>
      <c r="G942" s="3">
        <v>475000</v>
      </c>
      <c r="H942" s="8">
        <v>13</v>
      </c>
      <c r="I942" s="3">
        <v>2778749.9999999995</v>
      </c>
      <c r="J942" s="3">
        <v>2778749.9999999995</v>
      </c>
    </row>
    <row r="943" spans="1:10" x14ac:dyDescent="0.25">
      <c r="A943" s="2">
        <v>943</v>
      </c>
      <c r="B943" s="18">
        <v>45620.708287037036</v>
      </c>
      <c r="C943" s="2" t="s">
        <v>350</v>
      </c>
      <c r="D943" s="2" t="s">
        <v>268</v>
      </c>
      <c r="E943" s="2" t="s">
        <v>371</v>
      </c>
      <c r="F943" s="2" t="s">
        <v>31</v>
      </c>
      <c r="G943" s="3">
        <v>745000</v>
      </c>
      <c r="H943" s="8">
        <v>61</v>
      </c>
      <c r="I943" s="3">
        <v>22722500</v>
      </c>
      <c r="J943" s="3">
        <v>22722500</v>
      </c>
    </row>
    <row r="944" spans="1:10" x14ac:dyDescent="0.25">
      <c r="A944" s="2">
        <v>944</v>
      </c>
      <c r="B944" s="18">
        <v>45620.708287037036</v>
      </c>
      <c r="C944" s="2" t="s">
        <v>350</v>
      </c>
      <c r="D944" s="2" t="s">
        <v>268</v>
      </c>
      <c r="E944" s="2" t="s">
        <v>371</v>
      </c>
      <c r="F944" s="2" t="s">
        <v>57</v>
      </c>
      <c r="G944" s="3">
        <v>745000</v>
      </c>
      <c r="H944" s="8">
        <v>13</v>
      </c>
      <c r="I944" s="3">
        <v>4842500</v>
      </c>
      <c r="J944" s="3">
        <v>4842500</v>
      </c>
    </row>
    <row r="945" spans="1:10" x14ac:dyDescent="0.25">
      <c r="A945" s="2">
        <v>945</v>
      </c>
      <c r="B945" s="18">
        <v>45620.708287037036</v>
      </c>
      <c r="C945" s="2" t="s">
        <v>350</v>
      </c>
      <c r="D945" s="2" t="s">
        <v>268</v>
      </c>
      <c r="E945" s="2" t="s">
        <v>371</v>
      </c>
      <c r="F945" s="2" t="s">
        <v>19</v>
      </c>
      <c r="G945" s="3">
        <v>590000</v>
      </c>
      <c r="H945" s="8">
        <v>8</v>
      </c>
      <c r="I945" s="3">
        <v>2360000</v>
      </c>
      <c r="J945" s="3">
        <v>2360000</v>
      </c>
    </row>
    <row r="946" spans="1:10" x14ac:dyDescent="0.25">
      <c r="A946" s="2">
        <v>946</v>
      </c>
      <c r="B946" s="18">
        <v>45620.708287037036</v>
      </c>
      <c r="C946" s="2" t="s">
        <v>350</v>
      </c>
      <c r="D946" s="2" t="s">
        <v>268</v>
      </c>
      <c r="E946" s="2" t="s">
        <v>371</v>
      </c>
      <c r="F946" s="2" t="s">
        <v>27</v>
      </c>
      <c r="G946" s="3">
        <v>935000</v>
      </c>
      <c r="H946" s="8">
        <v>10</v>
      </c>
      <c r="I946" s="3">
        <v>4675000</v>
      </c>
      <c r="J946" s="3">
        <v>4675000</v>
      </c>
    </row>
    <row r="947" spans="1:10" x14ac:dyDescent="0.25">
      <c r="A947" s="2">
        <v>947</v>
      </c>
      <c r="B947" s="18">
        <v>45620.708287037036</v>
      </c>
      <c r="C947" s="2" t="s">
        <v>350</v>
      </c>
      <c r="D947" s="2" t="s">
        <v>267</v>
      </c>
      <c r="E947" s="2" t="s">
        <v>371</v>
      </c>
      <c r="F947" s="2" t="s">
        <v>33</v>
      </c>
      <c r="G947" s="3">
        <v>485000</v>
      </c>
      <c r="H947" s="8">
        <v>18</v>
      </c>
      <c r="I947" s="3">
        <v>3928500</v>
      </c>
      <c r="J947" s="3">
        <v>3928500</v>
      </c>
    </row>
    <row r="948" spans="1:10" x14ac:dyDescent="0.25">
      <c r="A948" s="2">
        <v>948</v>
      </c>
      <c r="B948" s="18">
        <v>45620.708287037036</v>
      </c>
      <c r="C948" s="2" t="s">
        <v>350</v>
      </c>
      <c r="D948" s="2" t="s">
        <v>267</v>
      </c>
      <c r="E948" s="2" t="s">
        <v>371</v>
      </c>
      <c r="F948" s="2" t="s">
        <v>59</v>
      </c>
      <c r="G948" s="3">
        <v>475000</v>
      </c>
      <c r="H948" s="8">
        <v>81</v>
      </c>
      <c r="I948" s="3">
        <v>17313749.999999996</v>
      </c>
      <c r="J948" s="3">
        <v>17313749.999999996</v>
      </c>
    </row>
    <row r="949" spans="1:10" x14ac:dyDescent="0.25">
      <c r="A949" s="2">
        <v>949</v>
      </c>
      <c r="B949" s="18">
        <v>45620.708287037036</v>
      </c>
      <c r="C949" s="2" t="s">
        <v>350</v>
      </c>
      <c r="D949" s="2" t="s">
        <v>267</v>
      </c>
      <c r="E949" s="2" t="s">
        <v>371</v>
      </c>
      <c r="F949" s="2" t="s">
        <v>31</v>
      </c>
      <c r="G949" s="3">
        <v>745000</v>
      </c>
      <c r="H949" s="8">
        <v>104</v>
      </c>
      <c r="I949" s="3">
        <v>38740000</v>
      </c>
      <c r="J949" s="3">
        <v>38740000</v>
      </c>
    </row>
    <row r="950" spans="1:10" x14ac:dyDescent="0.25">
      <c r="A950" s="2">
        <v>950</v>
      </c>
      <c r="B950" s="18">
        <v>45620.708287037036</v>
      </c>
      <c r="C950" s="2" t="s">
        <v>350</v>
      </c>
      <c r="D950" s="2" t="s">
        <v>267</v>
      </c>
      <c r="E950" s="2" t="s">
        <v>371</v>
      </c>
      <c r="F950" s="2" t="s">
        <v>57</v>
      </c>
      <c r="G950" s="3">
        <v>745000</v>
      </c>
      <c r="H950" s="8">
        <v>81</v>
      </c>
      <c r="I950" s="3">
        <v>30172500</v>
      </c>
      <c r="J950" s="3">
        <v>30172500</v>
      </c>
    </row>
    <row r="951" spans="1:10" x14ac:dyDescent="0.25">
      <c r="A951" s="2">
        <v>951</v>
      </c>
      <c r="B951" s="18">
        <v>45620.708287037036</v>
      </c>
      <c r="C951" s="2" t="s">
        <v>350</v>
      </c>
      <c r="D951" s="2" t="s">
        <v>113</v>
      </c>
      <c r="E951" s="2" t="s">
        <v>370</v>
      </c>
      <c r="F951" s="2" t="s">
        <v>19</v>
      </c>
      <c r="G951" s="3">
        <v>590000</v>
      </c>
      <c r="H951" s="8">
        <v>2</v>
      </c>
      <c r="I951" s="3">
        <v>849600</v>
      </c>
      <c r="J951" s="3">
        <v>849600</v>
      </c>
    </row>
    <row r="952" spans="1:10" x14ac:dyDescent="0.25">
      <c r="A952" s="2">
        <v>952</v>
      </c>
      <c r="B952" s="18">
        <v>45620.708287037036</v>
      </c>
      <c r="C952" s="2" t="s">
        <v>350</v>
      </c>
      <c r="D952" s="2" t="s">
        <v>113</v>
      </c>
      <c r="E952" s="2" t="s">
        <v>370</v>
      </c>
      <c r="F952" s="2" t="s">
        <v>63</v>
      </c>
      <c r="G952" s="3">
        <v>550000</v>
      </c>
      <c r="H952" s="8">
        <v>3</v>
      </c>
      <c r="I952" s="3">
        <v>1188000</v>
      </c>
      <c r="J952" s="3">
        <v>1188000</v>
      </c>
    </row>
    <row r="953" spans="1:10" x14ac:dyDescent="0.25">
      <c r="A953" s="2">
        <v>953</v>
      </c>
      <c r="B953" s="18">
        <v>45620.708287037036</v>
      </c>
      <c r="C953" s="2" t="s">
        <v>350</v>
      </c>
      <c r="D953" s="2" t="s">
        <v>113</v>
      </c>
      <c r="E953" s="2" t="s">
        <v>370</v>
      </c>
      <c r="F953" s="2" t="s">
        <v>85</v>
      </c>
      <c r="G953" s="3">
        <v>480000</v>
      </c>
      <c r="H953" s="8">
        <v>3</v>
      </c>
      <c r="I953" s="3">
        <v>1036800</v>
      </c>
      <c r="J953" s="3">
        <v>1036800</v>
      </c>
    </row>
    <row r="954" spans="1:10" x14ac:dyDescent="0.25">
      <c r="A954" s="2">
        <v>954</v>
      </c>
      <c r="B954" s="18">
        <v>45620.708287037036</v>
      </c>
      <c r="C954" s="2" t="s">
        <v>350</v>
      </c>
      <c r="D954" s="2" t="s">
        <v>123</v>
      </c>
      <c r="E954" s="2" t="s">
        <v>370</v>
      </c>
      <c r="F954" s="2" t="s">
        <v>57</v>
      </c>
      <c r="G954" s="3">
        <v>745000</v>
      </c>
      <c r="H954" s="8">
        <v>4</v>
      </c>
      <c r="I954" s="3">
        <v>2115802.086</v>
      </c>
      <c r="J954" s="3">
        <v>2115802.086</v>
      </c>
    </row>
    <row r="955" spans="1:10" x14ac:dyDescent="0.25">
      <c r="A955" s="2">
        <v>955</v>
      </c>
      <c r="B955" s="18">
        <v>45620.708287037036</v>
      </c>
      <c r="C955" s="2" t="s">
        <v>350</v>
      </c>
      <c r="D955" s="2" t="s">
        <v>303</v>
      </c>
      <c r="E955" s="2" t="s">
        <v>366</v>
      </c>
      <c r="F955" s="2" t="s">
        <v>31</v>
      </c>
      <c r="G955" s="3">
        <v>745000</v>
      </c>
      <c r="H955" s="8">
        <v>20</v>
      </c>
      <c r="I955" s="3">
        <v>8940000</v>
      </c>
      <c r="J955" s="3">
        <v>8940000</v>
      </c>
    </row>
    <row r="956" spans="1:10" x14ac:dyDescent="0.25">
      <c r="A956" s="2">
        <v>956</v>
      </c>
      <c r="B956" s="18">
        <v>45620.708287037036</v>
      </c>
      <c r="C956" s="2" t="s">
        <v>350</v>
      </c>
      <c r="D956" s="2" t="s">
        <v>262</v>
      </c>
      <c r="E956" s="2" t="s">
        <v>364</v>
      </c>
      <c r="F956" s="2" t="s">
        <v>67</v>
      </c>
      <c r="G956" s="3">
        <v>945000</v>
      </c>
      <c r="H956" s="8">
        <v>0</v>
      </c>
      <c r="I956" s="3">
        <v>0</v>
      </c>
      <c r="J956" s="3">
        <v>0</v>
      </c>
    </row>
    <row r="957" spans="1:10" x14ac:dyDescent="0.25">
      <c r="A957" s="2">
        <v>957</v>
      </c>
      <c r="B957" s="18">
        <v>45620.708287037036</v>
      </c>
      <c r="C957" s="2" t="s">
        <v>350</v>
      </c>
      <c r="D957" s="2" t="s">
        <v>262</v>
      </c>
      <c r="E957" s="2" t="s">
        <v>364</v>
      </c>
      <c r="F957" s="2" t="s">
        <v>67</v>
      </c>
      <c r="G957" s="3">
        <v>945000</v>
      </c>
      <c r="H957" s="8">
        <v>0</v>
      </c>
      <c r="I957" s="3">
        <v>0</v>
      </c>
      <c r="J957" s="3">
        <v>0</v>
      </c>
    </row>
    <row r="958" spans="1:10" x14ac:dyDescent="0.25">
      <c r="A958" s="2">
        <v>958</v>
      </c>
      <c r="B958" s="18">
        <v>45620.708287037036</v>
      </c>
      <c r="C958" s="2" t="s">
        <v>350</v>
      </c>
      <c r="D958" s="2" t="s">
        <v>262</v>
      </c>
      <c r="E958" s="2" t="s">
        <v>364</v>
      </c>
      <c r="F958" s="2" t="s">
        <v>31</v>
      </c>
      <c r="G958" s="3">
        <v>745000</v>
      </c>
      <c r="H958" s="8">
        <v>0</v>
      </c>
      <c r="I958" s="3">
        <v>0</v>
      </c>
      <c r="J958" s="3">
        <v>0</v>
      </c>
    </row>
    <row r="959" spans="1:10" x14ac:dyDescent="0.25">
      <c r="A959" s="2">
        <v>959</v>
      </c>
      <c r="B959" s="18">
        <v>45620.708287037036</v>
      </c>
      <c r="C959" s="2" t="s">
        <v>350</v>
      </c>
      <c r="D959" s="2" t="s">
        <v>262</v>
      </c>
      <c r="E959" s="2" t="s">
        <v>364</v>
      </c>
      <c r="F959" s="2" t="s">
        <v>57</v>
      </c>
      <c r="G959" s="3">
        <v>745000</v>
      </c>
      <c r="H959" s="8">
        <v>0</v>
      </c>
      <c r="I959" s="3">
        <v>0</v>
      </c>
      <c r="J959" s="3">
        <v>0</v>
      </c>
    </row>
    <row r="960" spans="1:10" x14ac:dyDescent="0.25">
      <c r="A960" s="2">
        <v>960</v>
      </c>
      <c r="B960" s="18">
        <v>45620.708287037036</v>
      </c>
      <c r="C960" s="2" t="s">
        <v>350</v>
      </c>
      <c r="D960" s="2" t="s">
        <v>262</v>
      </c>
      <c r="E960" s="2" t="s">
        <v>364</v>
      </c>
      <c r="F960" s="2" t="s">
        <v>51</v>
      </c>
      <c r="G960" s="3">
        <v>465000</v>
      </c>
      <c r="H960" s="8">
        <v>0</v>
      </c>
      <c r="I960" s="3">
        <v>0</v>
      </c>
      <c r="J960" s="3">
        <v>0</v>
      </c>
    </row>
    <row r="961" spans="1:10" x14ac:dyDescent="0.25">
      <c r="A961" s="2">
        <v>961</v>
      </c>
      <c r="B961" s="18">
        <v>45620.708287037036</v>
      </c>
      <c r="C961" s="2" t="s">
        <v>350</v>
      </c>
      <c r="D961" s="2" t="s">
        <v>262</v>
      </c>
      <c r="E961" s="2" t="s">
        <v>364</v>
      </c>
      <c r="F961" s="2" t="s">
        <v>59</v>
      </c>
      <c r="G961" s="3">
        <v>475000</v>
      </c>
      <c r="H961" s="8">
        <v>0</v>
      </c>
      <c r="I961" s="3">
        <v>0</v>
      </c>
      <c r="J961" s="3">
        <v>0</v>
      </c>
    </row>
    <row r="962" spans="1:10" x14ac:dyDescent="0.25">
      <c r="A962" s="2">
        <v>962</v>
      </c>
      <c r="B962" s="18">
        <v>45620.708287037036</v>
      </c>
      <c r="C962" s="2" t="s">
        <v>350</v>
      </c>
      <c r="D962" s="2" t="s">
        <v>262</v>
      </c>
      <c r="E962" s="2" t="s">
        <v>364</v>
      </c>
      <c r="F962" s="2" t="s">
        <v>89</v>
      </c>
      <c r="G962" s="3">
        <v>390000</v>
      </c>
      <c r="H962" s="8">
        <v>0</v>
      </c>
      <c r="I962" s="3">
        <v>0</v>
      </c>
      <c r="J962" s="3">
        <v>0</v>
      </c>
    </row>
    <row r="963" spans="1:10" x14ac:dyDescent="0.25">
      <c r="A963" s="2">
        <v>963</v>
      </c>
      <c r="B963" s="18">
        <v>45621.708287037036</v>
      </c>
      <c r="C963" s="2" t="s">
        <v>350</v>
      </c>
      <c r="D963" s="2" t="s">
        <v>297</v>
      </c>
      <c r="E963" s="2" t="s">
        <v>364</v>
      </c>
      <c r="F963" s="2" t="s">
        <v>51</v>
      </c>
      <c r="G963" s="3">
        <v>465000</v>
      </c>
      <c r="H963" s="8">
        <v>33</v>
      </c>
      <c r="I963" s="3">
        <v>5114999.94885</v>
      </c>
      <c r="J963" s="3">
        <v>5114999.94885</v>
      </c>
    </row>
    <row r="964" spans="1:10" x14ac:dyDescent="0.25">
      <c r="A964" s="2">
        <v>964</v>
      </c>
      <c r="B964" s="18">
        <v>45622.708287037036</v>
      </c>
      <c r="C964" s="2" t="s">
        <v>350</v>
      </c>
      <c r="D964" s="2" t="s">
        <v>40</v>
      </c>
      <c r="E964" s="2" t="s">
        <v>369</v>
      </c>
      <c r="F964" s="2" t="s">
        <v>59</v>
      </c>
      <c r="G964" s="3">
        <v>475000</v>
      </c>
      <c r="H964" s="8">
        <v>2</v>
      </c>
      <c r="I964" s="3">
        <v>684000</v>
      </c>
      <c r="J964" s="3">
        <v>684000</v>
      </c>
    </row>
    <row r="965" spans="1:10" x14ac:dyDescent="0.25">
      <c r="A965" s="2">
        <v>965</v>
      </c>
      <c r="B965" s="18">
        <v>45622.708287037036</v>
      </c>
      <c r="C965" s="2" t="s">
        <v>350</v>
      </c>
      <c r="D965" s="2" t="s">
        <v>40</v>
      </c>
      <c r="E965" s="2" t="s">
        <v>369</v>
      </c>
      <c r="F965" s="2" t="s">
        <v>85</v>
      </c>
      <c r="G965" s="3">
        <v>480000</v>
      </c>
      <c r="H965" s="8">
        <v>3</v>
      </c>
      <c r="I965" s="3">
        <v>1036800</v>
      </c>
      <c r="J965" s="3">
        <v>1036800</v>
      </c>
    </row>
    <row r="966" spans="1:10" x14ac:dyDescent="0.25">
      <c r="A966" s="2">
        <v>966</v>
      </c>
      <c r="B966" s="18">
        <v>45622.708287037036</v>
      </c>
      <c r="C966" s="2" t="s">
        <v>350</v>
      </c>
      <c r="D966" s="2" t="s">
        <v>40</v>
      </c>
      <c r="E966" s="2" t="s">
        <v>369</v>
      </c>
      <c r="F966" s="2" t="s">
        <v>33</v>
      </c>
      <c r="G966" s="3">
        <v>485000</v>
      </c>
      <c r="H966" s="8">
        <v>0</v>
      </c>
      <c r="I966" s="3">
        <v>0</v>
      </c>
      <c r="J966" s="3">
        <v>0</v>
      </c>
    </row>
    <row r="967" spans="1:10" x14ac:dyDescent="0.25">
      <c r="A967" s="2">
        <v>967</v>
      </c>
      <c r="B967" s="18">
        <v>45622.708287037036</v>
      </c>
      <c r="C967" s="2" t="s">
        <v>350</v>
      </c>
      <c r="D967" s="2" t="s">
        <v>40</v>
      </c>
      <c r="E967" s="2" t="s">
        <v>369</v>
      </c>
      <c r="F967" s="2" t="s">
        <v>19</v>
      </c>
      <c r="G967" s="3">
        <v>590000</v>
      </c>
      <c r="H967" s="8">
        <v>2</v>
      </c>
      <c r="I967" s="3">
        <v>849600</v>
      </c>
      <c r="J967" s="3">
        <v>849600</v>
      </c>
    </row>
    <row r="968" spans="1:10" x14ac:dyDescent="0.25">
      <c r="A968" s="2">
        <v>968</v>
      </c>
      <c r="B968" s="18">
        <v>45622.708287037036</v>
      </c>
      <c r="C968" s="2" t="s">
        <v>350</v>
      </c>
      <c r="D968" s="2" t="s">
        <v>40</v>
      </c>
      <c r="E968" s="2" t="s">
        <v>369</v>
      </c>
      <c r="F968" s="2" t="s">
        <v>29</v>
      </c>
      <c r="G968" s="3">
        <v>590000</v>
      </c>
      <c r="H968" s="8">
        <v>2</v>
      </c>
      <c r="I968" s="3">
        <v>849600</v>
      </c>
      <c r="J968" s="3">
        <v>849600</v>
      </c>
    </row>
    <row r="969" spans="1:10" x14ac:dyDescent="0.25">
      <c r="A969" s="2">
        <v>969</v>
      </c>
      <c r="B969" s="18">
        <v>45622.708287037036</v>
      </c>
      <c r="C969" s="2" t="s">
        <v>350</v>
      </c>
      <c r="D969" s="2" t="s">
        <v>40</v>
      </c>
      <c r="E969" s="2" t="s">
        <v>369</v>
      </c>
      <c r="F969" s="2" t="s">
        <v>35</v>
      </c>
      <c r="G969" s="3">
        <v>525000</v>
      </c>
      <c r="H969" s="8">
        <v>3</v>
      </c>
      <c r="I969" s="3">
        <v>1134000</v>
      </c>
      <c r="J969" s="3">
        <v>1134000</v>
      </c>
    </row>
    <row r="970" spans="1:10" x14ac:dyDescent="0.25">
      <c r="A970" s="2">
        <v>970</v>
      </c>
      <c r="B970" s="18">
        <v>45622.708287037036</v>
      </c>
      <c r="C970" s="2" t="s">
        <v>350</v>
      </c>
      <c r="D970" s="2" t="s">
        <v>422</v>
      </c>
      <c r="E970" s="2" t="s">
        <v>364</v>
      </c>
      <c r="F970" s="2" t="s">
        <v>73</v>
      </c>
      <c r="G970" s="3">
        <v>1350000</v>
      </c>
      <c r="H970" s="8">
        <v>1</v>
      </c>
      <c r="I970" s="3">
        <v>0</v>
      </c>
      <c r="J970" s="3">
        <v>0</v>
      </c>
    </row>
    <row r="971" spans="1:10" x14ac:dyDescent="0.25">
      <c r="A971" s="2">
        <v>971</v>
      </c>
      <c r="B971" s="18">
        <v>45622.708287037036</v>
      </c>
      <c r="C971" s="2" t="s">
        <v>350</v>
      </c>
      <c r="D971" s="2" t="s">
        <v>332</v>
      </c>
      <c r="E971" s="2" t="s">
        <v>367</v>
      </c>
      <c r="F971" s="2" t="s">
        <v>51</v>
      </c>
      <c r="G971" s="3">
        <v>465000</v>
      </c>
      <c r="H971" s="8">
        <v>1</v>
      </c>
      <c r="I971" s="3">
        <v>372000</v>
      </c>
      <c r="J971" s="3">
        <v>372000</v>
      </c>
    </row>
    <row r="972" spans="1:10" x14ac:dyDescent="0.25">
      <c r="A972" s="2">
        <v>972</v>
      </c>
      <c r="B972" s="18">
        <v>45622.708287037036</v>
      </c>
      <c r="C972" s="2" t="s">
        <v>350</v>
      </c>
      <c r="D972" s="2" t="s">
        <v>332</v>
      </c>
      <c r="E972" s="2" t="s">
        <v>367</v>
      </c>
      <c r="F972" s="2" t="s">
        <v>57</v>
      </c>
      <c r="G972" s="3">
        <v>745000</v>
      </c>
      <c r="H972" s="8">
        <v>1</v>
      </c>
      <c r="I972" s="3">
        <v>596000</v>
      </c>
      <c r="J972" s="3">
        <v>596000</v>
      </c>
    </row>
    <row r="973" spans="1:10" x14ac:dyDescent="0.25">
      <c r="A973" s="2">
        <v>973</v>
      </c>
      <c r="B973" s="18">
        <v>45622.708287037036</v>
      </c>
      <c r="C973" s="2" t="s">
        <v>350</v>
      </c>
      <c r="D973" s="2" t="s">
        <v>332</v>
      </c>
      <c r="E973" s="2" t="s">
        <v>367</v>
      </c>
      <c r="F973" s="2" t="s">
        <v>19</v>
      </c>
      <c r="G973" s="3">
        <v>590000</v>
      </c>
      <c r="H973" s="8">
        <v>1</v>
      </c>
      <c r="I973" s="3">
        <v>0</v>
      </c>
      <c r="J973" s="3">
        <v>0</v>
      </c>
    </row>
    <row r="974" spans="1:10" x14ac:dyDescent="0.25">
      <c r="A974" s="2">
        <v>974</v>
      </c>
      <c r="B974" s="18">
        <v>45622.708287037036</v>
      </c>
      <c r="C974" s="2" t="s">
        <v>350</v>
      </c>
      <c r="D974" s="2" t="s">
        <v>332</v>
      </c>
      <c r="E974" s="2" t="s">
        <v>367</v>
      </c>
      <c r="F974" s="2" t="s">
        <v>47</v>
      </c>
      <c r="G974" s="3">
        <v>200000</v>
      </c>
      <c r="H974" s="8">
        <v>2</v>
      </c>
      <c r="I974" s="3">
        <v>0</v>
      </c>
      <c r="J974" s="3">
        <v>0</v>
      </c>
    </row>
    <row r="975" spans="1:10" x14ac:dyDescent="0.25">
      <c r="A975" s="2">
        <v>975</v>
      </c>
      <c r="B975" s="18">
        <v>45622.708287037036</v>
      </c>
      <c r="C975" s="2" t="s">
        <v>350</v>
      </c>
      <c r="D975" s="2" t="s">
        <v>332</v>
      </c>
      <c r="E975" s="2" t="s">
        <v>367</v>
      </c>
      <c r="F975" s="2" t="s">
        <v>79</v>
      </c>
      <c r="G975" s="3">
        <v>150000</v>
      </c>
      <c r="H975" s="8">
        <v>1</v>
      </c>
      <c r="I975" s="3">
        <v>0</v>
      </c>
      <c r="J975" s="3">
        <v>0</v>
      </c>
    </row>
    <row r="976" spans="1:10" x14ac:dyDescent="0.25">
      <c r="A976" s="2">
        <v>976</v>
      </c>
      <c r="B976" s="18">
        <v>45622.708287037036</v>
      </c>
      <c r="C976" s="2" t="s">
        <v>350</v>
      </c>
      <c r="D976" s="2" t="s">
        <v>332</v>
      </c>
      <c r="E976" s="2" t="s">
        <v>367</v>
      </c>
      <c r="F976" s="2" t="s">
        <v>85</v>
      </c>
      <c r="G976" s="3">
        <v>480000</v>
      </c>
      <c r="H976" s="8">
        <v>1</v>
      </c>
      <c r="I976" s="3">
        <v>384000</v>
      </c>
      <c r="J976" s="3">
        <v>384000</v>
      </c>
    </row>
    <row r="977" spans="1:10" x14ac:dyDescent="0.25">
      <c r="A977" s="2">
        <v>977</v>
      </c>
      <c r="B977" s="18">
        <v>45622.708287037036</v>
      </c>
      <c r="C977" s="2" t="s">
        <v>350</v>
      </c>
      <c r="D977" s="2" t="s">
        <v>332</v>
      </c>
      <c r="E977" s="2" t="s">
        <v>367</v>
      </c>
      <c r="F977" s="2" t="s">
        <v>57</v>
      </c>
      <c r="G977" s="3">
        <v>745000</v>
      </c>
      <c r="H977" s="8">
        <v>1</v>
      </c>
      <c r="I977" s="3">
        <v>596000</v>
      </c>
      <c r="J977" s="3">
        <v>596000</v>
      </c>
    </row>
    <row r="978" spans="1:10" x14ac:dyDescent="0.25">
      <c r="A978" s="2">
        <v>978</v>
      </c>
      <c r="B978" s="18">
        <v>45622.708287037036</v>
      </c>
      <c r="C978" s="2" t="s">
        <v>350</v>
      </c>
      <c r="D978" s="2" t="s">
        <v>332</v>
      </c>
      <c r="E978" s="2" t="s">
        <v>367</v>
      </c>
      <c r="F978" s="2" t="s">
        <v>31</v>
      </c>
      <c r="G978" s="3">
        <v>745000</v>
      </c>
      <c r="H978" s="8">
        <v>1</v>
      </c>
      <c r="I978" s="3">
        <v>596000</v>
      </c>
      <c r="J978" s="3">
        <v>596000</v>
      </c>
    </row>
    <row r="979" spans="1:10" x14ac:dyDescent="0.25">
      <c r="A979" s="2">
        <v>979</v>
      </c>
      <c r="B979" s="18">
        <v>45622.708287037036</v>
      </c>
      <c r="C979" s="2" t="s">
        <v>350</v>
      </c>
      <c r="D979" s="2" t="s">
        <v>332</v>
      </c>
      <c r="E979" s="2" t="s">
        <v>367</v>
      </c>
      <c r="F979" s="2" t="s">
        <v>19</v>
      </c>
      <c r="G979" s="3">
        <v>590000</v>
      </c>
      <c r="H979" s="8">
        <v>1</v>
      </c>
      <c r="I979" s="3">
        <v>0</v>
      </c>
      <c r="J979" s="3">
        <v>0</v>
      </c>
    </row>
    <row r="980" spans="1:10" x14ac:dyDescent="0.25">
      <c r="A980" s="2">
        <v>980</v>
      </c>
      <c r="B980" s="18">
        <v>45622.708287037036</v>
      </c>
      <c r="C980" s="2" t="s">
        <v>350</v>
      </c>
      <c r="D980" s="2" t="s">
        <v>332</v>
      </c>
      <c r="E980" s="2" t="s">
        <v>367</v>
      </c>
      <c r="F980" s="2" t="s">
        <v>79</v>
      </c>
      <c r="G980" s="3">
        <v>150000</v>
      </c>
      <c r="H980" s="8">
        <v>1</v>
      </c>
      <c r="I980" s="3">
        <v>0</v>
      </c>
      <c r="J980" s="3">
        <v>0</v>
      </c>
    </row>
    <row r="981" spans="1:10" x14ac:dyDescent="0.25">
      <c r="A981" s="2">
        <v>981</v>
      </c>
      <c r="B981" s="18">
        <v>45622.708287037036</v>
      </c>
      <c r="C981" s="2" t="s">
        <v>350</v>
      </c>
      <c r="D981" s="2" t="s">
        <v>332</v>
      </c>
      <c r="E981" s="2" t="s">
        <v>367</v>
      </c>
      <c r="F981" s="2" t="s">
        <v>31</v>
      </c>
      <c r="G981" s="3">
        <v>745000</v>
      </c>
      <c r="H981" s="8">
        <v>2</v>
      </c>
      <c r="I981" s="3">
        <v>1341000</v>
      </c>
      <c r="J981" s="3">
        <v>1341000</v>
      </c>
    </row>
    <row r="982" spans="1:10" x14ac:dyDescent="0.25">
      <c r="A982" s="2">
        <v>982</v>
      </c>
      <c r="B982" s="18">
        <v>45622.708287037036</v>
      </c>
      <c r="C982" s="2" t="s">
        <v>350</v>
      </c>
      <c r="D982" s="2" t="s">
        <v>332</v>
      </c>
      <c r="E982" s="2" t="s">
        <v>367</v>
      </c>
      <c r="F982" s="2" t="s">
        <v>57</v>
      </c>
      <c r="G982" s="3">
        <v>745000</v>
      </c>
      <c r="H982" s="8">
        <v>2</v>
      </c>
      <c r="I982" s="3">
        <v>1341000</v>
      </c>
      <c r="J982" s="3">
        <v>1341000</v>
      </c>
    </row>
    <row r="983" spans="1:10" x14ac:dyDescent="0.25">
      <c r="A983" s="2">
        <v>983</v>
      </c>
      <c r="B983" s="18">
        <v>45622.708287037036</v>
      </c>
      <c r="C983" s="2" t="s">
        <v>350</v>
      </c>
      <c r="D983" s="2" t="s">
        <v>332</v>
      </c>
      <c r="E983" s="2" t="s">
        <v>367</v>
      </c>
      <c r="F983" s="2" t="s">
        <v>59</v>
      </c>
      <c r="G983" s="3">
        <v>475000</v>
      </c>
      <c r="H983" s="8">
        <v>2</v>
      </c>
      <c r="I983" s="3">
        <v>855000</v>
      </c>
      <c r="J983" s="3">
        <v>855000</v>
      </c>
    </row>
    <row r="984" spans="1:10" x14ac:dyDescent="0.25">
      <c r="A984" s="2">
        <v>984</v>
      </c>
      <c r="B984" s="18">
        <v>45622.708287037036</v>
      </c>
      <c r="C984" s="2" t="s">
        <v>350</v>
      </c>
      <c r="D984" s="2" t="s">
        <v>332</v>
      </c>
      <c r="E984" s="2" t="s">
        <v>367</v>
      </c>
      <c r="F984" s="2" t="s">
        <v>53</v>
      </c>
      <c r="G984" s="3">
        <v>550000</v>
      </c>
      <c r="H984" s="8">
        <v>1</v>
      </c>
      <c r="I984" s="3">
        <v>495000</v>
      </c>
      <c r="J984" s="3">
        <v>495000</v>
      </c>
    </row>
    <row r="985" spans="1:10" x14ac:dyDescent="0.25">
      <c r="A985" s="2">
        <v>985</v>
      </c>
      <c r="B985" s="18">
        <v>45622.708287037036</v>
      </c>
      <c r="C985" s="2" t="s">
        <v>350</v>
      </c>
      <c r="D985" s="2" t="s">
        <v>332</v>
      </c>
      <c r="E985" s="2" t="s">
        <v>367</v>
      </c>
      <c r="F985" s="2" t="s">
        <v>79</v>
      </c>
      <c r="G985" s="3">
        <v>150000</v>
      </c>
      <c r="H985" s="8">
        <v>3</v>
      </c>
      <c r="I985" s="3">
        <v>0</v>
      </c>
      <c r="J985" s="3">
        <v>0</v>
      </c>
    </row>
    <row r="986" spans="1:10" x14ac:dyDescent="0.25">
      <c r="A986" s="2">
        <v>986</v>
      </c>
      <c r="B986" s="18">
        <v>45622.708287037036</v>
      </c>
      <c r="C986" s="2" t="s">
        <v>350</v>
      </c>
      <c r="D986" s="2" t="s">
        <v>332</v>
      </c>
      <c r="E986" s="2" t="s">
        <v>367</v>
      </c>
      <c r="F986" s="2" t="s">
        <v>93</v>
      </c>
      <c r="G986" s="3">
        <v>-180000</v>
      </c>
      <c r="H986" s="8">
        <v>1</v>
      </c>
      <c r="I986" s="3">
        <v>-180000</v>
      </c>
      <c r="J986" s="3">
        <v>-180000</v>
      </c>
    </row>
    <row r="987" spans="1:10" x14ac:dyDescent="0.25">
      <c r="A987" s="2">
        <v>987</v>
      </c>
      <c r="B987" s="18">
        <v>45622.708287037036</v>
      </c>
      <c r="C987" s="2" t="s">
        <v>350</v>
      </c>
      <c r="D987" s="2" t="s">
        <v>332</v>
      </c>
      <c r="E987" s="2" t="s">
        <v>367</v>
      </c>
      <c r="F987" s="2" t="s">
        <v>95</v>
      </c>
      <c r="G987" s="3">
        <v>-100000</v>
      </c>
      <c r="H987" s="8">
        <v>1</v>
      </c>
      <c r="I987" s="3">
        <v>-100000</v>
      </c>
      <c r="J987" s="3">
        <v>-100000</v>
      </c>
    </row>
    <row r="988" spans="1:10" x14ac:dyDescent="0.25">
      <c r="A988" s="2">
        <v>988</v>
      </c>
      <c r="B988" s="18">
        <v>45622.708287037036</v>
      </c>
      <c r="C988" s="2" t="s">
        <v>350</v>
      </c>
      <c r="D988" s="2" t="s">
        <v>332</v>
      </c>
      <c r="E988" s="2" t="s">
        <v>367</v>
      </c>
      <c r="F988" s="2" t="s">
        <v>97</v>
      </c>
      <c r="G988" s="3">
        <v>-110000</v>
      </c>
      <c r="H988" s="8">
        <v>1</v>
      </c>
      <c r="I988" s="3">
        <v>-110000</v>
      </c>
      <c r="J988" s="3">
        <v>-110000</v>
      </c>
    </row>
    <row r="989" spans="1:10" x14ac:dyDescent="0.25">
      <c r="A989" s="2">
        <v>989</v>
      </c>
      <c r="B989" s="18">
        <v>45624.708287037036</v>
      </c>
      <c r="C989" s="2" t="s">
        <v>350</v>
      </c>
      <c r="D989" s="2" t="s">
        <v>253</v>
      </c>
      <c r="E989" s="2" t="s">
        <v>370</v>
      </c>
      <c r="F989" s="2" t="s">
        <v>31</v>
      </c>
      <c r="G989" s="3">
        <v>745000</v>
      </c>
      <c r="H989" s="8">
        <v>1</v>
      </c>
      <c r="I989" s="3">
        <v>536400</v>
      </c>
      <c r="J989" s="3">
        <v>536400</v>
      </c>
    </row>
    <row r="990" spans="1:10" x14ac:dyDescent="0.25">
      <c r="A990" s="2">
        <v>990</v>
      </c>
      <c r="B990" s="18">
        <v>45624.708287037036</v>
      </c>
      <c r="C990" s="2" t="s">
        <v>350</v>
      </c>
      <c r="D990" s="2" t="s">
        <v>253</v>
      </c>
      <c r="E990" s="2" t="s">
        <v>370</v>
      </c>
      <c r="F990" s="2" t="s">
        <v>19</v>
      </c>
      <c r="G990" s="3">
        <v>590000</v>
      </c>
      <c r="H990" s="8">
        <v>4</v>
      </c>
      <c r="I990" s="3">
        <v>1699200</v>
      </c>
      <c r="J990" s="3">
        <v>1699200</v>
      </c>
    </row>
    <row r="991" spans="1:10" x14ac:dyDescent="0.25">
      <c r="A991" s="2">
        <v>991</v>
      </c>
      <c r="B991" s="18">
        <v>45624.708287037036</v>
      </c>
      <c r="C991" s="2" t="s">
        <v>350</v>
      </c>
      <c r="D991" s="2" t="s">
        <v>253</v>
      </c>
      <c r="E991" s="2" t="s">
        <v>370</v>
      </c>
      <c r="F991" s="2" t="s">
        <v>35</v>
      </c>
      <c r="G991" s="3">
        <v>525000</v>
      </c>
      <c r="H991" s="8">
        <v>4</v>
      </c>
      <c r="I991" s="3">
        <v>1512000</v>
      </c>
      <c r="J991" s="3">
        <v>1512000</v>
      </c>
    </row>
    <row r="992" spans="1:10" x14ac:dyDescent="0.25">
      <c r="A992" s="2">
        <v>992</v>
      </c>
      <c r="B992" s="18">
        <v>45624.708287037036</v>
      </c>
      <c r="C992" s="2" t="s">
        <v>350</v>
      </c>
      <c r="D992" s="2" t="s">
        <v>253</v>
      </c>
      <c r="E992" s="2" t="s">
        <v>370</v>
      </c>
      <c r="F992" s="2" t="s">
        <v>27</v>
      </c>
      <c r="G992" s="3">
        <v>935000</v>
      </c>
      <c r="H992" s="8">
        <v>1</v>
      </c>
      <c r="I992" s="3">
        <v>673200</v>
      </c>
      <c r="J992" s="3">
        <v>673200</v>
      </c>
    </row>
    <row r="993" spans="1:10" x14ac:dyDescent="0.25">
      <c r="A993" s="2">
        <v>993</v>
      </c>
      <c r="B993" s="18">
        <v>45624.708287037036</v>
      </c>
      <c r="C993" s="2" t="s">
        <v>350</v>
      </c>
      <c r="D993" s="2" t="s">
        <v>253</v>
      </c>
      <c r="E993" s="2" t="s">
        <v>370</v>
      </c>
      <c r="F993" s="2" t="s">
        <v>61</v>
      </c>
      <c r="G993" s="3">
        <v>890000</v>
      </c>
      <c r="H993" s="8">
        <v>1</v>
      </c>
      <c r="I993" s="3">
        <v>640800</v>
      </c>
      <c r="J993" s="3">
        <v>640800</v>
      </c>
    </row>
    <row r="994" spans="1:10" x14ac:dyDescent="0.25">
      <c r="A994" s="2">
        <v>994</v>
      </c>
      <c r="B994" s="18">
        <v>45624.708287037036</v>
      </c>
      <c r="C994" s="2" t="s">
        <v>350</v>
      </c>
      <c r="D994" s="2" t="s">
        <v>253</v>
      </c>
      <c r="E994" s="2" t="s">
        <v>370</v>
      </c>
      <c r="F994" s="2" t="s">
        <v>57</v>
      </c>
      <c r="G994" s="3">
        <v>745000</v>
      </c>
      <c r="H994" s="8">
        <v>1</v>
      </c>
      <c r="I994" s="3">
        <v>536400</v>
      </c>
      <c r="J994" s="3">
        <v>536400</v>
      </c>
    </row>
    <row r="995" spans="1:10" x14ac:dyDescent="0.25">
      <c r="A995" s="2">
        <v>995</v>
      </c>
      <c r="B995" s="18">
        <v>45566.708287037036</v>
      </c>
      <c r="C995" s="2" t="s">
        <v>349</v>
      </c>
      <c r="D995" s="2" t="s">
        <v>20</v>
      </c>
      <c r="E995" s="2" t="s">
        <v>370</v>
      </c>
      <c r="F995" s="2" t="s">
        <v>19</v>
      </c>
      <c r="G995" s="3">
        <v>590000</v>
      </c>
      <c r="H995" s="8">
        <v>1</v>
      </c>
      <c r="I995" s="3">
        <v>424800</v>
      </c>
      <c r="J995" s="3">
        <v>424800</v>
      </c>
    </row>
    <row r="996" spans="1:10" x14ac:dyDescent="0.25">
      <c r="A996" s="2">
        <v>996</v>
      </c>
      <c r="B996" s="18">
        <v>45566.708287037036</v>
      </c>
      <c r="C996" s="2" t="s">
        <v>349</v>
      </c>
      <c r="D996" s="2" t="s">
        <v>20</v>
      </c>
      <c r="E996" s="2" t="s">
        <v>370</v>
      </c>
      <c r="F996" s="2" t="s">
        <v>61</v>
      </c>
      <c r="G996" s="3">
        <v>890000</v>
      </c>
      <c r="H996" s="8">
        <v>2</v>
      </c>
      <c r="I996" s="3">
        <v>1281600</v>
      </c>
      <c r="J996" s="3">
        <v>1281600</v>
      </c>
    </row>
    <row r="997" spans="1:10" x14ac:dyDescent="0.25">
      <c r="A997" s="2">
        <v>997</v>
      </c>
      <c r="B997" s="18">
        <v>45566.708287037036</v>
      </c>
      <c r="C997" s="2" t="s">
        <v>349</v>
      </c>
      <c r="D997" s="2" t="s">
        <v>20</v>
      </c>
      <c r="E997" s="2" t="s">
        <v>370</v>
      </c>
      <c r="F997" s="2" t="s">
        <v>83</v>
      </c>
      <c r="G997" s="3">
        <v>790000</v>
      </c>
      <c r="H997" s="8">
        <v>2</v>
      </c>
      <c r="I997" s="3">
        <v>1137600</v>
      </c>
      <c r="J997" s="3">
        <v>1137600</v>
      </c>
    </row>
    <row r="998" spans="1:10" x14ac:dyDescent="0.25">
      <c r="A998" s="2">
        <v>998</v>
      </c>
      <c r="B998" s="18">
        <v>45566.708287037036</v>
      </c>
      <c r="C998" s="2" t="s">
        <v>349</v>
      </c>
      <c r="D998" s="2" t="s">
        <v>20</v>
      </c>
      <c r="E998" s="2" t="s">
        <v>370</v>
      </c>
      <c r="F998" s="2" t="s">
        <v>31</v>
      </c>
      <c r="G998" s="3">
        <v>745000</v>
      </c>
      <c r="H998" s="8">
        <v>2</v>
      </c>
      <c r="I998" s="3">
        <v>1072800</v>
      </c>
      <c r="J998" s="3">
        <v>1072800</v>
      </c>
    </row>
    <row r="999" spans="1:10" x14ac:dyDescent="0.25">
      <c r="A999" s="2">
        <v>999</v>
      </c>
      <c r="B999" s="18">
        <v>45566.708287037036</v>
      </c>
      <c r="C999" s="2" t="s">
        <v>349</v>
      </c>
      <c r="D999" s="2" t="s">
        <v>20</v>
      </c>
      <c r="E999" s="2" t="s">
        <v>370</v>
      </c>
      <c r="F999" s="2" t="s">
        <v>57</v>
      </c>
      <c r="G999" s="3">
        <v>745000</v>
      </c>
      <c r="H999" s="8">
        <v>2</v>
      </c>
      <c r="I999" s="3">
        <v>1072800</v>
      </c>
      <c r="J999" s="3">
        <v>1072800</v>
      </c>
    </row>
    <row r="1000" spans="1:10" x14ac:dyDescent="0.25">
      <c r="A1000" s="2">
        <v>1000</v>
      </c>
      <c r="B1000" s="18">
        <v>45566.708287037036</v>
      </c>
      <c r="C1000" s="2" t="s">
        <v>349</v>
      </c>
      <c r="D1000" s="2" t="s">
        <v>4</v>
      </c>
      <c r="E1000" s="2" t="s">
        <v>363</v>
      </c>
      <c r="F1000" s="2" t="s">
        <v>67</v>
      </c>
      <c r="G1000" s="3">
        <v>945000</v>
      </c>
      <c r="H1000" s="8">
        <v>12</v>
      </c>
      <c r="I1000" s="3">
        <v>8505000</v>
      </c>
      <c r="J1000" s="3">
        <v>8505000</v>
      </c>
    </row>
    <row r="1001" spans="1:10" x14ac:dyDescent="0.25">
      <c r="A1001" s="2">
        <v>1001</v>
      </c>
      <c r="B1001" s="18">
        <v>45566.708287037036</v>
      </c>
      <c r="C1001" s="2" t="s">
        <v>349</v>
      </c>
      <c r="D1001" s="2" t="s">
        <v>4</v>
      </c>
      <c r="E1001" s="2" t="s">
        <v>363</v>
      </c>
      <c r="F1001" s="2" t="s">
        <v>67</v>
      </c>
      <c r="G1001" s="3">
        <v>945000</v>
      </c>
      <c r="H1001" s="8">
        <v>2</v>
      </c>
      <c r="I1001" s="3">
        <v>0</v>
      </c>
      <c r="J1001" s="3">
        <v>0</v>
      </c>
    </row>
    <row r="1002" spans="1:10" x14ac:dyDescent="0.25">
      <c r="A1002" s="2">
        <v>1002</v>
      </c>
      <c r="B1002" s="18">
        <v>45566.708287037036</v>
      </c>
      <c r="C1002" s="2" t="s">
        <v>349</v>
      </c>
      <c r="D1002" s="2" t="s">
        <v>4</v>
      </c>
      <c r="E1002" s="2" t="s">
        <v>363</v>
      </c>
      <c r="F1002" s="2" t="s">
        <v>51</v>
      </c>
      <c r="G1002" s="3">
        <v>465000</v>
      </c>
      <c r="H1002" s="8">
        <v>20</v>
      </c>
      <c r="I1002" s="3">
        <v>3600002.1000000006</v>
      </c>
      <c r="J1002" s="3">
        <v>3600002.1000000006</v>
      </c>
    </row>
    <row r="1003" spans="1:10" x14ac:dyDescent="0.25">
      <c r="A1003" s="2">
        <v>1003</v>
      </c>
      <c r="B1003" s="18">
        <v>45566.708287037036</v>
      </c>
      <c r="C1003" s="2" t="s">
        <v>349</v>
      </c>
      <c r="D1003" s="2" t="s">
        <v>4</v>
      </c>
      <c r="E1003" s="2" t="s">
        <v>363</v>
      </c>
      <c r="F1003" s="2" t="s">
        <v>59</v>
      </c>
      <c r="G1003" s="3">
        <v>475000</v>
      </c>
      <c r="H1003" s="8">
        <v>10</v>
      </c>
      <c r="I1003" s="3">
        <v>3562500</v>
      </c>
      <c r="J1003" s="3">
        <v>3562500</v>
      </c>
    </row>
    <row r="1004" spans="1:10" x14ac:dyDescent="0.25">
      <c r="A1004" s="2">
        <v>1004</v>
      </c>
      <c r="B1004" s="18">
        <v>45566.708287037036</v>
      </c>
      <c r="C1004" s="2" t="s">
        <v>349</v>
      </c>
      <c r="D1004" s="2" t="s">
        <v>4</v>
      </c>
      <c r="E1004" s="2" t="s">
        <v>363</v>
      </c>
      <c r="F1004" s="2" t="s">
        <v>33</v>
      </c>
      <c r="G1004" s="3">
        <v>485000</v>
      </c>
      <c r="H1004" s="8">
        <v>10</v>
      </c>
      <c r="I1004" s="3">
        <v>3637500</v>
      </c>
      <c r="J1004" s="3">
        <v>3637500</v>
      </c>
    </row>
    <row r="1005" spans="1:10" x14ac:dyDescent="0.25">
      <c r="A1005" s="2">
        <v>1005</v>
      </c>
      <c r="B1005" s="18">
        <v>45566.708287037036</v>
      </c>
      <c r="C1005" s="2" t="s">
        <v>349</v>
      </c>
      <c r="D1005" s="2" t="s">
        <v>4</v>
      </c>
      <c r="E1005" s="2" t="s">
        <v>363</v>
      </c>
      <c r="F1005" s="2" t="s">
        <v>89</v>
      </c>
      <c r="G1005" s="3">
        <v>390000</v>
      </c>
      <c r="H1005" s="8">
        <v>10</v>
      </c>
      <c r="I1005" s="3">
        <v>0</v>
      </c>
      <c r="J1005" s="3">
        <v>0</v>
      </c>
    </row>
    <row r="1006" spans="1:10" x14ac:dyDescent="0.25">
      <c r="A1006" s="2">
        <v>1006</v>
      </c>
      <c r="B1006" s="18">
        <v>45566.708287037036</v>
      </c>
      <c r="C1006" s="2" t="s">
        <v>349</v>
      </c>
      <c r="D1006" s="2" t="s">
        <v>4</v>
      </c>
      <c r="E1006" s="2" t="s">
        <v>363</v>
      </c>
      <c r="F1006" s="2" t="s">
        <v>47</v>
      </c>
      <c r="G1006" s="3">
        <v>200000</v>
      </c>
      <c r="H1006" s="8">
        <v>10</v>
      </c>
      <c r="I1006" s="3">
        <v>0</v>
      </c>
      <c r="J1006" s="3">
        <v>0</v>
      </c>
    </row>
    <row r="1007" spans="1:10" x14ac:dyDescent="0.25">
      <c r="A1007" s="2">
        <v>1007</v>
      </c>
      <c r="B1007" s="18">
        <v>45567.708287037036</v>
      </c>
      <c r="C1007" s="2" t="s">
        <v>349</v>
      </c>
      <c r="D1007" s="2" t="s">
        <v>311</v>
      </c>
      <c r="E1007" s="2" t="s">
        <v>369</v>
      </c>
      <c r="F1007" s="2" t="s">
        <v>27</v>
      </c>
      <c r="G1007" s="3">
        <v>935000</v>
      </c>
      <c r="H1007" s="8">
        <v>8</v>
      </c>
      <c r="I1007" s="3">
        <v>5610000</v>
      </c>
      <c r="J1007" s="3">
        <v>5610000</v>
      </c>
    </row>
    <row r="1008" spans="1:10" x14ac:dyDescent="0.25">
      <c r="A1008" s="2">
        <v>1008</v>
      </c>
      <c r="B1008" s="18">
        <v>45567.708287037036</v>
      </c>
      <c r="C1008" s="2" t="s">
        <v>349</v>
      </c>
      <c r="D1008" s="2" t="s">
        <v>311</v>
      </c>
      <c r="E1008" s="2" t="s">
        <v>369</v>
      </c>
      <c r="F1008" s="2" t="s">
        <v>27</v>
      </c>
      <c r="G1008" s="3">
        <v>935000</v>
      </c>
      <c r="H1008" s="8">
        <v>1</v>
      </c>
      <c r="I1008" s="3">
        <v>0</v>
      </c>
      <c r="J1008" s="3">
        <v>0</v>
      </c>
    </row>
    <row r="1009" spans="1:10" x14ac:dyDescent="0.25">
      <c r="A1009" s="2">
        <v>1009</v>
      </c>
      <c r="B1009" s="18">
        <v>45567.708287037036</v>
      </c>
      <c r="C1009" s="2" t="s">
        <v>349</v>
      </c>
      <c r="D1009" s="2" t="s">
        <v>311</v>
      </c>
      <c r="E1009" s="2" t="s">
        <v>369</v>
      </c>
      <c r="F1009" s="2" t="s">
        <v>89</v>
      </c>
      <c r="G1009" s="3">
        <v>390000</v>
      </c>
      <c r="H1009" s="8">
        <v>8</v>
      </c>
      <c r="I1009" s="3">
        <v>0</v>
      </c>
      <c r="J1009" s="3">
        <v>0</v>
      </c>
    </row>
    <row r="1010" spans="1:10" x14ac:dyDescent="0.25">
      <c r="A1010" s="2">
        <v>1010</v>
      </c>
      <c r="B1010" s="18">
        <v>45567.708287037036</v>
      </c>
      <c r="C1010" s="2" t="s">
        <v>349</v>
      </c>
      <c r="D1010" s="2" t="s">
        <v>311</v>
      </c>
      <c r="E1010" s="2" t="s">
        <v>369</v>
      </c>
      <c r="F1010" s="2" t="s">
        <v>33</v>
      </c>
      <c r="G1010" s="3">
        <v>485000</v>
      </c>
      <c r="H1010" s="8">
        <v>6</v>
      </c>
      <c r="I1010" s="3">
        <v>2182500</v>
      </c>
      <c r="J1010" s="3">
        <v>2182500</v>
      </c>
    </row>
    <row r="1011" spans="1:10" x14ac:dyDescent="0.25">
      <c r="A1011" s="2">
        <v>1011</v>
      </c>
      <c r="B1011" s="18">
        <v>45567.708287037036</v>
      </c>
      <c r="C1011" s="2" t="s">
        <v>349</v>
      </c>
      <c r="D1011" s="2" t="s">
        <v>311</v>
      </c>
      <c r="E1011" s="2" t="s">
        <v>369</v>
      </c>
      <c r="F1011" s="2" t="s">
        <v>33</v>
      </c>
      <c r="G1011" s="3">
        <v>485000</v>
      </c>
      <c r="H1011" s="8">
        <v>1</v>
      </c>
      <c r="I1011" s="3">
        <v>0</v>
      </c>
      <c r="J1011" s="3">
        <v>0</v>
      </c>
    </row>
    <row r="1012" spans="1:10" x14ac:dyDescent="0.25">
      <c r="A1012" s="2">
        <v>1012</v>
      </c>
      <c r="B1012" s="18">
        <v>45567.708287037036</v>
      </c>
      <c r="C1012" s="2" t="s">
        <v>349</v>
      </c>
      <c r="D1012" s="2" t="s">
        <v>311</v>
      </c>
      <c r="E1012" s="2" t="s">
        <v>369</v>
      </c>
      <c r="F1012" s="2" t="s">
        <v>47</v>
      </c>
      <c r="G1012" s="3">
        <v>200000</v>
      </c>
      <c r="H1012" s="8">
        <v>6</v>
      </c>
      <c r="I1012" s="3">
        <v>0</v>
      </c>
      <c r="J1012" s="3">
        <v>0</v>
      </c>
    </row>
    <row r="1013" spans="1:10" x14ac:dyDescent="0.25">
      <c r="A1013" s="2">
        <v>1013</v>
      </c>
      <c r="B1013" s="18">
        <v>45567.708287037036</v>
      </c>
      <c r="C1013" s="2" t="s">
        <v>349</v>
      </c>
      <c r="D1013" s="2" t="s">
        <v>34</v>
      </c>
      <c r="E1013" s="2" t="s">
        <v>370</v>
      </c>
      <c r="F1013" s="2" t="s">
        <v>421</v>
      </c>
      <c r="G1013" s="3">
        <v>0</v>
      </c>
      <c r="H1013" s="8">
        <v>0</v>
      </c>
      <c r="I1013" s="3">
        <v>0</v>
      </c>
      <c r="J1013" s="3">
        <v>0</v>
      </c>
    </row>
    <row r="1014" spans="1:10" x14ac:dyDescent="0.25">
      <c r="A1014" s="2">
        <v>1014</v>
      </c>
      <c r="B1014" s="18">
        <v>45567.708287037036</v>
      </c>
      <c r="C1014" s="2" t="s">
        <v>349</v>
      </c>
      <c r="D1014" s="2" t="s">
        <v>66</v>
      </c>
      <c r="E1014" s="2" t="s">
        <v>365</v>
      </c>
      <c r="F1014" s="2" t="s">
        <v>23</v>
      </c>
      <c r="G1014" s="3">
        <v>775000</v>
      </c>
      <c r="H1014" s="8">
        <v>1</v>
      </c>
      <c r="I1014" s="3">
        <v>503750</v>
      </c>
      <c r="J1014" s="3">
        <v>503750</v>
      </c>
    </row>
    <row r="1015" spans="1:10" x14ac:dyDescent="0.25">
      <c r="A1015" s="2">
        <v>1015</v>
      </c>
      <c r="B1015" s="18">
        <v>45567.708287037036</v>
      </c>
      <c r="C1015" s="2" t="s">
        <v>349</v>
      </c>
      <c r="D1015" s="2" t="s">
        <v>266</v>
      </c>
      <c r="E1015" s="2" t="s">
        <v>371</v>
      </c>
      <c r="F1015" s="2" t="s">
        <v>33</v>
      </c>
      <c r="G1015" s="3">
        <v>485000</v>
      </c>
      <c r="H1015" s="8">
        <v>50</v>
      </c>
      <c r="I1015" s="3">
        <v>10912500</v>
      </c>
      <c r="J1015" s="3">
        <v>10912500</v>
      </c>
    </row>
    <row r="1016" spans="1:10" x14ac:dyDescent="0.25">
      <c r="A1016" s="2">
        <v>1016</v>
      </c>
      <c r="B1016" s="18">
        <v>45567.708287037036</v>
      </c>
      <c r="C1016" s="2" t="s">
        <v>349</v>
      </c>
      <c r="D1016" s="2" t="s">
        <v>266</v>
      </c>
      <c r="E1016" s="2" t="s">
        <v>371</v>
      </c>
      <c r="F1016" s="2" t="s">
        <v>31</v>
      </c>
      <c r="G1016" s="3">
        <v>745000</v>
      </c>
      <c r="H1016" s="8">
        <v>50</v>
      </c>
      <c r="I1016" s="3">
        <v>18625000</v>
      </c>
      <c r="J1016" s="3">
        <v>18625000</v>
      </c>
    </row>
    <row r="1017" spans="1:10" x14ac:dyDescent="0.25">
      <c r="A1017" s="2">
        <v>1017</v>
      </c>
      <c r="B1017" s="18">
        <v>45567.708287037036</v>
      </c>
      <c r="C1017" s="2" t="s">
        <v>349</v>
      </c>
      <c r="D1017" s="2" t="s">
        <v>266</v>
      </c>
      <c r="E1017" s="2" t="s">
        <v>371</v>
      </c>
      <c r="F1017" s="2" t="s">
        <v>83</v>
      </c>
      <c r="G1017" s="3">
        <v>790000</v>
      </c>
      <c r="H1017" s="8">
        <v>36</v>
      </c>
      <c r="I1017" s="3">
        <v>14220000</v>
      </c>
      <c r="J1017" s="3">
        <v>14220000</v>
      </c>
    </row>
    <row r="1018" spans="1:10" x14ac:dyDescent="0.25">
      <c r="A1018" s="2">
        <v>1018</v>
      </c>
      <c r="B1018" s="18">
        <v>45567.708287037036</v>
      </c>
      <c r="C1018" s="2" t="s">
        <v>349</v>
      </c>
      <c r="D1018" s="2" t="s">
        <v>231</v>
      </c>
      <c r="E1018" s="2" t="s">
        <v>367</v>
      </c>
      <c r="F1018" s="2" t="s">
        <v>83</v>
      </c>
      <c r="G1018" s="3">
        <v>790000</v>
      </c>
      <c r="H1018" s="8">
        <v>1</v>
      </c>
      <c r="I1018" s="3">
        <v>625680</v>
      </c>
      <c r="J1018" s="3">
        <v>625680</v>
      </c>
    </row>
    <row r="1019" spans="1:10" x14ac:dyDescent="0.25">
      <c r="A1019" s="2">
        <v>1019</v>
      </c>
      <c r="B1019" s="18">
        <v>45567.708287037036</v>
      </c>
      <c r="C1019" s="2" t="s">
        <v>349</v>
      </c>
      <c r="D1019" s="2" t="s">
        <v>303</v>
      </c>
      <c r="E1019" s="2" t="s">
        <v>366</v>
      </c>
      <c r="F1019" s="2" t="s">
        <v>31</v>
      </c>
      <c r="G1019" s="3">
        <v>745000</v>
      </c>
      <c r="H1019" s="8">
        <v>10</v>
      </c>
      <c r="I1019" s="3">
        <v>4470000</v>
      </c>
      <c r="J1019" s="3">
        <v>4470000</v>
      </c>
    </row>
    <row r="1020" spans="1:10" x14ac:dyDescent="0.25">
      <c r="A1020" s="2">
        <v>1020</v>
      </c>
      <c r="B1020" s="18">
        <v>45567.708287037036</v>
      </c>
      <c r="C1020" s="2" t="s">
        <v>349</v>
      </c>
      <c r="D1020" s="2" t="s">
        <v>313</v>
      </c>
      <c r="E1020" s="2" t="s">
        <v>369</v>
      </c>
      <c r="F1020" s="2" t="s">
        <v>19</v>
      </c>
      <c r="G1020" s="3">
        <v>590000</v>
      </c>
      <c r="H1020" s="8">
        <v>6</v>
      </c>
      <c r="I1020" s="3">
        <v>2655000</v>
      </c>
      <c r="J1020" s="3">
        <v>2655000</v>
      </c>
    </row>
    <row r="1021" spans="1:10" x14ac:dyDescent="0.25">
      <c r="A1021" s="2">
        <v>1021</v>
      </c>
      <c r="B1021" s="18">
        <v>45567.708287037036</v>
      </c>
      <c r="C1021" s="2" t="s">
        <v>349</v>
      </c>
      <c r="D1021" s="2" t="s">
        <v>313</v>
      </c>
      <c r="E1021" s="2" t="s">
        <v>369</v>
      </c>
      <c r="F1021" s="2" t="s">
        <v>19</v>
      </c>
      <c r="G1021" s="3">
        <v>590000</v>
      </c>
      <c r="H1021" s="8">
        <v>1</v>
      </c>
      <c r="I1021" s="3">
        <v>0</v>
      </c>
      <c r="J1021" s="3">
        <v>0</v>
      </c>
    </row>
    <row r="1022" spans="1:10" x14ac:dyDescent="0.25">
      <c r="A1022" s="2">
        <v>1022</v>
      </c>
      <c r="B1022" s="18">
        <v>45567.708287037036</v>
      </c>
      <c r="C1022" s="2" t="s">
        <v>349</v>
      </c>
      <c r="D1022" s="2" t="s">
        <v>313</v>
      </c>
      <c r="E1022" s="2" t="s">
        <v>369</v>
      </c>
      <c r="F1022" s="2" t="s">
        <v>29</v>
      </c>
      <c r="G1022" s="3">
        <v>590000</v>
      </c>
      <c r="H1022" s="8">
        <v>6</v>
      </c>
      <c r="I1022" s="3">
        <v>2655000</v>
      </c>
      <c r="J1022" s="3">
        <v>2655000</v>
      </c>
    </row>
    <row r="1023" spans="1:10" x14ac:dyDescent="0.25">
      <c r="A1023" s="2">
        <v>1023</v>
      </c>
      <c r="B1023" s="18">
        <v>45567.708287037036</v>
      </c>
      <c r="C1023" s="2" t="s">
        <v>349</v>
      </c>
      <c r="D1023" s="2" t="s">
        <v>313</v>
      </c>
      <c r="E1023" s="2" t="s">
        <v>369</v>
      </c>
      <c r="F1023" s="2" t="s">
        <v>29</v>
      </c>
      <c r="G1023" s="3">
        <v>590000</v>
      </c>
      <c r="H1023" s="8">
        <v>1</v>
      </c>
      <c r="I1023" s="3">
        <v>0</v>
      </c>
      <c r="J1023" s="3">
        <v>0</v>
      </c>
    </row>
    <row r="1024" spans="1:10" x14ac:dyDescent="0.25">
      <c r="A1024" s="2">
        <v>1024</v>
      </c>
      <c r="B1024" s="18">
        <v>45567.708287037036</v>
      </c>
      <c r="C1024" s="2" t="s">
        <v>349</v>
      </c>
      <c r="D1024" s="2" t="s">
        <v>313</v>
      </c>
      <c r="E1024" s="2" t="s">
        <v>369</v>
      </c>
      <c r="F1024" s="2" t="s">
        <v>89</v>
      </c>
      <c r="G1024" s="3">
        <v>390000</v>
      </c>
      <c r="H1024" s="8">
        <v>12</v>
      </c>
      <c r="I1024" s="3">
        <v>0</v>
      </c>
      <c r="J1024" s="3">
        <v>0</v>
      </c>
    </row>
    <row r="1025" spans="1:10" x14ac:dyDescent="0.25">
      <c r="A1025" s="2">
        <v>1025</v>
      </c>
      <c r="B1025" s="18">
        <v>45568.708287037036</v>
      </c>
      <c r="C1025" s="2" t="s">
        <v>349</v>
      </c>
      <c r="D1025" s="2" t="s">
        <v>268</v>
      </c>
      <c r="E1025" s="2" t="s">
        <v>371</v>
      </c>
      <c r="F1025" s="2" t="s">
        <v>31</v>
      </c>
      <c r="G1025" s="3">
        <v>745000</v>
      </c>
      <c r="H1025" s="8">
        <v>22</v>
      </c>
      <c r="I1025" s="3">
        <v>8195000</v>
      </c>
      <c r="J1025" s="3">
        <v>8195000</v>
      </c>
    </row>
    <row r="1026" spans="1:10" x14ac:dyDescent="0.25">
      <c r="A1026" s="2">
        <v>1026</v>
      </c>
      <c r="B1026" s="18">
        <v>45568.708287037036</v>
      </c>
      <c r="C1026" s="2" t="s">
        <v>349</v>
      </c>
      <c r="D1026" s="2" t="s">
        <v>268</v>
      </c>
      <c r="E1026" s="2" t="s">
        <v>371</v>
      </c>
      <c r="F1026" s="2" t="s">
        <v>57</v>
      </c>
      <c r="G1026" s="3">
        <v>745000</v>
      </c>
      <c r="H1026" s="8">
        <v>19</v>
      </c>
      <c r="I1026" s="3">
        <v>7077500</v>
      </c>
      <c r="J1026" s="3">
        <v>7077500</v>
      </c>
    </row>
    <row r="1027" spans="1:10" x14ac:dyDescent="0.25">
      <c r="A1027" s="2">
        <v>1027</v>
      </c>
      <c r="B1027" s="18">
        <v>45568.708287037036</v>
      </c>
      <c r="C1027" s="2" t="s">
        <v>349</v>
      </c>
      <c r="D1027" s="2" t="s">
        <v>268</v>
      </c>
      <c r="E1027" s="2" t="s">
        <v>371</v>
      </c>
      <c r="F1027" s="2" t="s">
        <v>83</v>
      </c>
      <c r="G1027" s="3">
        <v>790000</v>
      </c>
      <c r="H1027" s="8">
        <v>9</v>
      </c>
      <c r="I1027" s="3">
        <v>3555000</v>
      </c>
      <c r="J1027" s="3">
        <v>3555000</v>
      </c>
    </row>
    <row r="1028" spans="1:10" x14ac:dyDescent="0.25">
      <c r="A1028" s="2">
        <v>1028</v>
      </c>
      <c r="B1028" s="18">
        <v>45568.708287037036</v>
      </c>
      <c r="C1028" s="2" t="s">
        <v>349</v>
      </c>
      <c r="D1028" s="2" t="s">
        <v>309</v>
      </c>
      <c r="E1028" s="2" t="s">
        <v>367</v>
      </c>
      <c r="F1028" s="2" t="s">
        <v>33</v>
      </c>
      <c r="G1028" s="3">
        <v>485000</v>
      </c>
      <c r="H1028" s="8">
        <v>1</v>
      </c>
      <c r="I1028" s="3">
        <v>315250</v>
      </c>
      <c r="J1028" s="3">
        <v>315250</v>
      </c>
    </row>
    <row r="1029" spans="1:10" x14ac:dyDescent="0.25">
      <c r="A1029" s="2">
        <v>1029</v>
      </c>
      <c r="B1029" s="18">
        <v>45568.708287037036</v>
      </c>
      <c r="C1029" s="2" t="s">
        <v>349</v>
      </c>
      <c r="D1029" s="2" t="s">
        <v>309</v>
      </c>
      <c r="E1029" s="2" t="s">
        <v>367</v>
      </c>
      <c r="F1029" s="2" t="s">
        <v>59</v>
      </c>
      <c r="G1029" s="3">
        <v>475000</v>
      </c>
      <c r="H1029" s="8">
        <v>1</v>
      </c>
      <c r="I1029" s="3">
        <v>308750</v>
      </c>
      <c r="J1029" s="3">
        <v>308750</v>
      </c>
    </row>
    <row r="1030" spans="1:10" x14ac:dyDescent="0.25">
      <c r="A1030" s="2">
        <v>1030</v>
      </c>
      <c r="B1030" s="18">
        <v>45569.708287037036</v>
      </c>
      <c r="C1030" s="2" t="s">
        <v>349</v>
      </c>
      <c r="D1030" s="2" t="s">
        <v>107</v>
      </c>
      <c r="E1030" s="2" t="s">
        <v>367</v>
      </c>
      <c r="F1030" s="2" t="s">
        <v>85</v>
      </c>
      <c r="G1030" s="3">
        <v>480000</v>
      </c>
      <c r="H1030" s="8">
        <v>1</v>
      </c>
      <c r="I1030" s="3">
        <v>312000</v>
      </c>
      <c r="J1030" s="3">
        <v>312000</v>
      </c>
    </row>
    <row r="1031" spans="1:10" x14ac:dyDescent="0.25">
      <c r="A1031" s="2">
        <v>1031</v>
      </c>
      <c r="B1031" s="18">
        <v>45569.708287037036</v>
      </c>
      <c r="C1031" s="2" t="s">
        <v>349</v>
      </c>
      <c r="D1031" s="2" t="s">
        <v>107</v>
      </c>
      <c r="E1031" s="2" t="s">
        <v>367</v>
      </c>
      <c r="F1031" s="2" t="s">
        <v>59</v>
      </c>
      <c r="G1031" s="3">
        <v>475000</v>
      </c>
      <c r="H1031" s="8">
        <v>1</v>
      </c>
      <c r="I1031" s="3">
        <v>308750</v>
      </c>
      <c r="J1031" s="3">
        <v>308750</v>
      </c>
    </row>
    <row r="1032" spans="1:10" x14ac:dyDescent="0.25">
      <c r="A1032" s="2">
        <v>1032</v>
      </c>
      <c r="B1032" s="18">
        <v>45571.708287037036</v>
      </c>
      <c r="C1032" s="2" t="s">
        <v>349</v>
      </c>
      <c r="D1032" s="2" t="s">
        <v>101</v>
      </c>
      <c r="E1032" s="2" t="s">
        <v>363</v>
      </c>
      <c r="F1032" s="2" t="s">
        <v>67</v>
      </c>
      <c r="G1032" s="3">
        <v>945000</v>
      </c>
      <c r="H1032" s="8">
        <v>12</v>
      </c>
      <c r="I1032" s="3">
        <v>8505000</v>
      </c>
      <c r="J1032" s="3">
        <v>8505000</v>
      </c>
    </row>
    <row r="1033" spans="1:10" x14ac:dyDescent="0.25">
      <c r="A1033" s="2">
        <v>1033</v>
      </c>
      <c r="B1033" s="18">
        <v>45571.708287037036</v>
      </c>
      <c r="C1033" s="2" t="s">
        <v>349</v>
      </c>
      <c r="D1033" s="2" t="s">
        <v>101</v>
      </c>
      <c r="E1033" s="2" t="s">
        <v>363</v>
      </c>
      <c r="F1033" s="2" t="s">
        <v>67</v>
      </c>
      <c r="G1033" s="3">
        <v>945000</v>
      </c>
      <c r="H1033" s="8">
        <v>2</v>
      </c>
      <c r="I1033" s="3">
        <v>0</v>
      </c>
      <c r="J1033" s="3">
        <v>0</v>
      </c>
    </row>
    <row r="1034" spans="1:10" x14ac:dyDescent="0.25">
      <c r="A1034" s="2">
        <v>1034</v>
      </c>
      <c r="B1034" s="18">
        <v>45571.708287037036</v>
      </c>
      <c r="C1034" s="2" t="s">
        <v>349</v>
      </c>
      <c r="D1034" s="2" t="s">
        <v>267</v>
      </c>
      <c r="E1034" s="2" t="s">
        <v>371</v>
      </c>
      <c r="F1034" s="2" t="s">
        <v>31</v>
      </c>
      <c r="G1034" s="3">
        <v>745000</v>
      </c>
      <c r="H1034" s="8">
        <v>71</v>
      </c>
      <c r="I1034" s="3">
        <v>26447500</v>
      </c>
      <c r="J1034" s="3">
        <v>26447500</v>
      </c>
    </row>
    <row r="1035" spans="1:10" x14ac:dyDescent="0.25">
      <c r="A1035" s="2">
        <v>1035</v>
      </c>
      <c r="B1035" s="18">
        <v>45571.708287037036</v>
      </c>
      <c r="C1035" s="2" t="s">
        <v>349</v>
      </c>
      <c r="D1035" s="2" t="s">
        <v>267</v>
      </c>
      <c r="E1035" s="2" t="s">
        <v>371</v>
      </c>
      <c r="F1035" s="2" t="s">
        <v>83</v>
      </c>
      <c r="G1035" s="3">
        <v>790000</v>
      </c>
      <c r="H1035" s="8">
        <v>35</v>
      </c>
      <c r="I1035" s="3">
        <v>13825000</v>
      </c>
      <c r="J1035" s="3">
        <v>13825000</v>
      </c>
    </row>
    <row r="1036" spans="1:10" x14ac:dyDescent="0.25">
      <c r="A1036" s="2">
        <v>1036</v>
      </c>
      <c r="B1036" s="18">
        <v>45571.708287037036</v>
      </c>
      <c r="C1036" s="2" t="s">
        <v>349</v>
      </c>
      <c r="D1036" s="2" t="s">
        <v>267</v>
      </c>
      <c r="E1036" s="2" t="s">
        <v>371</v>
      </c>
      <c r="F1036" s="2" t="s">
        <v>27</v>
      </c>
      <c r="G1036" s="3">
        <v>935000</v>
      </c>
      <c r="H1036" s="8">
        <v>17</v>
      </c>
      <c r="I1036" s="3">
        <v>7947500</v>
      </c>
      <c r="J1036" s="3">
        <v>7947500</v>
      </c>
    </row>
    <row r="1037" spans="1:10" x14ac:dyDescent="0.25">
      <c r="A1037" s="2">
        <v>1037</v>
      </c>
      <c r="B1037" s="18">
        <v>45571.708287037036</v>
      </c>
      <c r="C1037" s="2" t="s">
        <v>349</v>
      </c>
      <c r="D1037" s="2" t="s">
        <v>320</v>
      </c>
      <c r="E1037" s="2" t="s">
        <v>363</v>
      </c>
      <c r="F1037" s="2" t="s">
        <v>23</v>
      </c>
      <c r="G1037" s="3">
        <v>775000</v>
      </c>
      <c r="H1037" s="8">
        <v>10</v>
      </c>
      <c r="I1037" s="3">
        <v>5425000</v>
      </c>
      <c r="J1037" s="3">
        <v>5425000</v>
      </c>
    </row>
    <row r="1038" spans="1:10" x14ac:dyDescent="0.25">
      <c r="A1038" s="2">
        <v>1038</v>
      </c>
      <c r="B1038" s="18">
        <v>45571.708287037036</v>
      </c>
      <c r="C1038" s="2" t="s">
        <v>349</v>
      </c>
      <c r="D1038" s="2" t="s">
        <v>285</v>
      </c>
      <c r="E1038" s="2" t="s">
        <v>369</v>
      </c>
      <c r="F1038" s="2" t="s">
        <v>21</v>
      </c>
      <c r="G1038" s="3">
        <v>890000</v>
      </c>
      <c r="H1038" s="8">
        <v>1</v>
      </c>
      <c r="I1038" s="3">
        <v>667500</v>
      </c>
      <c r="J1038" s="3">
        <v>667500</v>
      </c>
    </row>
    <row r="1039" spans="1:10" x14ac:dyDescent="0.25">
      <c r="A1039" s="2">
        <v>1039</v>
      </c>
      <c r="B1039" s="18">
        <v>45571.708287037036</v>
      </c>
      <c r="C1039" s="2" t="s">
        <v>349</v>
      </c>
      <c r="D1039" s="2" t="s">
        <v>285</v>
      </c>
      <c r="E1039" s="2" t="s">
        <v>369</v>
      </c>
      <c r="F1039" s="2" t="s">
        <v>89</v>
      </c>
      <c r="G1039" s="3">
        <v>390000</v>
      </c>
      <c r="H1039" s="8">
        <v>1</v>
      </c>
      <c r="I1039" s="3">
        <v>0</v>
      </c>
      <c r="J1039" s="3">
        <v>0</v>
      </c>
    </row>
    <row r="1040" spans="1:10" x14ac:dyDescent="0.25">
      <c r="A1040" s="2">
        <v>1040</v>
      </c>
      <c r="B1040" s="18">
        <v>45572.708287037036</v>
      </c>
      <c r="C1040" s="2" t="s">
        <v>349</v>
      </c>
      <c r="D1040" s="2" t="s">
        <v>34</v>
      </c>
      <c r="E1040" s="2" t="s">
        <v>370</v>
      </c>
      <c r="F1040" s="2" t="s">
        <v>421</v>
      </c>
      <c r="G1040" s="3">
        <v>0</v>
      </c>
      <c r="H1040" s="8">
        <v>0</v>
      </c>
      <c r="I1040" s="3">
        <v>0</v>
      </c>
      <c r="J1040" s="3">
        <v>0</v>
      </c>
    </row>
    <row r="1041" spans="1:10" x14ac:dyDescent="0.25">
      <c r="A1041" s="2">
        <v>1041</v>
      </c>
      <c r="B1041" s="18">
        <v>45572.708287037036</v>
      </c>
      <c r="C1041" s="2" t="s">
        <v>349</v>
      </c>
      <c r="D1041" s="2" t="s">
        <v>106</v>
      </c>
      <c r="E1041" s="2" t="s">
        <v>367</v>
      </c>
      <c r="F1041" s="2" t="s">
        <v>85</v>
      </c>
      <c r="G1041" s="3">
        <v>480000</v>
      </c>
      <c r="H1041" s="8">
        <v>2</v>
      </c>
      <c r="I1041" s="3">
        <v>624000</v>
      </c>
      <c r="J1041" s="3">
        <v>624000</v>
      </c>
    </row>
    <row r="1042" spans="1:10" x14ac:dyDescent="0.25">
      <c r="A1042" s="2">
        <v>1042</v>
      </c>
      <c r="B1042" s="18">
        <v>45574.708287037036</v>
      </c>
      <c r="C1042" s="2" t="s">
        <v>349</v>
      </c>
      <c r="D1042" s="2" t="s">
        <v>66</v>
      </c>
      <c r="E1042" s="2" t="s">
        <v>365</v>
      </c>
      <c r="F1042" s="2" t="s">
        <v>31</v>
      </c>
      <c r="G1042" s="3">
        <v>745000</v>
      </c>
      <c r="H1042" s="8">
        <v>1</v>
      </c>
      <c r="I1042" s="3">
        <v>484250</v>
      </c>
      <c r="J1042" s="3">
        <v>484250</v>
      </c>
    </row>
    <row r="1043" spans="1:10" x14ac:dyDescent="0.25">
      <c r="A1043" s="2">
        <v>1043</v>
      </c>
      <c r="B1043" s="18">
        <v>45574.708287037036</v>
      </c>
      <c r="C1043" s="2" t="s">
        <v>349</v>
      </c>
      <c r="D1043" s="2" t="s">
        <v>66</v>
      </c>
      <c r="E1043" s="2" t="s">
        <v>365</v>
      </c>
      <c r="F1043" s="2" t="s">
        <v>19</v>
      </c>
      <c r="G1043" s="3">
        <v>590000</v>
      </c>
      <c r="H1043" s="8">
        <v>1</v>
      </c>
      <c r="I1043" s="3">
        <v>383500</v>
      </c>
      <c r="J1043" s="3">
        <v>383500</v>
      </c>
    </row>
    <row r="1044" spans="1:10" x14ac:dyDescent="0.25">
      <c r="A1044" s="2">
        <v>1044</v>
      </c>
      <c r="B1044" s="18">
        <v>45574.708287037036</v>
      </c>
      <c r="C1044" s="2" t="s">
        <v>349</v>
      </c>
      <c r="D1044" s="2" t="s">
        <v>249</v>
      </c>
      <c r="E1044" s="2" t="s">
        <v>363</v>
      </c>
      <c r="F1044" s="2" t="s">
        <v>19</v>
      </c>
      <c r="G1044" s="3">
        <v>590000</v>
      </c>
      <c r="H1044" s="8">
        <v>24</v>
      </c>
      <c r="I1044" s="3">
        <v>8496000</v>
      </c>
      <c r="J1044" s="3">
        <v>8496000</v>
      </c>
    </row>
    <row r="1045" spans="1:10" x14ac:dyDescent="0.25">
      <c r="A1045" s="2">
        <v>1045</v>
      </c>
      <c r="B1045" s="18">
        <v>45574.708287037036</v>
      </c>
      <c r="C1045" s="2" t="s">
        <v>349</v>
      </c>
      <c r="D1045" s="2" t="s">
        <v>249</v>
      </c>
      <c r="E1045" s="2" t="s">
        <v>363</v>
      </c>
      <c r="F1045" s="2" t="s">
        <v>29</v>
      </c>
      <c r="G1045" s="3">
        <v>590000</v>
      </c>
      <c r="H1045" s="8">
        <v>24</v>
      </c>
      <c r="I1045" s="3">
        <v>8496000</v>
      </c>
      <c r="J1045" s="3">
        <v>8496000</v>
      </c>
    </row>
    <row r="1046" spans="1:10" x14ac:dyDescent="0.25">
      <c r="A1046" s="2">
        <v>1046</v>
      </c>
      <c r="B1046" s="18">
        <v>45574.708287037036</v>
      </c>
      <c r="C1046" s="2" t="s">
        <v>349</v>
      </c>
      <c r="D1046" s="2" t="s">
        <v>249</v>
      </c>
      <c r="E1046" s="2" t="s">
        <v>363</v>
      </c>
      <c r="F1046" s="2" t="s">
        <v>63</v>
      </c>
      <c r="G1046" s="3">
        <v>550000</v>
      </c>
      <c r="H1046" s="8">
        <v>24</v>
      </c>
      <c r="I1046" s="3">
        <v>7920000</v>
      </c>
      <c r="J1046" s="3">
        <v>7920000</v>
      </c>
    </row>
    <row r="1047" spans="1:10" x14ac:dyDescent="0.25">
      <c r="A1047" s="2">
        <v>1047</v>
      </c>
      <c r="B1047" s="18">
        <v>45574.708287037036</v>
      </c>
      <c r="C1047" s="2" t="s">
        <v>349</v>
      </c>
      <c r="D1047" s="2" t="s">
        <v>249</v>
      </c>
      <c r="E1047" s="2" t="s">
        <v>363</v>
      </c>
      <c r="F1047" s="2" t="s">
        <v>33</v>
      </c>
      <c r="G1047" s="3">
        <v>485000</v>
      </c>
      <c r="H1047" s="8">
        <v>24</v>
      </c>
      <c r="I1047" s="3">
        <v>6984000</v>
      </c>
      <c r="J1047" s="3">
        <v>6984000</v>
      </c>
    </row>
    <row r="1048" spans="1:10" x14ac:dyDescent="0.25">
      <c r="A1048" s="2">
        <v>1048</v>
      </c>
      <c r="B1048" s="18">
        <v>45574.708287037036</v>
      </c>
      <c r="C1048" s="2" t="s">
        <v>349</v>
      </c>
      <c r="D1048" s="2" t="s">
        <v>249</v>
      </c>
      <c r="E1048" s="2" t="s">
        <v>363</v>
      </c>
      <c r="F1048" s="2" t="s">
        <v>59</v>
      </c>
      <c r="G1048" s="3">
        <v>475000</v>
      </c>
      <c r="H1048" s="8">
        <v>24</v>
      </c>
      <c r="I1048" s="3">
        <v>6840000</v>
      </c>
      <c r="J1048" s="3">
        <v>6840000</v>
      </c>
    </row>
    <row r="1049" spans="1:10" x14ac:dyDescent="0.25">
      <c r="A1049" s="2">
        <v>1049</v>
      </c>
      <c r="B1049" s="18">
        <v>45574.708287037036</v>
      </c>
      <c r="C1049" s="2" t="s">
        <v>349</v>
      </c>
      <c r="D1049" s="2" t="s">
        <v>249</v>
      </c>
      <c r="E1049" s="2" t="s">
        <v>363</v>
      </c>
      <c r="F1049" s="2" t="s">
        <v>51</v>
      </c>
      <c r="G1049" s="3">
        <v>465000</v>
      </c>
      <c r="H1049" s="8">
        <v>24</v>
      </c>
      <c r="I1049" s="3">
        <v>4464000</v>
      </c>
      <c r="J1049" s="3">
        <v>4464000</v>
      </c>
    </row>
    <row r="1050" spans="1:10" x14ac:dyDescent="0.25">
      <c r="A1050" s="2">
        <v>1050</v>
      </c>
      <c r="B1050" s="18">
        <v>45574.708287037036</v>
      </c>
      <c r="C1050" s="2" t="s">
        <v>349</v>
      </c>
      <c r="D1050" s="2" t="s">
        <v>249</v>
      </c>
      <c r="E1050" s="2" t="s">
        <v>363</v>
      </c>
      <c r="F1050" s="2" t="s">
        <v>67</v>
      </c>
      <c r="G1050" s="3">
        <v>945000</v>
      </c>
      <c r="H1050" s="8">
        <v>6</v>
      </c>
      <c r="I1050" s="3">
        <v>3402000</v>
      </c>
      <c r="J1050" s="3">
        <v>3402000</v>
      </c>
    </row>
    <row r="1051" spans="1:10" x14ac:dyDescent="0.25">
      <c r="A1051" s="2">
        <v>1051</v>
      </c>
      <c r="B1051" s="18">
        <v>45574.708287037036</v>
      </c>
      <c r="C1051" s="2" t="s">
        <v>349</v>
      </c>
      <c r="D1051" s="2" t="s">
        <v>249</v>
      </c>
      <c r="E1051" s="2" t="s">
        <v>363</v>
      </c>
      <c r="F1051" s="2" t="s">
        <v>69</v>
      </c>
      <c r="G1051" s="3">
        <v>1450000</v>
      </c>
      <c r="H1051" s="8">
        <v>6</v>
      </c>
      <c r="I1051" s="3">
        <v>5220000</v>
      </c>
      <c r="J1051" s="3">
        <v>5220000</v>
      </c>
    </row>
    <row r="1052" spans="1:10" x14ac:dyDescent="0.25">
      <c r="A1052" s="2">
        <v>1052</v>
      </c>
      <c r="B1052" s="18">
        <v>45574.708287037036</v>
      </c>
      <c r="C1052" s="2" t="s">
        <v>349</v>
      </c>
      <c r="D1052" s="2" t="s">
        <v>249</v>
      </c>
      <c r="E1052" s="2" t="s">
        <v>363</v>
      </c>
      <c r="F1052" s="2" t="s">
        <v>23</v>
      </c>
      <c r="G1052" s="3">
        <v>775000</v>
      </c>
      <c r="H1052" s="8">
        <v>12</v>
      </c>
      <c r="I1052" s="3">
        <v>5952000</v>
      </c>
      <c r="J1052" s="3">
        <v>5952000</v>
      </c>
    </row>
    <row r="1053" spans="1:10" x14ac:dyDescent="0.25">
      <c r="A1053" s="2">
        <v>1053</v>
      </c>
      <c r="B1053" s="18">
        <v>45574.708287037036</v>
      </c>
      <c r="C1053" s="2" t="s">
        <v>349</v>
      </c>
      <c r="D1053" s="2" t="s">
        <v>259</v>
      </c>
      <c r="E1053" s="2" t="s">
        <v>367</v>
      </c>
      <c r="F1053" s="2" t="s">
        <v>19</v>
      </c>
      <c r="G1053" s="3">
        <v>590000</v>
      </c>
      <c r="H1053" s="8">
        <v>1</v>
      </c>
      <c r="I1053" s="3">
        <v>0</v>
      </c>
      <c r="J1053" s="3">
        <v>0</v>
      </c>
    </row>
    <row r="1054" spans="1:10" x14ac:dyDescent="0.25">
      <c r="A1054" s="2">
        <v>1054</v>
      </c>
      <c r="B1054" s="18">
        <v>45574.708287037036</v>
      </c>
      <c r="C1054" s="2" t="s">
        <v>349</v>
      </c>
      <c r="D1054" s="2" t="s">
        <v>259</v>
      </c>
      <c r="E1054" s="2" t="s">
        <v>367</v>
      </c>
      <c r="F1054" s="2" t="s">
        <v>53</v>
      </c>
      <c r="G1054" s="3">
        <v>550000</v>
      </c>
      <c r="H1054" s="8">
        <v>1</v>
      </c>
      <c r="I1054" s="3">
        <v>0</v>
      </c>
      <c r="J1054" s="3">
        <v>0</v>
      </c>
    </row>
    <row r="1055" spans="1:10" x14ac:dyDescent="0.25">
      <c r="A1055" s="2">
        <v>1055</v>
      </c>
      <c r="B1055" s="18">
        <v>45574.708287037036</v>
      </c>
      <c r="C1055" s="2" t="s">
        <v>349</v>
      </c>
      <c r="D1055" s="2" t="s">
        <v>259</v>
      </c>
      <c r="E1055" s="2" t="s">
        <v>367</v>
      </c>
      <c r="F1055" s="2" t="s">
        <v>51</v>
      </c>
      <c r="G1055" s="3">
        <v>465000</v>
      </c>
      <c r="H1055" s="8">
        <v>1</v>
      </c>
      <c r="I1055" s="3">
        <v>0</v>
      </c>
      <c r="J1055" s="3">
        <v>0</v>
      </c>
    </row>
    <row r="1056" spans="1:10" x14ac:dyDescent="0.25">
      <c r="A1056" s="2">
        <v>1056</v>
      </c>
      <c r="B1056" s="18">
        <v>45574.708287037036</v>
      </c>
      <c r="C1056" s="2" t="s">
        <v>349</v>
      </c>
      <c r="D1056" s="2" t="s">
        <v>259</v>
      </c>
      <c r="E1056" s="2" t="s">
        <v>367</v>
      </c>
      <c r="F1056" s="2" t="s">
        <v>59</v>
      </c>
      <c r="G1056" s="3">
        <v>475000</v>
      </c>
      <c r="H1056" s="8">
        <v>1</v>
      </c>
      <c r="I1056" s="3">
        <v>0</v>
      </c>
      <c r="J1056" s="3">
        <v>0</v>
      </c>
    </row>
    <row r="1057" spans="1:10" x14ac:dyDescent="0.25">
      <c r="A1057" s="2">
        <v>1057</v>
      </c>
      <c r="B1057" s="18">
        <v>45574.708287037036</v>
      </c>
      <c r="C1057" s="2" t="s">
        <v>349</v>
      </c>
      <c r="D1057" s="2" t="s">
        <v>259</v>
      </c>
      <c r="E1057" s="2" t="s">
        <v>367</v>
      </c>
      <c r="F1057" s="2" t="s">
        <v>33</v>
      </c>
      <c r="G1057" s="3">
        <v>485000</v>
      </c>
      <c r="H1057" s="8">
        <v>1</v>
      </c>
      <c r="I1057" s="3">
        <v>0</v>
      </c>
      <c r="J1057" s="3">
        <v>0</v>
      </c>
    </row>
    <row r="1058" spans="1:10" x14ac:dyDescent="0.25">
      <c r="A1058" s="2">
        <v>1058</v>
      </c>
      <c r="B1058" s="18">
        <v>45574.708287037036</v>
      </c>
      <c r="C1058" s="2" t="s">
        <v>349</v>
      </c>
      <c r="D1058" s="2" t="s">
        <v>259</v>
      </c>
      <c r="E1058" s="2" t="s">
        <v>367</v>
      </c>
      <c r="F1058" s="2" t="s">
        <v>85</v>
      </c>
      <c r="G1058" s="3">
        <v>480000</v>
      </c>
      <c r="H1058" s="8">
        <v>1</v>
      </c>
      <c r="I1058" s="3">
        <v>0</v>
      </c>
      <c r="J1058" s="3">
        <v>0</v>
      </c>
    </row>
    <row r="1059" spans="1:10" x14ac:dyDescent="0.25">
      <c r="A1059" s="2">
        <v>1059</v>
      </c>
      <c r="B1059" s="18">
        <v>45574.708287037036</v>
      </c>
      <c r="C1059" s="2" t="s">
        <v>349</v>
      </c>
      <c r="D1059" s="2" t="s">
        <v>259</v>
      </c>
      <c r="E1059" s="2" t="s">
        <v>367</v>
      </c>
      <c r="F1059" s="2" t="s">
        <v>23</v>
      </c>
      <c r="G1059" s="3">
        <v>775000</v>
      </c>
      <c r="H1059" s="8">
        <v>1</v>
      </c>
      <c r="I1059" s="3">
        <v>0</v>
      </c>
      <c r="J1059" s="3">
        <v>0</v>
      </c>
    </row>
    <row r="1060" spans="1:10" x14ac:dyDescent="0.25">
      <c r="A1060" s="2">
        <v>1060</v>
      </c>
      <c r="B1060" s="18">
        <v>45574.708287037036</v>
      </c>
      <c r="C1060" s="2" t="s">
        <v>349</v>
      </c>
      <c r="D1060" s="2" t="s">
        <v>259</v>
      </c>
      <c r="E1060" s="2" t="s">
        <v>367</v>
      </c>
      <c r="F1060" s="2" t="s">
        <v>29</v>
      </c>
      <c r="G1060" s="3">
        <v>590000</v>
      </c>
      <c r="H1060" s="8">
        <v>1</v>
      </c>
      <c r="I1060" s="3">
        <v>0</v>
      </c>
      <c r="J1060" s="3">
        <v>0</v>
      </c>
    </row>
    <row r="1061" spans="1:10" x14ac:dyDescent="0.25">
      <c r="A1061" s="2">
        <v>1061</v>
      </c>
      <c r="B1061" s="18">
        <v>45574.708287037036</v>
      </c>
      <c r="C1061" s="2" t="s">
        <v>349</v>
      </c>
      <c r="D1061" s="2" t="s">
        <v>303</v>
      </c>
      <c r="E1061" s="2" t="s">
        <v>366</v>
      </c>
      <c r="F1061" s="2" t="s">
        <v>31</v>
      </c>
      <c r="G1061" s="3">
        <v>745000</v>
      </c>
      <c r="H1061" s="8">
        <v>10</v>
      </c>
      <c r="I1061" s="3">
        <v>4470000</v>
      </c>
      <c r="J1061" s="3">
        <v>4470000</v>
      </c>
    </row>
    <row r="1062" spans="1:10" x14ac:dyDescent="0.25">
      <c r="A1062" s="2">
        <v>1062</v>
      </c>
      <c r="B1062" s="18">
        <v>45574.708287037036</v>
      </c>
      <c r="C1062" s="2" t="s">
        <v>349</v>
      </c>
      <c r="D1062" s="2" t="s">
        <v>34</v>
      </c>
      <c r="E1062" s="2" t="s">
        <v>370</v>
      </c>
      <c r="F1062" s="2" t="s">
        <v>421</v>
      </c>
      <c r="G1062" s="3">
        <v>0</v>
      </c>
      <c r="H1062" s="8">
        <v>0</v>
      </c>
      <c r="I1062" s="3">
        <v>0</v>
      </c>
      <c r="J1062" s="3">
        <v>0</v>
      </c>
    </row>
    <row r="1063" spans="1:10" x14ac:dyDescent="0.25">
      <c r="A1063" s="2">
        <v>1063</v>
      </c>
      <c r="B1063" s="18">
        <v>45574.708287037036</v>
      </c>
      <c r="C1063" s="2" t="s">
        <v>349</v>
      </c>
      <c r="D1063" s="2" t="s">
        <v>318</v>
      </c>
      <c r="E1063" s="2" t="s">
        <v>363</v>
      </c>
      <c r="F1063" s="2" t="s">
        <v>33</v>
      </c>
      <c r="G1063" s="3">
        <v>485000</v>
      </c>
      <c r="H1063" s="8">
        <v>30</v>
      </c>
      <c r="I1063" s="3">
        <v>8875500</v>
      </c>
      <c r="J1063" s="3">
        <v>8875500</v>
      </c>
    </row>
    <row r="1064" spans="1:10" x14ac:dyDescent="0.25">
      <c r="A1064" s="2">
        <v>1064</v>
      </c>
      <c r="B1064" s="18">
        <v>45574.708287037036</v>
      </c>
      <c r="C1064" s="2" t="s">
        <v>349</v>
      </c>
      <c r="D1064" s="2" t="s">
        <v>318</v>
      </c>
      <c r="E1064" s="2" t="s">
        <v>363</v>
      </c>
      <c r="F1064" s="2" t="s">
        <v>89</v>
      </c>
      <c r="G1064" s="3">
        <v>390000</v>
      </c>
      <c r="H1064" s="8">
        <v>30</v>
      </c>
      <c r="I1064" s="3">
        <v>0</v>
      </c>
      <c r="J1064" s="3">
        <v>0</v>
      </c>
    </row>
    <row r="1065" spans="1:10" x14ac:dyDescent="0.25">
      <c r="A1065" s="2">
        <v>1065</v>
      </c>
      <c r="B1065" s="18">
        <v>45574.708287037036</v>
      </c>
      <c r="C1065" s="2" t="s">
        <v>349</v>
      </c>
      <c r="D1065" s="2" t="s">
        <v>245</v>
      </c>
      <c r="E1065" s="2" t="s">
        <v>367</v>
      </c>
      <c r="F1065" s="2" t="s">
        <v>19</v>
      </c>
      <c r="G1065" s="3">
        <v>590000</v>
      </c>
      <c r="H1065" s="8">
        <v>1</v>
      </c>
      <c r="I1065" s="3">
        <v>415360</v>
      </c>
      <c r="J1065" s="3">
        <v>415360</v>
      </c>
    </row>
    <row r="1066" spans="1:10" x14ac:dyDescent="0.25">
      <c r="A1066" s="2">
        <v>1066</v>
      </c>
      <c r="B1066" s="18">
        <v>45574.708287037036</v>
      </c>
      <c r="C1066" s="2" t="s">
        <v>349</v>
      </c>
      <c r="D1066" s="2" t="s">
        <v>230</v>
      </c>
      <c r="E1066" s="2" t="s">
        <v>367</v>
      </c>
      <c r="F1066" s="2" t="s">
        <v>29</v>
      </c>
      <c r="G1066" s="3">
        <v>590000</v>
      </c>
      <c r="H1066" s="8">
        <v>2</v>
      </c>
      <c r="I1066" s="3">
        <v>934560</v>
      </c>
      <c r="J1066" s="3">
        <v>934560</v>
      </c>
    </row>
    <row r="1067" spans="1:10" x14ac:dyDescent="0.25">
      <c r="A1067" s="2">
        <v>1067</v>
      </c>
      <c r="B1067" s="18">
        <v>45575.708287037036</v>
      </c>
      <c r="C1067" s="2" t="s">
        <v>349</v>
      </c>
      <c r="D1067" s="2" t="s">
        <v>254</v>
      </c>
      <c r="E1067" s="2" t="s">
        <v>367</v>
      </c>
      <c r="F1067" s="2" t="s">
        <v>61</v>
      </c>
      <c r="G1067" s="3">
        <v>890000</v>
      </c>
      <c r="H1067" s="8">
        <v>1</v>
      </c>
      <c r="I1067" s="3">
        <v>578500</v>
      </c>
      <c r="J1067" s="3">
        <v>578500</v>
      </c>
    </row>
    <row r="1068" spans="1:10" x14ac:dyDescent="0.25">
      <c r="A1068" s="2">
        <v>1068</v>
      </c>
      <c r="B1068" s="18">
        <v>45575.708287037036</v>
      </c>
      <c r="C1068" s="2" t="s">
        <v>349</v>
      </c>
      <c r="D1068" s="2" t="s">
        <v>250</v>
      </c>
      <c r="E1068" s="2" t="s">
        <v>368</v>
      </c>
      <c r="F1068" s="2" t="s">
        <v>83</v>
      </c>
      <c r="G1068" s="3">
        <v>790000</v>
      </c>
      <c r="H1068" s="8">
        <v>20</v>
      </c>
      <c r="I1068" s="3">
        <v>7109999.999999999</v>
      </c>
      <c r="J1068" s="3">
        <v>7109999.999999999</v>
      </c>
    </row>
    <row r="1069" spans="1:10" x14ac:dyDescent="0.25">
      <c r="A1069" s="2">
        <v>1069</v>
      </c>
      <c r="B1069" s="18">
        <v>45575.708287037036</v>
      </c>
      <c r="C1069" s="2" t="s">
        <v>349</v>
      </c>
      <c r="D1069" s="2" t="s">
        <v>251</v>
      </c>
      <c r="E1069" s="2" t="s">
        <v>365</v>
      </c>
      <c r="F1069" s="2" t="s">
        <v>31</v>
      </c>
      <c r="G1069" s="3">
        <v>745000</v>
      </c>
      <c r="H1069" s="8">
        <v>50</v>
      </c>
      <c r="I1069" s="3">
        <v>18625000</v>
      </c>
      <c r="J1069" s="3">
        <v>18625000</v>
      </c>
    </row>
    <row r="1070" spans="1:10" x14ac:dyDescent="0.25">
      <c r="A1070" s="2">
        <v>1070</v>
      </c>
      <c r="B1070" s="18">
        <v>45576.708287037036</v>
      </c>
      <c r="C1070" s="2" t="s">
        <v>349</v>
      </c>
      <c r="D1070" s="2" t="s">
        <v>318</v>
      </c>
      <c r="E1070" s="2" t="s">
        <v>363</v>
      </c>
      <c r="F1070" s="2" t="s">
        <v>33</v>
      </c>
      <c r="G1070" s="3">
        <v>485000</v>
      </c>
      <c r="H1070" s="8">
        <v>10</v>
      </c>
      <c r="I1070" s="3">
        <v>2958500</v>
      </c>
      <c r="J1070" s="3">
        <v>2958500</v>
      </c>
    </row>
    <row r="1071" spans="1:10" x14ac:dyDescent="0.25">
      <c r="A1071" s="2">
        <v>1071</v>
      </c>
      <c r="B1071" s="18">
        <v>45576.708287037036</v>
      </c>
      <c r="C1071" s="2" t="s">
        <v>349</v>
      </c>
      <c r="D1071" s="2" t="s">
        <v>318</v>
      </c>
      <c r="E1071" s="2" t="s">
        <v>363</v>
      </c>
      <c r="F1071" s="2" t="s">
        <v>59</v>
      </c>
      <c r="G1071" s="3">
        <v>475000</v>
      </c>
      <c r="H1071" s="8">
        <v>30</v>
      </c>
      <c r="I1071" s="3">
        <v>8692500</v>
      </c>
      <c r="J1071" s="3">
        <v>8692500</v>
      </c>
    </row>
    <row r="1072" spans="1:10" x14ac:dyDescent="0.25">
      <c r="A1072" s="2">
        <v>1072</v>
      </c>
      <c r="B1072" s="18">
        <v>45576.708287037036</v>
      </c>
      <c r="C1072" s="2" t="s">
        <v>349</v>
      </c>
      <c r="D1072" s="2" t="s">
        <v>318</v>
      </c>
      <c r="E1072" s="2" t="s">
        <v>363</v>
      </c>
      <c r="F1072" s="2" t="s">
        <v>47</v>
      </c>
      <c r="G1072" s="3">
        <v>200000</v>
      </c>
      <c r="H1072" s="8">
        <v>30</v>
      </c>
      <c r="I1072" s="3">
        <v>0</v>
      </c>
      <c r="J1072" s="3">
        <v>0</v>
      </c>
    </row>
    <row r="1073" spans="1:10" x14ac:dyDescent="0.25">
      <c r="A1073" s="2">
        <v>1073</v>
      </c>
      <c r="B1073" s="18">
        <v>45576.708287037036</v>
      </c>
      <c r="C1073" s="2" t="s">
        <v>349</v>
      </c>
      <c r="D1073" s="2" t="s">
        <v>318</v>
      </c>
      <c r="E1073" s="2" t="s">
        <v>363</v>
      </c>
      <c r="F1073" s="2" t="s">
        <v>89</v>
      </c>
      <c r="G1073" s="3">
        <v>390000</v>
      </c>
      <c r="H1073" s="8">
        <v>-30</v>
      </c>
      <c r="I1073" s="3">
        <v>0</v>
      </c>
      <c r="J1073" s="3">
        <v>0</v>
      </c>
    </row>
    <row r="1074" spans="1:10" x14ac:dyDescent="0.25">
      <c r="A1074" s="2">
        <v>1074</v>
      </c>
      <c r="B1074" s="18">
        <v>45576.708287037036</v>
      </c>
      <c r="C1074" s="2" t="s">
        <v>349</v>
      </c>
      <c r="D1074" s="2" t="s">
        <v>239</v>
      </c>
      <c r="E1074" s="2" t="s">
        <v>367</v>
      </c>
      <c r="F1074" s="2" t="s">
        <v>23</v>
      </c>
      <c r="G1074" s="3">
        <v>775000</v>
      </c>
      <c r="H1074" s="8">
        <v>1</v>
      </c>
      <c r="I1074" s="3">
        <v>682000</v>
      </c>
      <c r="J1074" s="3">
        <v>682000</v>
      </c>
    </row>
    <row r="1075" spans="1:10" x14ac:dyDescent="0.25">
      <c r="A1075" s="2">
        <v>1075</v>
      </c>
      <c r="B1075" s="18">
        <v>45576.708287037036</v>
      </c>
      <c r="C1075" s="2" t="s">
        <v>349</v>
      </c>
      <c r="D1075" s="2" t="s">
        <v>72</v>
      </c>
      <c r="E1075" s="2" t="s">
        <v>364</v>
      </c>
      <c r="F1075" s="2" t="s">
        <v>57</v>
      </c>
      <c r="G1075" s="3">
        <v>745000</v>
      </c>
      <c r="H1075" s="8">
        <v>100</v>
      </c>
      <c r="I1075" s="3">
        <v>37250000</v>
      </c>
      <c r="J1075" s="3">
        <v>37250000</v>
      </c>
    </row>
    <row r="1076" spans="1:10" x14ac:dyDescent="0.25">
      <c r="A1076" s="2">
        <v>1076</v>
      </c>
      <c r="B1076" s="18">
        <v>45576.708287037036</v>
      </c>
      <c r="C1076" s="2" t="s">
        <v>349</v>
      </c>
      <c r="D1076" s="2" t="s">
        <v>72</v>
      </c>
      <c r="E1076" s="2" t="s">
        <v>364</v>
      </c>
      <c r="F1076" s="2" t="s">
        <v>51</v>
      </c>
      <c r="G1076" s="3">
        <v>465000</v>
      </c>
      <c r="H1076" s="8">
        <v>100</v>
      </c>
      <c r="I1076" s="3">
        <v>15499984.499999996</v>
      </c>
      <c r="J1076" s="3">
        <v>15499984.499999996</v>
      </c>
    </row>
    <row r="1077" spans="1:10" x14ac:dyDescent="0.25">
      <c r="A1077" s="2">
        <v>1077</v>
      </c>
      <c r="B1077" s="18">
        <v>45578.708287037036</v>
      </c>
      <c r="C1077" s="2" t="s">
        <v>349</v>
      </c>
      <c r="D1077" s="2" t="s">
        <v>268</v>
      </c>
      <c r="E1077" s="2" t="s">
        <v>371</v>
      </c>
      <c r="F1077" s="2" t="s">
        <v>33</v>
      </c>
      <c r="G1077" s="3">
        <v>485000</v>
      </c>
      <c r="H1077" s="8">
        <v>36</v>
      </c>
      <c r="I1077" s="3">
        <v>7857000</v>
      </c>
      <c r="J1077" s="3">
        <v>7857000</v>
      </c>
    </row>
    <row r="1078" spans="1:10" x14ac:dyDescent="0.25">
      <c r="A1078" s="2">
        <v>1078</v>
      </c>
      <c r="B1078" s="18">
        <v>45578.708287037036</v>
      </c>
      <c r="C1078" s="2" t="s">
        <v>349</v>
      </c>
      <c r="D1078" s="2" t="s">
        <v>268</v>
      </c>
      <c r="E1078" s="2" t="s">
        <v>371</v>
      </c>
      <c r="F1078" s="2" t="s">
        <v>59</v>
      </c>
      <c r="G1078" s="3">
        <v>475000</v>
      </c>
      <c r="H1078" s="8">
        <v>9</v>
      </c>
      <c r="I1078" s="3">
        <v>1923749.9999999998</v>
      </c>
      <c r="J1078" s="3">
        <v>1923749.9999999998</v>
      </c>
    </row>
    <row r="1079" spans="1:10" x14ac:dyDescent="0.25">
      <c r="A1079" s="2">
        <v>1079</v>
      </c>
      <c r="B1079" s="18">
        <v>45578.708287037036</v>
      </c>
      <c r="C1079" s="2" t="s">
        <v>349</v>
      </c>
      <c r="D1079" s="2" t="s">
        <v>268</v>
      </c>
      <c r="E1079" s="2" t="s">
        <v>371</v>
      </c>
      <c r="F1079" s="2" t="s">
        <v>57</v>
      </c>
      <c r="G1079" s="3">
        <v>745000</v>
      </c>
      <c r="H1079" s="8">
        <v>9</v>
      </c>
      <c r="I1079" s="3">
        <v>3352500</v>
      </c>
      <c r="J1079" s="3">
        <v>3352500</v>
      </c>
    </row>
    <row r="1080" spans="1:10" x14ac:dyDescent="0.25">
      <c r="A1080" s="2">
        <v>1080</v>
      </c>
      <c r="B1080" s="18">
        <v>45578.708287037036</v>
      </c>
      <c r="C1080" s="2" t="s">
        <v>349</v>
      </c>
      <c r="D1080" s="2" t="s">
        <v>268</v>
      </c>
      <c r="E1080" s="2" t="s">
        <v>371</v>
      </c>
      <c r="F1080" s="2" t="s">
        <v>83</v>
      </c>
      <c r="G1080" s="3">
        <v>790000</v>
      </c>
      <c r="H1080" s="8">
        <v>36</v>
      </c>
      <c r="I1080" s="3">
        <v>14220000</v>
      </c>
      <c r="J1080" s="3">
        <v>14220000</v>
      </c>
    </row>
    <row r="1081" spans="1:10" x14ac:dyDescent="0.25">
      <c r="A1081" s="2">
        <v>1081</v>
      </c>
      <c r="B1081" s="18">
        <v>45578.708287037036</v>
      </c>
      <c r="C1081" s="2" t="s">
        <v>349</v>
      </c>
      <c r="D1081" s="2" t="s">
        <v>268</v>
      </c>
      <c r="E1081" s="2" t="s">
        <v>371</v>
      </c>
      <c r="F1081" s="2" t="s">
        <v>19</v>
      </c>
      <c r="G1081" s="3">
        <v>590000</v>
      </c>
      <c r="H1081" s="8">
        <v>13</v>
      </c>
      <c r="I1081" s="3">
        <v>3835000</v>
      </c>
      <c r="J1081" s="3">
        <v>3835000</v>
      </c>
    </row>
    <row r="1082" spans="1:10" x14ac:dyDescent="0.25">
      <c r="A1082" s="2">
        <v>1082</v>
      </c>
      <c r="B1082" s="18">
        <v>45578.708287037036</v>
      </c>
      <c r="C1082" s="2" t="s">
        <v>349</v>
      </c>
      <c r="D1082" s="2" t="s">
        <v>268</v>
      </c>
      <c r="E1082" s="2" t="s">
        <v>371</v>
      </c>
      <c r="F1082" s="2" t="s">
        <v>27</v>
      </c>
      <c r="G1082" s="3">
        <v>935000</v>
      </c>
      <c r="H1082" s="8">
        <v>26</v>
      </c>
      <c r="I1082" s="3">
        <v>12155000</v>
      </c>
      <c r="J1082" s="3">
        <v>12155000</v>
      </c>
    </row>
    <row r="1083" spans="1:10" x14ac:dyDescent="0.25">
      <c r="A1083" s="2">
        <v>1083</v>
      </c>
      <c r="B1083" s="18">
        <v>45578.708287037036</v>
      </c>
      <c r="C1083" s="2" t="s">
        <v>349</v>
      </c>
      <c r="D1083" s="2" t="s">
        <v>267</v>
      </c>
      <c r="E1083" s="2" t="s">
        <v>371</v>
      </c>
      <c r="F1083" s="2" t="s">
        <v>33</v>
      </c>
      <c r="G1083" s="3">
        <v>485000</v>
      </c>
      <c r="H1083" s="8">
        <v>134</v>
      </c>
      <c r="I1083" s="3">
        <v>29245500</v>
      </c>
      <c r="J1083" s="3">
        <v>29245500</v>
      </c>
    </row>
    <row r="1084" spans="1:10" x14ac:dyDescent="0.25">
      <c r="A1084" s="2">
        <v>1084</v>
      </c>
      <c r="B1084" s="18">
        <v>45578.708287037036</v>
      </c>
      <c r="C1084" s="2" t="s">
        <v>349</v>
      </c>
      <c r="D1084" s="2" t="s">
        <v>267</v>
      </c>
      <c r="E1084" s="2" t="s">
        <v>371</v>
      </c>
      <c r="F1084" s="2" t="s">
        <v>59</v>
      </c>
      <c r="G1084" s="3">
        <v>475000</v>
      </c>
      <c r="H1084" s="8">
        <v>47</v>
      </c>
      <c r="I1084" s="3">
        <v>10046249.999999998</v>
      </c>
      <c r="J1084" s="3">
        <v>10046249.999999998</v>
      </c>
    </row>
    <row r="1085" spans="1:10" x14ac:dyDescent="0.25">
      <c r="A1085" s="2">
        <v>1085</v>
      </c>
      <c r="B1085" s="18">
        <v>45578.708287037036</v>
      </c>
      <c r="C1085" s="2" t="s">
        <v>349</v>
      </c>
      <c r="D1085" s="2" t="s">
        <v>267</v>
      </c>
      <c r="E1085" s="2" t="s">
        <v>371</v>
      </c>
      <c r="F1085" s="2" t="s">
        <v>57</v>
      </c>
      <c r="G1085" s="3">
        <v>745000</v>
      </c>
      <c r="H1085" s="8">
        <v>47</v>
      </c>
      <c r="I1085" s="3">
        <v>17507500</v>
      </c>
      <c r="J1085" s="3">
        <v>17507500</v>
      </c>
    </row>
    <row r="1086" spans="1:10" x14ac:dyDescent="0.25">
      <c r="A1086" s="2">
        <v>1086</v>
      </c>
      <c r="B1086" s="18">
        <v>45578.708287037036</v>
      </c>
      <c r="C1086" s="2" t="s">
        <v>349</v>
      </c>
      <c r="D1086" s="2" t="s">
        <v>267</v>
      </c>
      <c r="E1086" s="2" t="s">
        <v>371</v>
      </c>
      <c r="F1086" s="2" t="s">
        <v>83</v>
      </c>
      <c r="G1086" s="3">
        <v>790000</v>
      </c>
      <c r="H1086" s="8">
        <v>73</v>
      </c>
      <c r="I1086" s="3">
        <v>28835000</v>
      </c>
      <c r="J1086" s="3">
        <v>28835000</v>
      </c>
    </row>
    <row r="1087" spans="1:10" x14ac:dyDescent="0.25">
      <c r="A1087" s="2">
        <v>1087</v>
      </c>
      <c r="B1087" s="18">
        <v>45578.708287037036</v>
      </c>
      <c r="C1087" s="2" t="s">
        <v>349</v>
      </c>
      <c r="D1087" s="2" t="s">
        <v>267</v>
      </c>
      <c r="E1087" s="2" t="s">
        <v>371</v>
      </c>
      <c r="F1087" s="2" t="s">
        <v>19</v>
      </c>
      <c r="G1087" s="3">
        <v>590000</v>
      </c>
      <c r="H1087" s="8">
        <v>27</v>
      </c>
      <c r="I1087" s="3">
        <v>7965000</v>
      </c>
      <c r="J1087" s="3">
        <v>7965000</v>
      </c>
    </row>
    <row r="1088" spans="1:10" x14ac:dyDescent="0.25">
      <c r="A1088" s="2">
        <v>1088</v>
      </c>
      <c r="B1088" s="18">
        <v>45578.708287037036</v>
      </c>
      <c r="C1088" s="2" t="s">
        <v>349</v>
      </c>
      <c r="D1088" s="2" t="s">
        <v>267</v>
      </c>
      <c r="E1088" s="2" t="s">
        <v>371</v>
      </c>
      <c r="F1088" s="2" t="s">
        <v>27</v>
      </c>
      <c r="G1088" s="3">
        <v>935000</v>
      </c>
      <c r="H1088" s="8">
        <v>48</v>
      </c>
      <c r="I1088" s="3">
        <v>22440000</v>
      </c>
      <c r="J1088" s="3">
        <v>22440000</v>
      </c>
    </row>
    <row r="1089" spans="1:10" x14ac:dyDescent="0.25">
      <c r="A1089" s="2">
        <v>1089</v>
      </c>
      <c r="B1089" s="18">
        <v>45578.708287037036</v>
      </c>
      <c r="C1089" s="2" t="s">
        <v>349</v>
      </c>
      <c r="D1089" s="2" t="s">
        <v>262</v>
      </c>
      <c r="E1089" s="2" t="s">
        <v>364</v>
      </c>
      <c r="F1089" s="2" t="s">
        <v>33</v>
      </c>
      <c r="G1089" s="3">
        <v>485000</v>
      </c>
      <c r="H1089" s="8">
        <v>90</v>
      </c>
      <c r="I1089" s="3">
        <v>21825000</v>
      </c>
      <c r="J1089" s="3">
        <v>21825000</v>
      </c>
    </row>
    <row r="1090" spans="1:10" x14ac:dyDescent="0.25">
      <c r="A1090" s="2">
        <v>1090</v>
      </c>
      <c r="B1090" s="18">
        <v>45578.708287037036</v>
      </c>
      <c r="C1090" s="2" t="s">
        <v>349</v>
      </c>
      <c r="D1090" s="2" t="s">
        <v>262</v>
      </c>
      <c r="E1090" s="2" t="s">
        <v>364</v>
      </c>
      <c r="F1090" s="2" t="s">
        <v>23</v>
      </c>
      <c r="G1090" s="3">
        <v>775000</v>
      </c>
      <c r="H1090" s="8">
        <v>66</v>
      </c>
      <c r="I1090" s="3">
        <v>25575000</v>
      </c>
      <c r="J1090" s="3">
        <v>25575000</v>
      </c>
    </row>
    <row r="1091" spans="1:10" x14ac:dyDescent="0.25">
      <c r="A1091" s="2">
        <v>1091</v>
      </c>
      <c r="B1091" s="18">
        <v>45578.708287037036</v>
      </c>
      <c r="C1091" s="2" t="s">
        <v>349</v>
      </c>
      <c r="D1091" s="2" t="s">
        <v>58</v>
      </c>
      <c r="E1091" s="2" t="s">
        <v>363</v>
      </c>
      <c r="F1091" s="2" t="s">
        <v>23</v>
      </c>
      <c r="G1091" s="3">
        <v>775000</v>
      </c>
      <c r="H1091" s="8">
        <v>1</v>
      </c>
      <c r="I1091" s="3">
        <v>0</v>
      </c>
      <c r="J1091" s="3">
        <v>0</v>
      </c>
    </row>
    <row r="1092" spans="1:10" x14ac:dyDescent="0.25">
      <c r="A1092" s="2">
        <v>1092</v>
      </c>
      <c r="B1092" s="18">
        <v>45578.708287037036</v>
      </c>
      <c r="C1092" s="2" t="s">
        <v>349</v>
      </c>
      <c r="D1092" s="2" t="s">
        <v>58</v>
      </c>
      <c r="E1092" s="2" t="s">
        <v>363</v>
      </c>
      <c r="F1092" s="2" t="s">
        <v>53</v>
      </c>
      <c r="G1092" s="3">
        <v>550000</v>
      </c>
      <c r="H1092" s="8">
        <v>1</v>
      </c>
      <c r="I1092" s="3">
        <v>0</v>
      </c>
      <c r="J1092" s="3">
        <v>0</v>
      </c>
    </row>
    <row r="1093" spans="1:10" x14ac:dyDescent="0.25">
      <c r="A1093" s="2">
        <v>1093</v>
      </c>
      <c r="B1093" s="18">
        <v>45578.708287037036</v>
      </c>
      <c r="C1093" s="2" t="s">
        <v>349</v>
      </c>
      <c r="D1093" s="2" t="s">
        <v>58</v>
      </c>
      <c r="E1093" s="2" t="s">
        <v>363</v>
      </c>
      <c r="F1093" s="2" t="s">
        <v>51</v>
      </c>
      <c r="G1093" s="3">
        <v>465000</v>
      </c>
      <c r="H1093" s="8">
        <v>1</v>
      </c>
      <c r="I1093" s="3">
        <v>0</v>
      </c>
      <c r="J1093" s="3">
        <v>0</v>
      </c>
    </row>
    <row r="1094" spans="1:10" x14ac:dyDescent="0.25">
      <c r="A1094" s="2">
        <v>1094</v>
      </c>
      <c r="B1094" s="18">
        <v>45578.708287037036</v>
      </c>
      <c r="C1094" s="2" t="s">
        <v>349</v>
      </c>
      <c r="D1094" s="2" t="s">
        <v>58</v>
      </c>
      <c r="E1094" s="2" t="s">
        <v>363</v>
      </c>
      <c r="F1094" s="2" t="s">
        <v>55</v>
      </c>
      <c r="G1094" s="3">
        <v>820000</v>
      </c>
      <c r="H1094" s="8">
        <v>1</v>
      </c>
      <c r="I1094" s="3">
        <v>0</v>
      </c>
      <c r="J1094" s="3">
        <v>0</v>
      </c>
    </row>
    <row r="1095" spans="1:10" x14ac:dyDescent="0.25">
      <c r="A1095" s="2">
        <v>1095</v>
      </c>
      <c r="B1095" s="18">
        <v>45578.708287037036</v>
      </c>
      <c r="C1095" s="2" t="s">
        <v>349</v>
      </c>
      <c r="D1095" s="2" t="s">
        <v>99</v>
      </c>
      <c r="E1095" s="2" t="s">
        <v>363</v>
      </c>
      <c r="F1095" s="2" t="s">
        <v>55</v>
      </c>
      <c r="G1095" s="3">
        <v>820000</v>
      </c>
      <c r="H1095" s="8">
        <v>1</v>
      </c>
      <c r="I1095" s="3">
        <v>0</v>
      </c>
      <c r="J1095" s="3">
        <v>0</v>
      </c>
    </row>
    <row r="1096" spans="1:10" x14ac:dyDescent="0.25">
      <c r="A1096" s="2">
        <v>1096</v>
      </c>
      <c r="B1096" s="18">
        <v>45578.708287037036</v>
      </c>
      <c r="C1096" s="2" t="s">
        <v>349</v>
      </c>
      <c r="D1096" s="2" t="s">
        <v>99</v>
      </c>
      <c r="E1096" s="2" t="s">
        <v>363</v>
      </c>
      <c r="F1096" s="2" t="s">
        <v>53</v>
      </c>
      <c r="G1096" s="3">
        <v>550000</v>
      </c>
      <c r="H1096" s="8">
        <v>1</v>
      </c>
      <c r="I1096" s="3">
        <v>0</v>
      </c>
      <c r="J1096" s="3">
        <v>0</v>
      </c>
    </row>
    <row r="1097" spans="1:10" x14ac:dyDescent="0.25">
      <c r="A1097" s="2">
        <v>1097</v>
      </c>
      <c r="B1097" s="18">
        <v>45578.708287037036</v>
      </c>
      <c r="C1097" s="2" t="s">
        <v>349</v>
      </c>
      <c r="D1097" s="2" t="s">
        <v>99</v>
      </c>
      <c r="E1097" s="2" t="s">
        <v>363</v>
      </c>
      <c r="F1097" s="2" t="s">
        <v>51</v>
      </c>
      <c r="G1097" s="3">
        <v>465000</v>
      </c>
      <c r="H1097" s="8">
        <v>1</v>
      </c>
      <c r="I1097" s="3">
        <v>0</v>
      </c>
      <c r="J1097" s="3">
        <v>0</v>
      </c>
    </row>
    <row r="1098" spans="1:10" x14ac:dyDescent="0.25">
      <c r="A1098" s="2">
        <v>1098</v>
      </c>
      <c r="B1098" s="18">
        <v>45578.708287037036</v>
      </c>
      <c r="C1098" s="2" t="s">
        <v>349</v>
      </c>
      <c r="D1098" s="2" t="s">
        <v>423</v>
      </c>
      <c r="E1098" s="2" t="s">
        <v>363</v>
      </c>
      <c r="F1098" s="2" t="s">
        <v>33</v>
      </c>
      <c r="G1098" s="3">
        <v>485000</v>
      </c>
      <c r="H1098" s="8">
        <v>3</v>
      </c>
      <c r="I1098" s="3">
        <v>727500</v>
      </c>
      <c r="J1098" s="3">
        <v>727500</v>
      </c>
    </row>
    <row r="1099" spans="1:10" x14ac:dyDescent="0.25">
      <c r="A1099" s="2">
        <v>1099</v>
      </c>
      <c r="B1099" s="18">
        <v>45578.708287037036</v>
      </c>
      <c r="C1099" s="2" t="s">
        <v>349</v>
      </c>
      <c r="D1099" s="2" t="s">
        <v>423</v>
      </c>
      <c r="E1099" s="2" t="s">
        <v>363</v>
      </c>
      <c r="F1099" s="2" t="s">
        <v>59</v>
      </c>
      <c r="G1099" s="3">
        <v>475000</v>
      </c>
      <c r="H1099" s="8">
        <v>1</v>
      </c>
      <c r="I1099" s="3">
        <v>237500</v>
      </c>
      <c r="J1099" s="3">
        <v>237500</v>
      </c>
    </row>
    <row r="1100" spans="1:10" x14ac:dyDescent="0.25">
      <c r="A1100" s="2">
        <v>1100</v>
      </c>
      <c r="B1100" s="18">
        <v>45578.708287037036</v>
      </c>
      <c r="C1100" s="2" t="s">
        <v>349</v>
      </c>
      <c r="D1100" s="2" t="s">
        <v>423</v>
      </c>
      <c r="E1100" s="2" t="s">
        <v>363</v>
      </c>
      <c r="F1100" s="2" t="s">
        <v>23</v>
      </c>
      <c r="G1100" s="3">
        <v>775000</v>
      </c>
      <c r="H1100" s="8">
        <v>3</v>
      </c>
      <c r="I1100" s="3">
        <v>1395000</v>
      </c>
      <c r="J1100" s="3">
        <v>1395000</v>
      </c>
    </row>
    <row r="1101" spans="1:10" x14ac:dyDescent="0.25">
      <c r="A1101" s="2">
        <v>1101</v>
      </c>
      <c r="B1101" s="18">
        <v>45578.708287037036</v>
      </c>
      <c r="C1101" s="2" t="s">
        <v>349</v>
      </c>
      <c r="D1101" s="2" t="s">
        <v>423</v>
      </c>
      <c r="E1101" s="2" t="s">
        <v>363</v>
      </c>
      <c r="F1101" s="2" t="s">
        <v>67</v>
      </c>
      <c r="G1101" s="3">
        <v>945000</v>
      </c>
      <c r="H1101" s="8">
        <v>0</v>
      </c>
      <c r="I1101" s="3">
        <v>0</v>
      </c>
      <c r="J1101" s="3">
        <v>0</v>
      </c>
    </row>
    <row r="1102" spans="1:10" x14ac:dyDescent="0.25">
      <c r="A1102" s="2">
        <v>1102</v>
      </c>
      <c r="B1102" s="18">
        <v>45578.708287037036</v>
      </c>
      <c r="C1102" s="2" t="s">
        <v>349</v>
      </c>
      <c r="D1102" s="2" t="s">
        <v>318</v>
      </c>
      <c r="E1102" s="2" t="s">
        <v>363</v>
      </c>
      <c r="F1102" s="2" t="s">
        <v>47</v>
      </c>
      <c r="G1102" s="3">
        <v>200000</v>
      </c>
      <c r="H1102" s="8">
        <v>-60</v>
      </c>
      <c r="I1102" s="3">
        <v>0</v>
      </c>
      <c r="J1102" s="3">
        <v>0</v>
      </c>
    </row>
    <row r="1103" spans="1:10" x14ac:dyDescent="0.25">
      <c r="A1103" s="2">
        <v>1103</v>
      </c>
      <c r="B1103" s="18">
        <v>45578.708287037036</v>
      </c>
      <c r="C1103" s="2" t="s">
        <v>349</v>
      </c>
      <c r="D1103" s="2" t="s">
        <v>318</v>
      </c>
      <c r="E1103" s="2" t="s">
        <v>363</v>
      </c>
      <c r="F1103" s="2" t="s">
        <v>89</v>
      </c>
      <c r="G1103" s="3">
        <v>390000</v>
      </c>
      <c r="H1103" s="8">
        <v>30</v>
      </c>
      <c r="I1103" s="3">
        <v>0</v>
      </c>
      <c r="J1103" s="3">
        <v>0</v>
      </c>
    </row>
    <row r="1104" spans="1:10" x14ac:dyDescent="0.25">
      <c r="A1104" s="2">
        <v>1104</v>
      </c>
      <c r="B1104" s="18">
        <v>45578.708287037036</v>
      </c>
      <c r="C1104" s="2" t="s">
        <v>349</v>
      </c>
      <c r="D1104" s="2" t="s">
        <v>28</v>
      </c>
      <c r="E1104" s="2" t="s">
        <v>363</v>
      </c>
      <c r="F1104" s="2" t="s">
        <v>53</v>
      </c>
      <c r="G1104" s="3">
        <v>550000</v>
      </c>
      <c r="H1104" s="8">
        <v>48</v>
      </c>
      <c r="I1104" s="3">
        <v>7439995.200000001</v>
      </c>
      <c r="J1104" s="3">
        <v>7439995.200000001</v>
      </c>
    </row>
    <row r="1105" spans="1:10" x14ac:dyDescent="0.25">
      <c r="A1105" s="2">
        <v>1105</v>
      </c>
      <c r="B1105" s="18">
        <v>45578.708287037036</v>
      </c>
      <c r="C1105" s="2" t="s">
        <v>349</v>
      </c>
      <c r="D1105" s="2" t="s">
        <v>28</v>
      </c>
      <c r="E1105" s="2" t="s">
        <v>363</v>
      </c>
      <c r="F1105" s="2" t="s">
        <v>19</v>
      </c>
      <c r="G1105" s="3">
        <v>590000</v>
      </c>
      <c r="H1105" s="8">
        <v>50</v>
      </c>
      <c r="I1105" s="3">
        <v>14750000</v>
      </c>
      <c r="J1105" s="3">
        <v>14750000</v>
      </c>
    </row>
    <row r="1106" spans="1:10" x14ac:dyDescent="0.25">
      <c r="A1106" s="2">
        <v>1106</v>
      </c>
      <c r="B1106" s="18">
        <v>45578.708287037036</v>
      </c>
      <c r="C1106" s="2" t="s">
        <v>349</v>
      </c>
      <c r="D1106" s="2" t="s">
        <v>28</v>
      </c>
      <c r="E1106" s="2" t="s">
        <v>363</v>
      </c>
      <c r="F1106" s="2" t="s">
        <v>53</v>
      </c>
      <c r="G1106" s="3">
        <v>550000</v>
      </c>
      <c r="H1106" s="8">
        <v>1</v>
      </c>
      <c r="I1106" s="3">
        <v>0</v>
      </c>
      <c r="J1106" s="3">
        <v>0</v>
      </c>
    </row>
    <row r="1107" spans="1:10" x14ac:dyDescent="0.25">
      <c r="A1107" s="2">
        <v>1107</v>
      </c>
      <c r="B1107" s="18">
        <v>45579.708287037036</v>
      </c>
      <c r="C1107" s="2" t="s">
        <v>349</v>
      </c>
      <c r="D1107" s="2" t="s">
        <v>106</v>
      </c>
      <c r="E1107" s="2" t="s">
        <v>367</v>
      </c>
      <c r="F1107" s="2" t="s">
        <v>85</v>
      </c>
      <c r="G1107" s="3">
        <v>480000</v>
      </c>
      <c r="H1107" s="8">
        <v>3</v>
      </c>
      <c r="I1107" s="3">
        <v>936000</v>
      </c>
      <c r="J1107" s="3">
        <v>936000</v>
      </c>
    </row>
    <row r="1108" spans="1:10" x14ac:dyDescent="0.25">
      <c r="A1108" s="2">
        <v>1108</v>
      </c>
      <c r="B1108" s="18">
        <v>45579.708287037036</v>
      </c>
      <c r="C1108" s="2" t="s">
        <v>349</v>
      </c>
      <c r="D1108" s="2" t="s">
        <v>206</v>
      </c>
      <c r="E1108" s="2" t="s">
        <v>367</v>
      </c>
      <c r="F1108" s="2" t="s">
        <v>79</v>
      </c>
      <c r="G1108" s="3">
        <v>150000</v>
      </c>
      <c r="H1108" s="8">
        <v>1</v>
      </c>
      <c r="I1108" s="3">
        <v>0</v>
      </c>
      <c r="J1108" s="3">
        <v>0</v>
      </c>
    </row>
    <row r="1109" spans="1:10" x14ac:dyDescent="0.25">
      <c r="A1109" s="2">
        <v>1109</v>
      </c>
      <c r="B1109" s="18">
        <v>45579.708287037036</v>
      </c>
      <c r="C1109" s="2" t="s">
        <v>349</v>
      </c>
      <c r="D1109" s="2" t="s">
        <v>152</v>
      </c>
      <c r="E1109" s="2" t="s">
        <v>367</v>
      </c>
      <c r="F1109" s="2" t="s">
        <v>79</v>
      </c>
      <c r="G1109" s="3">
        <v>150000</v>
      </c>
      <c r="H1109" s="8">
        <v>1</v>
      </c>
      <c r="I1109" s="3">
        <v>0</v>
      </c>
      <c r="J1109" s="3">
        <v>0</v>
      </c>
    </row>
    <row r="1110" spans="1:10" x14ac:dyDescent="0.25">
      <c r="A1110" s="2">
        <v>1110</v>
      </c>
      <c r="B1110" s="18">
        <v>45579.708287037036</v>
      </c>
      <c r="C1110" s="2" t="s">
        <v>349</v>
      </c>
      <c r="D1110" s="2" t="s">
        <v>157</v>
      </c>
      <c r="E1110" s="2" t="s">
        <v>367</v>
      </c>
      <c r="F1110" s="2" t="s">
        <v>33</v>
      </c>
      <c r="G1110" s="3">
        <v>485000</v>
      </c>
      <c r="H1110" s="8">
        <v>1</v>
      </c>
      <c r="I1110" s="3">
        <v>0</v>
      </c>
      <c r="J1110" s="3">
        <v>0</v>
      </c>
    </row>
    <row r="1111" spans="1:10" x14ac:dyDescent="0.25">
      <c r="A1111" s="2">
        <v>1111</v>
      </c>
      <c r="B1111" s="18">
        <v>45579.708287037036</v>
      </c>
      <c r="C1111" s="2" t="s">
        <v>349</v>
      </c>
      <c r="D1111" s="2" t="s">
        <v>34</v>
      </c>
      <c r="E1111" s="2" t="s">
        <v>370</v>
      </c>
      <c r="F1111" s="2" t="s">
        <v>421</v>
      </c>
      <c r="G1111" s="3">
        <v>0</v>
      </c>
      <c r="H1111" s="8">
        <v>0</v>
      </c>
      <c r="I1111" s="3">
        <v>0</v>
      </c>
      <c r="J1111" s="3">
        <v>0</v>
      </c>
    </row>
    <row r="1112" spans="1:10" x14ac:dyDescent="0.25">
      <c r="A1112" s="2">
        <v>1112</v>
      </c>
      <c r="B1112" s="18">
        <v>45579.708287037036</v>
      </c>
      <c r="C1112" s="2" t="s">
        <v>349</v>
      </c>
      <c r="D1112" s="2" t="s">
        <v>28</v>
      </c>
      <c r="E1112" s="2" t="s">
        <v>363</v>
      </c>
      <c r="F1112" s="2" t="s">
        <v>73</v>
      </c>
      <c r="G1112" s="3">
        <v>1350000</v>
      </c>
      <c r="H1112" s="8">
        <v>1</v>
      </c>
      <c r="I1112" s="3">
        <v>0</v>
      </c>
      <c r="J1112" s="3">
        <v>0</v>
      </c>
    </row>
    <row r="1113" spans="1:10" x14ac:dyDescent="0.25">
      <c r="A1113" s="2">
        <v>1113</v>
      </c>
      <c r="B1113" s="18">
        <v>45581.708287037036</v>
      </c>
      <c r="C1113" s="2" t="s">
        <v>349</v>
      </c>
      <c r="D1113" s="2" t="s">
        <v>269</v>
      </c>
      <c r="E1113" s="2" t="s">
        <v>369</v>
      </c>
      <c r="F1113" s="2" t="s">
        <v>63</v>
      </c>
      <c r="G1113" s="3">
        <v>550000</v>
      </c>
      <c r="H1113" s="8">
        <v>5</v>
      </c>
      <c r="I1113" s="3">
        <v>1650000</v>
      </c>
      <c r="J1113" s="3">
        <v>1650000</v>
      </c>
    </row>
    <row r="1114" spans="1:10" x14ac:dyDescent="0.25">
      <c r="A1114" s="2">
        <v>1114</v>
      </c>
      <c r="B1114" s="18">
        <v>45581.708287037036</v>
      </c>
      <c r="C1114" s="2" t="s">
        <v>349</v>
      </c>
      <c r="D1114" s="2" t="s">
        <v>315</v>
      </c>
      <c r="E1114" s="2" t="s">
        <v>363</v>
      </c>
      <c r="F1114" s="2" t="s">
        <v>53</v>
      </c>
      <c r="G1114" s="3">
        <v>550000</v>
      </c>
      <c r="H1114" s="8">
        <v>10</v>
      </c>
      <c r="I1114" s="3">
        <v>1860000.9999999998</v>
      </c>
      <c r="J1114" s="3">
        <v>1860000.9999999998</v>
      </c>
    </row>
    <row r="1115" spans="1:10" x14ac:dyDescent="0.25">
      <c r="A1115" s="2">
        <v>1115</v>
      </c>
      <c r="B1115" s="18">
        <v>45581.708287037036</v>
      </c>
      <c r="C1115" s="2" t="s">
        <v>349</v>
      </c>
      <c r="D1115" s="2" t="s">
        <v>315</v>
      </c>
      <c r="E1115" s="2" t="s">
        <v>363</v>
      </c>
      <c r="F1115" s="2" t="s">
        <v>51</v>
      </c>
      <c r="G1115" s="3">
        <v>465000</v>
      </c>
      <c r="H1115" s="8">
        <v>10</v>
      </c>
      <c r="I1115" s="3">
        <v>1860000</v>
      </c>
      <c r="J1115" s="3">
        <v>1860000</v>
      </c>
    </row>
    <row r="1116" spans="1:10" x14ac:dyDescent="0.25">
      <c r="A1116" s="2">
        <v>1116</v>
      </c>
      <c r="B1116" s="18">
        <v>45581.708287037036</v>
      </c>
      <c r="C1116" s="2" t="s">
        <v>349</v>
      </c>
      <c r="D1116" s="2" t="s">
        <v>315</v>
      </c>
      <c r="E1116" s="2" t="s">
        <v>363</v>
      </c>
      <c r="F1116" s="2" t="s">
        <v>75</v>
      </c>
      <c r="G1116" s="3">
        <v>1350000</v>
      </c>
      <c r="H1116" s="8">
        <v>5</v>
      </c>
      <c r="I1116" s="3">
        <v>6750000</v>
      </c>
      <c r="J1116" s="3">
        <v>6750000</v>
      </c>
    </row>
    <row r="1117" spans="1:10" x14ac:dyDescent="0.25">
      <c r="A1117" s="2">
        <v>1117</v>
      </c>
      <c r="B1117" s="18">
        <v>45581.708287037036</v>
      </c>
      <c r="C1117" s="2" t="s">
        <v>349</v>
      </c>
      <c r="D1117" s="2" t="s">
        <v>315</v>
      </c>
      <c r="E1117" s="2" t="s">
        <v>363</v>
      </c>
      <c r="F1117" s="2" t="s">
        <v>75</v>
      </c>
      <c r="G1117" s="3">
        <v>1350000</v>
      </c>
      <c r="H1117" s="8">
        <v>2</v>
      </c>
      <c r="I1117" s="3">
        <v>0</v>
      </c>
      <c r="J1117" s="3">
        <v>0</v>
      </c>
    </row>
    <row r="1118" spans="1:10" x14ac:dyDescent="0.25">
      <c r="A1118" s="2">
        <v>1118</v>
      </c>
      <c r="B1118" s="18">
        <v>45581.708287037036</v>
      </c>
      <c r="C1118" s="2" t="s">
        <v>349</v>
      </c>
      <c r="D1118" s="2" t="s">
        <v>315</v>
      </c>
      <c r="E1118" s="2" t="s">
        <v>363</v>
      </c>
      <c r="F1118" s="2" t="s">
        <v>19</v>
      </c>
      <c r="G1118" s="3">
        <v>590000</v>
      </c>
      <c r="H1118" s="8">
        <v>10</v>
      </c>
      <c r="I1118" s="3">
        <v>0</v>
      </c>
      <c r="J1118" s="3">
        <v>0</v>
      </c>
    </row>
    <row r="1119" spans="1:10" x14ac:dyDescent="0.25">
      <c r="A1119" s="2">
        <v>1119</v>
      </c>
      <c r="B1119" s="18">
        <v>45581.708287037036</v>
      </c>
      <c r="C1119" s="2" t="s">
        <v>349</v>
      </c>
      <c r="D1119" s="2" t="s">
        <v>315</v>
      </c>
      <c r="E1119" s="2" t="s">
        <v>363</v>
      </c>
      <c r="F1119" s="2" t="s">
        <v>29</v>
      </c>
      <c r="G1119" s="3">
        <v>590000</v>
      </c>
      <c r="H1119" s="8">
        <v>5</v>
      </c>
      <c r="I1119" s="3">
        <v>2950000</v>
      </c>
      <c r="J1119" s="3">
        <v>2950000</v>
      </c>
    </row>
    <row r="1120" spans="1:10" x14ac:dyDescent="0.25">
      <c r="A1120" s="2">
        <v>1120</v>
      </c>
      <c r="B1120" s="18">
        <v>45581.708287037036</v>
      </c>
      <c r="C1120" s="2" t="s">
        <v>349</v>
      </c>
      <c r="D1120" s="2" t="s">
        <v>315</v>
      </c>
      <c r="E1120" s="2" t="s">
        <v>363</v>
      </c>
      <c r="F1120" s="2" t="s">
        <v>29</v>
      </c>
      <c r="G1120" s="3">
        <v>590000</v>
      </c>
      <c r="H1120" s="8">
        <v>2</v>
      </c>
      <c r="I1120" s="3">
        <v>0</v>
      </c>
      <c r="J1120" s="3">
        <v>0</v>
      </c>
    </row>
    <row r="1121" spans="1:10" x14ac:dyDescent="0.25">
      <c r="A1121" s="2">
        <v>1121</v>
      </c>
      <c r="B1121" s="18">
        <v>45581.708287037036</v>
      </c>
      <c r="C1121" s="2" t="s">
        <v>349</v>
      </c>
      <c r="D1121" s="2" t="s">
        <v>315</v>
      </c>
      <c r="E1121" s="2" t="s">
        <v>363</v>
      </c>
      <c r="F1121" s="2" t="s">
        <v>19</v>
      </c>
      <c r="G1121" s="3">
        <v>590000</v>
      </c>
      <c r="H1121" s="8">
        <v>5</v>
      </c>
      <c r="I1121" s="3">
        <v>2950000</v>
      </c>
      <c r="J1121" s="3">
        <v>2950000</v>
      </c>
    </row>
    <row r="1122" spans="1:10" x14ac:dyDescent="0.25">
      <c r="A1122" s="2">
        <v>1122</v>
      </c>
      <c r="B1122" s="18">
        <v>45581.708287037036</v>
      </c>
      <c r="C1122" s="2" t="s">
        <v>349</v>
      </c>
      <c r="D1122" s="2" t="s">
        <v>315</v>
      </c>
      <c r="E1122" s="2" t="s">
        <v>363</v>
      </c>
      <c r="F1122" s="2" t="s">
        <v>33</v>
      </c>
      <c r="G1122" s="3">
        <v>485000</v>
      </c>
      <c r="H1122" s="8">
        <v>10</v>
      </c>
      <c r="I1122" s="3">
        <v>4850000</v>
      </c>
      <c r="J1122" s="3">
        <v>4850000</v>
      </c>
    </row>
    <row r="1123" spans="1:10" x14ac:dyDescent="0.25">
      <c r="A1123" s="2">
        <v>1123</v>
      </c>
      <c r="B1123" s="18">
        <v>45581.708287037036</v>
      </c>
      <c r="C1123" s="2" t="s">
        <v>349</v>
      </c>
      <c r="D1123" s="2" t="s">
        <v>315</v>
      </c>
      <c r="E1123" s="2" t="s">
        <v>363</v>
      </c>
      <c r="F1123" s="2" t="s">
        <v>33</v>
      </c>
      <c r="G1123" s="3">
        <v>485000</v>
      </c>
      <c r="H1123" s="8">
        <v>4</v>
      </c>
      <c r="I1123" s="3">
        <v>0</v>
      </c>
      <c r="J1123" s="3">
        <v>0</v>
      </c>
    </row>
    <row r="1124" spans="1:10" x14ac:dyDescent="0.25">
      <c r="A1124" s="2">
        <v>1124</v>
      </c>
      <c r="B1124" s="18">
        <v>45581.708287037036</v>
      </c>
      <c r="C1124" s="2" t="s">
        <v>349</v>
      </c>
      <c r="D1124" s="2" t="s">
        <v>315</v>
      </c>
      <c r="E1124" s="2" t="s">
        <v>363</v>
      </c>
      <c r="F1124" s="2" t="s">
        <v>27</v>
      </c>
      <c r="G1124" s="3">
        <v>935000</v>
      </c>
      <c r="H1124" s="8">
        <v>5</v>
      </c>
      <c r="I1124" s="3">
        <v>4675000</v>
      </c>
      <c r="J1124" s="3">
        <v>4675000</v>
      </c>
    </row>
    <row r="1125" spans="1:10" x14ac:dyDescent="0.25">
      <c r="A1125" s="2">
        <v>1125</v>
      </c>
      <c r="B1125" s="18">
        <v>45581.708287037036</v>
      </c>
      <c r="C1125" s="2" t="s">
        <v>349</v>
      </c>
      <c r="D1125" s="2" t="s">
        <v>315</v>
      </c>
      <c r="E1125" s="2" t="s">
        <v>363</v>
      </c>
      <c r="F1125" s="2" t="s">
        <v>27</v>
      </c>
      <c r="G1125" s="3">
        <v>935000</v>
      </c>
      <c r="H1125" s="8">
        <v>2</v>
      </c>
      <c r="I1125" s="3">
        <v>0</v>
      </c>
      <c r="J1125" s="3">
        <v>0</v>
      </c>
    </row>
    <row r="1126" spans="1:10" x14ac:dyDescent="0.25">
      <c r="A1126" s="2">
        <v>1126</v>
      </c>
      <c r="B1126" s="18">
        <v>45581.708287037036</v>
      </c>
      <c r="C1126" s="2" t="s">
        <v>349</v>
      </c>
      <c r="D1126" s="2" t="s">
        <v>228</v>
      </c>
      <c r="E1126" s="2" t="s">
        <v>367</v>
      </c>
      <c r="F1126" s="2" t="s">
        <v>69</v>
      </c>
      <c r="G1126" s="3">
        <v>1450000</v>
      </c>
      <c r="H1126" s="8">
        <v>3</v>
      </c>
      <c r="I1126" s="3">
        <v>3480000</v>
      </c>
      <c r="J1126" s="3">
        <v>3480000</v>
      </c>
    </row>
    <row r="1127" spans="1:10" x14ac:dyDescent="0.25">
      <c r="A1127" s="2">
        <v>1127</v>
      </c>
      <c r="B1127" s="18">
        <v>45581.708287037036</v>
      </c>
      <c r="C1127" s="2" t="s">
        <v>349</v>
      </c>
      <c r="D1127" s="2" t="s">
        <v>228</v>
      </c>
      <c r="E1127" s="2" t="s">
        <v>367</v>
      </c>
      <c r="F1127" s="2" t="s">
        <v>47</v>
      </c>
      <c r="G1127" s="3">
        <v>200000</v>
      </c>
      <c r="H1127" s="8">
        <v>1</v>
      </c>
      <c r="I1127" s="3">
        <v>0</v>
      </c>
      <c r="J1127" s="3">
        <v>0</v>
      </c>
    </row>
    <row r="1128" spans="1:10" x14ac:dyDescent="0.25">
      <c r="A1128" s="2">
        <v>1128</v>
      </c>
      <c r="B1128" s="18">
        <v>45582.708287037036</v>
      </c>
      <c r="C1128" s="2" t="s">
        <v>349</v>
      </c>
      <c r="D1128" s="2" t="s">
        <v>268</v>
      </c>
      <c r="E1128" s="2" t="s">
        <v>371</v>
      </c>
      <c r="F1128" s="2" t="s">
        <v>57</v>
      </c>
      <c r="G1128" s="3">
        <v>745000</v>
      </c>
      <c r="H1128" s="8">
        <v>19</v>
      </c>
      <c r="I1128" s="3">
        <v>7077500</v>
      </c>
      <c r="J1128" s="3">
        <v>7077500</v>
      </c>
    </row>
    <row r="1129" spans="1:10" x14ac:dyDescent="0.25">
      <c r="A1129" s="2">
        <v>1129</v>
      </c>
      <c r="B1129" s="18">
        <v>45582.708287037036</v>
      </c>
      <c r="C1129" s="2" t="s">
        <v>349</v>
      </c>
      <c r="D1129" s="2" t="s">
        <v>268</v>
      </c>
      <c r="E1129" s="2" t="s">
        <v>371</v>
      </c>
      <c r="F1129" s="2" t="s">
        <v>83</v>
      </c>
      <c r="G1129" s="3">
        <v>790000</v>
      </c>
      <c r="H1129" s="8">
        <v>17</v>
      </c>
      <c r="I1129" s="3">
        <v>6715000</v>
      </c>
      <c r="J1129" s="3">
        <v>6715000</v>
      </c>
    </row>
    <row r="1130" spans="1:10" x14ac:dyDescent="0.25">
      <c r="A1130" s="2">
        <v>1130</v>
      </c>
      <c r="B1130" s="18">
        <v>45582.708287037036</v>
      </c>
      <c r="C1130" s="2" t="s">
        <v>349</v>
      </c>
      <c r="D1130" s="2" t="s">
        <v>268</v>
      </c>
      <c r="E1130" s="2" t="s">
        <v>371</v>
      </c>
      <c r="F1130" s="2" t="s">
        <v>19</v>
      </c>
      <c r="G1130" s="3">
        <v>590000</v>
      </c>
      <c r="H1130" s="8">
        <v>6</v>
      </c>
      <c r="I1130" s="3">
        <v>1770000</v>
      </c>
      <c r="J1130" s="3">
        <v>1770000</v>
      </c>
    </row>
    <row r="1131" spans="1:10" x14ac:dyDescent="0.25">
      <c r="A1131" s="2">
        <v>1131</v>
      </c>
      <c r="B1131" s="18">
        <v>45582.708287037036</v>
      </c>
      <c r="C1131" s="2" t="s">
        <v>349</v>
      </c>
      <c r="D1131" s="2" t="s">
        <v>268</v>
      </c>
      <c r="E1131" s="2" t="s">
        <v>371</v>
      </c>
      <c r="F1131" s="2" t="s">
        <v>27</v>
      </c>
      <c r="G1131" s="3">
        <v>935000</v>
      </c>
      <c r="H1131" s="8">
        <v>22</v>
      </c>
      <c r="I1131" s="3">
        <v>10285000</v>
      </c>
      <c r="J1131" s="3">
        <v>10285000</v>
      </c>
    </row>
    <row r="1132" spans="1:10" x14ac:dyDescent="0.25">
      <c r="A1132" s="2">
        <v>1132</v>
      </c>
      <c r="B1132" s="18">
        <v>45582.708287037036</v>
      </c>
      <c r="C1132" s="2" t="s">
        <v>349</v>
      </c>
      <c r="D1132" s="2" t="s">
        <v>422</v>
      </c>
      <c r="E1132" s="2" t="s">
        <v>364</v>
      </c>
      <c r="F1132" s="2" t="s">
        <v>29</v>
      </c>
      <c r="G1132" s="3">
        <v>590000</v>
      </c>
      <c r="H1132" s="8">
        <v>60</v>
      </c>
      <c r="I1132" s="3">
        <v>17700000</v>
      </c>
      <c r="J1132" s="3">
        <v>17700000</v>
      </c>
    </row>
    <row r="1133" spans="1:10" x14ac:dyDescent="0.25">
      <c r="A1133" s="2">
        <v>1133</v>
      </c>
      <c r="B1133" s="18">
        <v>45582.708287037036</v>
      </c>
      <c r="C1133" s="2" t="s">
        <v>349</v>
      </c>
      <c r="D1133" s="2" t="s">
        <v>422</v>
      </c>
      <c r="E1133" s="2" t="s">
        <v>364</v>
      </c>
      <c r="F1133" s="2" t="s">
        <v>19</v>
      </c>
      <c r="G1133" s="3">
        <v>590000</v>
      </c>
      <c r="H1133" s="8">
        <v>90</v>
      </c>
      <c r="I1133" s="3">
        <v>48852000</v>
      </c>
      <c r="J1133" s="3">
        <v>48852000</v>
      </c>
    </row>
    <row r="1134" spans="1:10" x14ac:dyDescent="0.25">
      <c r="A1134" s="2">
        <v>1134</v>
      </c>
      <c r="B1134" s="18">
        <v>45582.708287037036</v>
      </c>
      <c r="C1134" s="2" t="s">
        <v>349</v>
      </c>
      <c r="D1134" s="2" t="s">
        <v>422</v>
      </c>
      <c r="E1134" s="2" t="s">
        <v>364</v>
      </c>
      <c r="F1134" s="2" t="s">
        <v>19</v>
      </c>
      <c r="G1134" s="3">
        <v>590000</v>
      </c>
      <c r="H1134" s="8">
        <v>90</v>
      </c>
      <c r="I1134" s="3">
        <v>0</v>
      </c>
      <c r="J1134" s="3">
        <v>0</v>
      </c>
    </row>
    <row r="1135" spans="1:10" x14ac:dyDescent="0.25">
      <c r="A1135" s="2">
        <v>1135</v>
      </c>
      <c r="B1135" s="18">
        <v>45582.708287037036</v>
      </c>
      <c r="C1135" s="2" t="s">
        <v>349</v>
      </c>
      <c r="D1135" s="2" t="s">
        <v>422</v>
      </c>
      <c r="E1135" s="2" t="s">
        <v>364</v>
      </c>
      <c r="F1135" s="2" t="s">
        <v>89</v>
      </c>
      <c r="G1135" s="3">
        <v>390000</v>
      </c>
      <c r="H1135" s="8">
        <v>40</v>
      </c>
      <c r="I1135" s="3">
        <v>0</v>
      </c>
      <c r="J1135" s="3">
        <v>0</v>
      </c>
    </row>
    <row r="1136" spans="1:10" x14ac:dyDescent="0.25">
      <c r="A1136" s="2">
        <v>1136</v>
      </c>
      <c r="B1136" s="18">
        <v>45582.708287037036</v>
      </c>
      <c r="C1136" s="2" t="s">
        <v>349</v>
      </c>
      <c r="D1136" s="2" t="s">
        <v>422</v>
      </c>
      <c r="E1136" s="2" t="s">
        <v>364</v>
      </c>
      <c r="F1136" s="2" t="s">
        <v>79</v>
      </c>
      <c r="G1136" s="3">
        <v>150000</v>
      </c>
      <c r="H1136" s="8">
        <v>-40</v>
      </c>
      <c r="I1136" s="3">
        <v>0</v>
      </c>
      <c r="J1136" s="3">
        <v>0</v>
      </c>
    </row>
    <row r="1137" spans="1:10" x14ac:dyDescent="0.25">
      <c r="A1137" s="2">
        <v>1137</v>
      </c>
      <c r="B1137" s="18">
        <v>45582.708287037036</v>
      </c>
      <c r="C1137" s="2" t="s">
        <v>349</v>
      </c>
      <c r="D1137" s="2" t="s">
        <v>422</v>
      </c>
      <c r="E1137" s="2" t="s">
        <v>364</v>
      </c>
      <c r="F1137" s="2" t="s">
        <v>61</v>
      </c>
      <c r="G1137" s="3">
        <v>890000</v>
      </c>
      <c r="H1137" s="8">
        <v>1</v>
      </c>
      <c r="I1137" s="3">
        <v>0</v>
      </c>
      <c r="J1137" s="3">
        <v>0</v>
      </c>
    </row>
    <row r="1138" spans="1:10" x14ac:dyDescent="0.25">
      <c r="A1138" s="2">
        <v>1138</v>
      </c>
      <c r="B1138" s="18">
        <v>45582.708287037036</v>
      </c>
      <c r="C1138" s="2" t="s">
        <v>349</v>
      </c>
      <c r="D1138" s="2" t="s">
        <v>34</v>
      </c>
      <c r="E1138" s="2" t="s">
        <v>370</v>
      </c>
      <c r="F1138" s="2" t="s">
        <v>421</v>
      </c>
      <c r="G1138" s="3">
        <v>0</v>
      </c>
      <c r="H1138" s="8">
        <v>0</v>
      </c>
      <c r="I1138" s="3">
        <v>0</v>
      </c>
      <c r="J1138" s="3">
        <v>0</v>
      </c>
    </row>
    <row r="1139" spans="1:10" x14ac:dyDescent="0.25">
      <c r="A1139" s="2">
        <v>1139</v>
      </c>
      <c r="B1139" s="18">
        <v>45582.708287037036</v>
      </c>
      <c r="C1139" s="2" t="s">
        <v>349</v>
      </c>
      <c r="D1139" s="2" t="s">
        <v>34</v>
      </c>
      <c r="E1139" s="2" t="s">
        <v>370</v>
      </c>
      <c r="F1139" s="2" t="s">
        <v>421</v>
      </c>
      <c r="G1139" s="3">
        <v>0</v>
      </c>
      <c r="H1139" s="8">
        <v>0</v>
      </c>
      <c r="I1139" s="3">
        <v>0</v>
      </c>
      <c r="J1139" s="3">
        <v>0</v>
      </c>
    </row>
    <row r="1140" spans="1:10" x14ac:dyDescent="0.25">
      <c r="A1140" s="2">
        <v>1140</v>
      </c>
      <c r="B1140" s="18">
        <v>45585.708287037036</v>
      </c>
      <c r="C1140" s="2" t="s">
        <v>349</v>
      </c>
      <c r="D1140" s="2" t="s">
        <v>267</v>
      </c>
      <c r="E1140" s="2" t="s">
        <v>371</v>
      </c>
      <c r="F1140" s="2" t="s">
        <v>31</v>
      </c>
      <c r="G1140" s="3">
        <v>745000</v>
      </c>
      <c r="H1140" s="8">
        <v>92</v>
      </c>
      <c r="I1140" s="3">
        <v>34270000</v>
      </c>
      <c r="J1140" s="3">
        <v>34270000</v>
      </c>
    </row>
    <row r="1141" spans="1:10" x14ac:dyDescent="0.25">
      <c r="A1141" s="2">
        <v>1141</v>
      </c>
      <c r="B1141" s="18">
        <v>45585.708287037036</v>
      </c>
      <c r="C1141" s="2" t="s">
        <v>349</v>
      </c>
      <c r="D1141" s="2" t="s">
        <v>267</v>
      </c>
      <c r="E1141" s="2" t="s">
        <v>371</v>
      </c>
      <c r="F1141" s="2" t="s">
        <v>57</v>
      </c>
      <c r="G1141" s="3">
        <v>745000</v>
      </c>
      <c r="H1141" s="8">
        <v>59</v>
      </c>
      <c r="I1141" s="3">
        <v>21977500</v>
      </c>
      <c r="J1141" s="3">
        <v>21977500</v>
      </c>
    </row>
    <row r="1142" spans="1:10" x14ac:dyDescent="0.25">
      <c r="A1142" s="2">
        <v>1142</v>
      </c>
      <c r="B1142" s="18">
        <v>45585.708287037036</v>
      </c>
      <c r="C1142" s="2" t="s">
        <v>349</v>
      </c>
      <c r="D1142" s="2" t="s">
        <v>267</v>
      </c>
      <c r="E1142" s="2" t="s">
        <v>371</v>
      </c>
      <c r="F1142" s="2" t="s">
        <v>83</v>
      </c>
      <c r="G1142" s="3">
        <v>790000</v>
      </c>
      <c r="H1142" s="8">
        <v>27</v>
      </c>
      <c r="I1142" s="3">
        <v>10665000</v>
      </c>
      <c r="J1142" s="3">
        <v>10665000</v>
      </c>
    </row>
    <row r="1143" spans="1:10" x14ac:dyDescent="0.25">
      <c r="A1143" s="2">
        <v>1143</v>
      </c>
      <c r="B1143" s="18">
        <v>45585.708287037036</v>
      </c>
      <c r="C1143" s="2" t="s">
        <v>349</v>
      </c>
      <c r="D1143" s="2" t="s">
        <v>267</v>
      </c>
      <c r="E1143" s="2" t="s">
        <v>371</v>
      </c>
      <c r="F1143" s="2" t="s">
        <v>19</v>
      </c>
      <c r="G1143" s="3">
        <v>590000</v>
      </c>
      <c r="H1143" s="8">
        <v>11</v>
      </c>
      <c r="I1143" s="3">
        <v>3245000</v>
      </c>
      <c r="J1143" s="3">
        <v>3245000</v>
      </c>
    </row>
    <row r="1144" spans="1:10" x14ac:dyDescent="0.25">
      <c r="A1144" s="2">
        <v>1144</v>
      </c>
      <c r="B1144" s="18">
        <v>45585.708287037036</v>
      </c>
      <c r="C1144" s="2" t="s">
        <v>349</v>
      </c>
      <c r="D1144" s="2" t="s">
        <v>267</v>
      </c>
      <c r="E1144" s="2" t="s">
        <v>371</v>
      </c>
      <c r="F1144" s="2" t="s">
        <v>27</v>
      </c>
      <c r="G1144" s="3">
        <v>935000</v>
      </c>
      <c r="H1144" s="8">
        <v>38</v>
      </c>
      <c r="I1144" s="3">
        <v>17765000</v>
      </c>
      <c r="J1144" s="3">
        <v>17765000</v>
      </c>
    </row>
    <row r="1145" spans="1:10" x14ac:dyDescent="0.25">
      <c r="A1145" s="2">
        <v>1145</v>
      </c>
      <c r="B1145" s="18">
        <v>45585.708287037036</v>
      </c>
      <c r="C1145" s="2" t="s">
        <v>349</v>
      </c>
      <c r="D1145" s="2" t="s">
        <v>303</v>
      </c>
      <c r="E1145" s="2" t="s">
        <v>366</v>
      </c>
      <c r="F1145" s="2" t="s">
        <v>31</v>
      </c>
      <c r="G1145" s="3">
        <v>745000</v>
      </c>
      <c r="H1145" s="8">
        <v>10</v>
      </c>
      <c r="I1145" s="3">
        <v>4470000</v>
      </c>
      <c r="J1145" s="3">
        <v>4470000</v>
      </c>
    </row>
    <row r="1146" spans="1:10" x14ac:dyDescent="0.25">
      <c r="A1146" s="2">
        <v>1146</v>
      </c>
      <c r="B1146" s="18">
        <v>45585.708287037036</v>
      </c>
      <c r="C1146" s="2" t="s">
        <v>349</v>
      </c>
      <c r="D1146" s="2" t="s">
        <v>309</v>
      </c>
      <c r="E1146" s="2" t="s">
        <v>367</v>
      </c>
      <c r="F1146" s="2" t="s">
        <v>33</v>
      </c>
      <c r="G1146" s="3">
        <v>485000</v>
      </c>
      <c r="H1146" s="8">
        <v>2</v>
      </c>
      <c r="I1146" s="3">
        <v>630500</v>
      </c>
      <c r="J1146" s="3">
        <v>630500</v>
      </c>
    </row>
    <row r="1147" spans="1:10" x14ac:dyDescent="0.25">
      <c r="A1147" s="2">
        <v>1147</v>
      </c>
      <c r="B1147" s="18">
        <v>45585.708287037036</v>
      </c>
      <c r="C1147" s="2" t="s">
        <v>349</v>
      </c>
      <c r="D1147" s="2" t="s">
        <v>309</v>
      </c>
      <c r="E1147" s="2" t="s">
        <v>367</v>
      </c>
      <c r="F1147" s="2" t="s">
        <v>59</v>
      </c>
      <c r="G1147" s="3">
        <v>475000</v>
      </c>
      <c r="H1147" s="8">
        <v>2</v>
      </c>
      <c r="I1147" s="3">
        <v>617500</v>
      </c>
      <c r="J1147" s="3">
        <v>617500</v>
      </c>
    </row>
    <row r="1148" spans="1:10" x14ac:dyDescent="0.25">
      <c r="A1148" s="2">
        <v>1148</v>
      </c>
      <c r="B1148" s="18">
        <v>45585.708287037036</v>
      </c>
      <c r="C1148" s="2" t="s">
        <v>349</v>
      </c>
      <c r="D1148" s="2" t="s">
        <v>4</v>
      </c>
      <c r="E1148" s="2" t="s">
        <v>363</v>
      </c>
      <c r="F1148" s="2" t="s">
        <v>59</v>
      </c>
      <c r="G1148" s="3">
        <v>475000</v>
      </c>
      <c r="H1148" s="8">
        <v>1</v>
      </c>
      <c r="I1148" s="3">
        <v>0</v>
      </c>
      <c r="J1148" s="3">
        <v>0</v>
      </c>
    </row>
    <row r="1149" spans="1:10" x14ac:dyDescent="0.25">
      <c r="A1149" s="2">
        <v>1149</v>
      </c>
      <c r="B1149" s="18">
        <v>45585.708287037036</v>
      </c>
      <c r="C1149" s="2" t="s">
        <v>349</v>
      </c>
      <c r="D1149" s="2" t="s">
        <v>4</v>
      </c>
      <c r="E1149" s="2" t="s">
        <v>363</v>
      </c>
      <c r="F1149" s="2" t="s">
        <v>33</v>
      </c>
      <c r="G1149" s="3">
        <v>485000</v>
      </c>
      <c r="H1149" s="8">
        <v>1</v>
      </c>
      <c r="I1149" s="3">
        <v>0</v>
      </c>
      <c r="J1149" s="3">
        <v>0</v>
      </c>
    </row>
    <row r="1150" spans="1:10" x14ac:dyDescent="0.25">
      <c r="A1150" s="2">
        <v>1150</v>
      </c>
      <c r="B1150" s="18">
        <v>45585.708287037036</v>
      </c>
      <c r="C1150" s="2" t="s">
        <v>349</v>
      </c>
      <c r="D1150" s="2" t="s">
        <v>4</v>
      </c>
      <c r="E1150" s="2" t="s">
        <v>363</v>
      </c>
      <c r="F1150" s="2" t="s">
        <v>51</v>
      </c>
      <c r="G1150" s="3">
        <v>465000</v>
      </c>
      <c r="H1150" s="8">
        <v>1</v>
      </c>
      <c r="I1150" s="3">
        <v>0</v>
      </c>
      <c r="J1150" s="3">
        <v>0</v>
      </c>
    </row>
    <row r="1151" spans="1:10" x14ac:dyDescent="0.25">
      <c r="A1151" s="2">
        <v>1151</v>
      </c>
      <c r="B1151" s="18">
        <v>45586.708287037036</v>
      </c>
      <c r="C1151" s="2" t="s">
        <v>349</v>
      </c>
      <c r="D1151" s="2" t="s">
        <v>246</v>
      </c>
      <c r="E1151" s="2" t="s">
        <v>367</v>
      </c>
      <c r="F1151" s="2" t="s">
        <v>21</v>
      </c>
      <c r="G1151" s="3">
        <v>890000</v>
      </c>
      <c r="H1151" s="8">
        <v>1</v>
      </c>
      <c r="I1151" s="3">
        <v>783200</v>
      </c>
      <c r="J1151" s="3">
        <v>783200</v>
      </c>
    </row>
    <row r="1152" spans="1:10" x14ac:dyDescent="0.25">
      <c r="A1152" s="2">
        <v>1152</v>
      </c>
      <c r="B1152" s="18">
        <v>45586.708287037036</v>
      </c>
      <c r="C1152" s="2" t="s">
        <v>349</v>
      </c>
      <c r="D1152" s="2" t="s">
        <v>242</v>
      </c>
      <c r="E1152" s="2" t="s">
        <v>367</v>
      </c>
      <c r="F1152" s="2" t="s">
        <v>69</v>
      </c>
      <c r="G1152" s="3">
        <v>1450000</v>
      </c>
      <c r="H1152" s="8">
        <v>3</v>
      </c>
      <c r="I1152" s="3">
        <v>3062400</v>
      </c>
      <c r="J1152" s="3">
        <v>3062400</v>
      </c>
    </row>
    <row r="1153" spans="1:10" x14ac:dyDescent="0.25">
      <c r="A1153" s="2">
        <v>1153</v>
      </c>
      <c r="B1153" s="18">
        <v>45586.708287037036</v>
      </c>
      <c r="C1153" s="2" t="s">
        <v>349</v>
      </c>
      <c r="D1153" s="2" t="s">
        <v>243</v>
      </c>
      <c r="E1153" s="2" t="s">
        <v>367</v>
      </c>
      <c r="F1153" s="2" t="s">
        <v>29</v>
      </c>
      <c r="G1153" s="3">
        <v>590000</v>
      </c>
      <c r="H1153" s="8">
        <v>4</v>
      </c>
      <c r="I1153" s="3">
        <v>1869120</v>
      </c>
      <c r="J1153" s="3">
        <v>1869120</v>
      </c>
    </row>
    <row r="1154" spans="1:10" x14ac:dyDescent="0.25">
      <c r="A1154" s="2">
        <v>1154</v>
      </c>
      <c r="B1154" s="18">
        <v>45586.708287037036</v>
      </c>
      <c r="C1154" s="2" t="s">
        <v>349</v>
      </c>
      <c r="D1154" s="2" t="s">
        <v>34</v>
      </c>
      <c r="E1154" s="2" t="s">
        <v>370</v>
      </c>
      <c r="F1154" s="2" t="s">
        <v>421</v>
      </c>
      <c r="G1154" s="3">
        <v>0</v>
      </c>
      <c r="H1154" s="8">
        <v>0</v>
      </c>
      <c r="I1154" s="3">
        <v>0</v>
      </c>
      <c r="J1154" s="3">
        <v>0</v>
      </c>
    </row>
    <row r="1155" spans="1:10" x14ac:dyDescent="0.25">
      <c r="A1155" s="2">
        <v>1155</v>
      </c>
      <c r="B1155" s="18">
        <v>45587.708287037036</v>
      </c>
      <c r="C1155" s="2" t="s">
        <v>349</v>
      </c>
      <c r="D1155" s="2" t="s">
        <v>116</v>
      </c>
      <c r="E1155" s="2" t="s">
        <v>370</v>
      </c>
      <c r="F1155" s="2" t="s">
        <v>61</v>
      </c>
      <c r="G1155" s="3">
        <v>890000</v>
      </c>
      <c r="H1155" s="8">
        <v>3</v>
      </c>
      <c r="I1155" s="3">
        <v>1922400</v>
      </c>
      <c r="J1155" s="3">
        <v>1922400</v>
      </c>
    </row>
    <row r="1156" spans="1:10" x14ac:dyDescent="0.25">
      <c r="A1156" s="2">
        <v>1156</v>
      </c>
      <c r="B1156" s="18">
        <v>45587.708287037036</v>
      </c>
      <c r="C1156" s="2" t="s">
        <v>349</v>
      </c>
      <c r="D1156" s="2" t="s">
        <v>116</v>
      </c>
      <c r="E1156" s="2" t="s">
        <v>370</v>
      </c>
      <c r="F1156" s="2" t="s">
        <v>83</v>
      </c>
      <c r="G1156" s="3">
        <v>790000</v>
      </c>
      <c r="H1156" s="8">
        <v>2</v>
      </c>
      <c r="I1156" s="3">
        <v>1137600</v>
      </c>
      <c r="J1156" s="3">
        <v>1137600</v>
      </c>
    </row>
    <row r="1157" spans="1:10" x14ac:dyDescent="0.25">
      <c r="A1157" s="2">
        <v>1157</v>
      </c>
      <c r="B1157" s="18">
        <v>45587.708287037036</v>
      </c>
      <c r="C1157" s="2" t="s">
        <v>349</v>
      </c>
      <c r="D1157" s="2" t="s">
        <v>116</v>
      </c>
      <c r="E1157" s="2" t="s">
        <v>370</v>
      </c>
      <c r="F1157" s="2" t="s">
        <v>35</v>
      </c>
      <c r="G1157" s="3">
        <v>525000</v>
      </c>
      <c r="H1157" s="8">
        <v>2</v>
      </c>
      <c r="I1157" s="3">
        <v>756000</v>
      </c>
      <c r="J1157" s="3">
        <v>756000</v>
      </c>
    </row>
    <row r="1158" spans="1:10" x14ac:dyDescent="0.25">
      <c r="A1158" s="2">
        <v>1158</v>
      </c>
      <c r="B1158" s="18">
        <v>45587.708287037036</v>
      </c>
      <c r="C1158" s="2" t="s">
        <v>349</v>
      </c>
      <c r="D1158" s="2" t="s">
        <v>34</v>
      </c>
      <c r="E1158" s="2" t="s">
        <v>370</v>
      </c>
      <c r="F1158" s="2" t="s">
        <v>421</v>
      </c>
      <c r="G1158" s="3">
        <v>0</v>
      </c>
      <c r="H1158" s="8">
        <v>0</v>
      </c>
      <c r="I1158" s="3">
        <v>0</v>
      </c>
      <c r="J1158" s="3">
        <v>0</v>
      </c>
    </row>
    <row r="1159" spans="1:10" x14ac:dyDescent="0.25">
      <c r="A1159" s="2">
        <v>1159</v>
      </c>
      <c r="B1159" s="18">
        <v>45587.708287037036</v>
      </c>
      <c r="C1159" s="2" t="s">
        <v>349</v>
      </c>
      <c r="D1159" s="2" t="s">
        <v>72</v>
      </c>
      <c r="E1159" s="2" t="s">
        <v>364</v>
      </c>
      <c r="F1159" s="2" t="s">
        <v>53</v>
      </c>
      <c r="G1159" s="3">
        <v>550000</v>
      </c>
      <c r="H1159" s="8">
        <v>5</v>
      </c>
      <c r="I1159" s="3">
        <v>0</v>
      </c>
      <c r="J1159" s="3">
        <v>0</v>
      </c>
    </row>
    <row r="1160" spans="1:10" x14ac:dyDescent="0.25">
      <c r="A1160" s="2">
        <v>1160</v>
      </c>
      <c r="B1160" s="18">
        <v>45587.708287037036</v>
      </c>
      <c r="C1160" s="2" t="s">
        <v>349</v>
      </c>
      <c r="D1160" s="2" t="s">
        <v>72</v>
      </c>
      <c r="E1160" s="2" t="s">
        <v>364</v>
      </c>
      <c r="F1160" s="2" t="s">
        <v>51</v>
      </c>
      <c r="G1160" s="3">
        <v>465000</v>
      </c>
      <c r="H1160" s="8">
        <v>5</v>
      </c>
      <c r="I1160" s="3">
        <v>0</v>
      </c>
      <c r="J1160" s="3">
        <v>0</v>
      </c>
    </row>
    <row r="1161" spans="1:10" x14ac:dyDescent="0.25">
      <c r="A1161" s="2">
        <v>1161</v>
      </c>
      <c r="B1161" s="18">
        <v>45587.708287037036</v>
      </c>
      <c r="C1161" s="2" t="s">
        <v>349</v>
      </c>
      <c r="D1161" s="2" t="s">
        <v>106</v>
      </c>
      <c r="E1161" s="2" t="s">
        <v>367</v>
      </c>
      <c r="F1161" s="2" t="s">
        <v>61</v>
      </c>
      <c r="G1161" s="3">
        <v>890000</v>
      </c>
      <c r="H1161" s="8">
        <v>2</v>
      </c>
      <c r="I1161" s="3">
        <v>1157000</v>
      </c>
      <c r="J1161" s="3">
        <v>1157000</v>
      </c>
    </row>
    <row r="1162" spans="1:10" x14ac:dyDescent="0.25">
      <c r="A1162" s="2">
        <v>1162</v>
      </c>
      <c r="B1162" s="18">
        <v>45588.708287037036</v>
      </c>
      <c r="C1162" s="2" t="s">
        <v>349</v>
      </c>
      <c r="D1162" s="2" t="s">
        <v>233</v>
      </c>
      <c r="E1162" s="2" t="s">
        <v>367</v>
      </c>
      <c r="F1162" s="2" t="s">
        <v>61</v>
      </c>
      <c r="G1162" s="3">
        <v>890000</v>
      </c>
      <c r="H1162" s="8">
        <v>1</v>
      </c>
      <c r="I1162" s="3">
        <v>783200</v>
      </c>
      <c r="J1162" s="3">
        <v>783200</v>
      </c>
    </row>
    <row r="1163" spans="1:10" x14ac:dyDescent="0.25">
      <c r="A1163" s="2">
        <v>1163</v>
      </c>
      <c r="B1163" s="18">
        <v>45589.708287037036</v>
      </c>
      <c r="C1163" s="2" t="s">
        <v>349</v>
      </c>
      <c r="D1163" s="2" t="s">
        <v>332</v>
      </c>
      <c r="E1163" s="2" t="s">
        <v>367</v>
      </c>
      <c r="F1163" s="2" t="s">
        <v>27</v>
      </c>
      <c r="G1163" s="3">
        <v>935000</v>
      </c>
      <c r="H1163" s="8">
        <v>1</v>
      </c>
      <c r="I1163" s="3">
        <v>607750</v>
      </c>
      <c r="J1163" s="3">
        <v>607750</v>
      </c>
    </row>
    <row r="1164" spans="1:10" x14ac:dyDescent="0.25">
      <c r="A1164" s="2">
        <v>1164</v>
      </c>
      <c r="B1164" s="18">
        <v>45590.708287037036</v>
      </c>
      <c r="C1164" s="2" t="s">
        <v>349</v>
      </c>
      <c r="D1164" s="2" t="s">
        <v>268</v>
      </c>
      <c r="E1164" s="2" t="s">
        <v>371</v>
      </c>
      <c r="F1164" s="2" t="s">
        <v>33</v>
      </c>
      <c r="G1164" s="3">
        <v>485000</v>
      </c>
      <c r="H1164" s="8">
        <v>15</v>
      </c>
      <c r="I1164" s="3">
        <v>3273750</v>
      </c>
      <c r="J1164" s="3">
        <v>3273750</v>
      </c>
    </row>
    <row r="1165" spans="1:10" x14ac:dyDescent="0.25">
      <c r="A1165" s="2">
        <v>1165</v>
      </c>
      <c r="B1165" s="18">
        <v>45590.708287037036</v>
      </c>
      <c r="C1165" s="2" t="s">
        <v>349</v>
      </c>
      <c r="D1165" s="2" t="s">
        <v>268</v>
      </c>
      <c r="E1165" s="2" t="s">
        <v>371</v>
      </c>
      <c r="F1165" s="2" t="s">
        <v>59</v>
      </c>
      <c r="G1165" s="3">
        <v>475000</v>
      </c>
      <c r="H1165" s="8">
        <v>4</v>
      </c>
      <c r="I1165" s="3">
        <v>854999.9999999999</v>
      </c>
      <c r="J1165" s="3">
        <v>854999.9999999999</v>
      </c>
    </row>
    <row r="1166" spans="1:10" x14ac:dyDescent="0.25">
      <c r="A1166" s="2">
        <v>1166</v>
      </c>
      <c r="B1166" s="18">
        <v>45590.708287037036</v>
      </c>
      <c r="C1166" s="2" t="s">
        <v>349</v>
      </c>
      <c r="D1166" s="2" t="s">
        <v>268</v>
      </c>
      <c r="E1166" s="2" t="s">
        <v>371</v>
      </c>
      <c r="F1166" s="2" t="s">
        <v>31</v>
      </c>
      <c r="G1166" s="3">
        <v>745000</v>
      </c>
      <c r="H1166" s="8">
        <v>15</v>
      </c>
      <c r="I1166" s="3">
        <v>5587500</v>
      </c>
      <c r="J1166" s="3">
        <v>5587500</v>
      </c>
    </row>
    <row r="1167" spans="1:10" x14ac:dyDescent="0.25">
      <c r="A1167" s="2">
        <v>1167</v>
      </c>
      <c r="B1167" s="18">
        <v>45590.708287037036</v>
      </c>
      <c r="C1167" s="2" t="s">
        <v>349</v>
      </c>
      <c r="D1167" s="2" t="s">
        <v>268</v>
      </c>
      <c r="E1167" s="2" t="s">
        <v>371</v>
      </c>
      <c r="F1167" s="2" t="s">
        <v>57</v>
      </c>
      <c r="G1167" s="3">
        <v>745000</v>
      </c>
      <c r="H1167" s="8">
        <v>4</v>
      </c>
      <c r="I1167" s="3">
        <v>1490000</v>
      </c>
      <c r="J1167" s="3">
        <v>1490000</v>
      </c>
    </row>
    <row r="1168" spans="1:10" x14ac:dyDescent="0.25">
      <c r="A1168" s="2">
        <v>1168</v>
      </c>
      <c r="B1168" s="18">
        <v>45590.708287037036</v>
      </c>
      <c r="C1168" s="2" t="s">
        <v>349</v>
      </c>
      <c r="D1168" s="2" t="s">
        <v>268</v>
      </c>
      <c r="E1168" s="2" t="s">
        <v>371</v>
      </c>
      <c r="F1168" s="2" t="s">
        <v>83</v>
      </c>
      <c r="G1168" s="3">
        <v>790000</v>
      </c>
      <c r="H1168" s="8">
        <v>20</v>
      </c>
      <c r="I1168" s="3">
        <v>7900000</v>
      </c>
      <c r="J1168" s="3">
        <v>7900000</v>
      </c>
    </row>
    <row r="1169" spans="1:10" x14ac:dyDescent="0.25">
      <c r="A1169" s="2">
        <v>1169</v>
      </c>
      <c r="B1169" s="18">
        <v>45590.708287037036</v>
      </c>
      <c r="C1169" s="2" t="s">
        <v>349</v>
      </c>
      <c r="D1169" s="2" t="s">
        <v>268</v>
      </c>
      <c r="E1169" s="2" t="s">
        <v>371</v>
      </c>
      <c r="F1169" s="2" t="s">
        <v>27</v>
      </c>
      <c r="G1169" s="3">
        <v>935000</v>
      </c>
      <c r="H1169" s="8">
        <v>119</v>
      </c>
      <c r="I1169" s="3">
        <v>55632500</v>
      </c>
      <c r="J1169" s="3">
        <v>55632500</v>
      </c>
    </row>
    <row r="1170" spans="1:10" x14ac:dyDescent="0.25">
      <c r="A1170" s="2">
        <v>1170</v>
      </c>
      <c r="B1170" s="18">
        <v>45590.708287037036</v>
      </c>
      <c r="C1170" s="2" t="s">
        <v>349</v>
      </c>
      <c r="D1170" s="2" t="s">
        <v>297</v>
      </c>
      <c r="E1170" s="2" t="s">
        <v>364</v>
      </c>
      <c r="F1170" s="2" t="s">
        <v>19</v>
      </c>
      <c r="G1170" s="3">
        <v>590000</v>
      </c>
      <c r="H1170" s="8">
        <v>100</v>
      </c>
      <c r="I1170" s="3">
        <v>26550000</v>
      </c>
      <c r="J1170" s="3">
        <v>26550000</v>
      </c>
    </row>
    <row r="1171" spans="1:10" x14ac:dyDescent="0.25">
      <c r="A1171" s="2">
        <v>1171</v>
      </c>
      <c r="B1171" s="18">
        <v>45590.708287037036</v>
      </c>
      <c r="C1171" s="2" t="s">
        <v>349</v>
      </c>
      <c r="D1171" s="2" t="s">
        <v>297</v>
      </c>
      <c r="E1171" s="2" t="s">
        <v>364</v>
      </c>
      <c r="F1171" s="2" t="s">
        <v>29</v>
      </c>
      <c r="G1171" s="3">
        <v>590000</v>
      </c>
      <c r="H1171" s="8">
        <v>50</v>
      </c>
      <c r="I1171" s="3">
        <v>14750000</v>
      </c>
      <c r="J1171" s="3">
        <v>14750000</v>
      </c>
    </row>
    <row r="1172" spans="1:10" x14ac:dyDescent="0.25">
      <c r="A1172" s="2">
        <v>1172</v>
      </c>
      <c r="B1172" s="18">
        <v>45590.708287037036</v>
      </c>
      <c r="C1172" s="2" t="s">
        <v>349</v>
      </c>
      <c r="D1172" s="2" t="s">
        <v>297</v>
      </c>
      <c r="E1172" s="2" t="s">
        <v>364</v>
      </c>
      <c r="F1172" s="2" t="s">
        <v>51</v>
      </c>
      <c r="G1172" s="3">
        <v>465000</v>
      </c>
      <c r="H1172" s="8">
        <v>50</v>
      </c>
      <c r="I1172" s="3">
        <v>7749999.9225</v>
      </c>
      <c r="J1172" s="3">
        <v>7749999.9225</v>
      </c>
    </row>
    <row r="1173" spans="1:10" x14ac:dyDescent="0.25">
      <c r="A1173" s="2">
        <v>1173</v>
      </c>
      <c r="B1173" s="18">
        <v>45590.708287037036</v>
      </c>
      <c r="C1173" s="2" t="s">
        <v>349</v>
      </c>
      <c r="D1173" s="2" t="s">
        <v>297</v>
      </c>
      <c r="E1173" s="2" t="s">
        <v>364</v>
      </c>
      <c r="F1173" s="2" t="s">
        <v>63</v>
      </c>
      <c r="G1173" s="3">
        <v>550000</v>
      </c>
      <c r="H1173" s="8">
        <v>90</v>
      </c>
      <c r="I1173" s="3">
        <v>20790000</v>
      </c>
      <c r="J1173" s="3">
        <v>20790000</v>
      </c>
    </row>
    <row r="1174" spans="1:10" x14ac:dyDescent="0.25">
      <c r="A1174" s="2">
        <v>1174</v>
      </c>
      <c r="B1174" s="18">
        <v>45591.708287037036</v>
      </c>
      <c r="C1174" s="2" t="s">
        <v>349</v>
      </c>
      <c r="D1174" s="2" t="s">
        <v>251</v>
      </c>
      <c r="E1174" s="2" t="s">
        <v>365</v>
      </c>
      <c r="F1174" s="2" t="s">
        <v>31</v>
      </c>
      <c r="G1174" s="3">
        <v>745000</v>
      </c>
      <c r="H1174" s="8">
        <v>50</v>
      </c>
      <c r="I1174" s="3">
        <v>18625000</v>
      </c>
      <c r="J1174" s="3">
        <v>18625000</v>
      </c>
    </row>
    <row r="1175" spans="1:10" x14ac:dyDescent="0.25">
      <c r="A1175" s="2">
        <v>1175</v>
      </c>
      <c r="B1175" s="18">
        <v>45592.708287037036</v>
      </c>
      <c r="C1175" s="2" t="s">
        <v>349</v>
      </c>
      <c r="D1175" s="2" t="s">
        <v>303</v>
      </c>
      <c r="E1175" s="2" t="s">
        <v>366</v>
      </c>
      <c r="F1175" s="2" t="s">
        <v>31</v>
      </c>
      <c r="G1175" s="3">
        <v>745000</v>
      </c>
      <c r="H1175" s="8">
        <v>10</v>
      </c>
      <c r="I1175" s="3">
        <v>4470000</v>
      </c>
      <c r="J1175" s="3">
        <v>4470000</v>
      </c>
    </row>
    <row r="1176" spans="1:10" x14ac:dyDescent="0.25">
      <c r="A1176" s="2">
        <v>1176</v>
      </c>
      <c r="B1176" s="18">
        <v>45592.708287037036</v>
      </c>
      <c r="C1176" s="2" t="s">
        <v>349</v>
      </c>
      <c r="D1176" s="2" t="s">
        <v>297</v>
      </c>
      <c r="E1176" s="2" t="s">
        <v>364</v>
      </c>
      <c r="F1176" s="2" t="s">
        <v>33</v>
      </c>
      <c r="G1176" s="3">
        <v>485000</v>
      </c>
      <c r="H1176" s="8">
        <v>100</v>
      </c>
      <c r="I1176" s="3">
        <v>20370000</v>
      </c>
      <c r="J1176" s="3">
        <v>20370000</v>
      </c>
    </row>
    <row r="1177" spans="1:10" x14ac:dyDescent="0.25">
      <c r="A1177" s="2">
        <v>1177</v>
      </c>
      <c r="B1177" s="18">
        <v>45592.708287037036</v>
      </c>
      <c r="C1177" s="2" t="s">
        <v>349</v>
      </c>
      <c r="D1177" s="2" t="s">
        <v>34</v>
      </c>
      <c r="E1177" s="2" t="s">
        <v>370</v>
      </c>
      <c r="F1177" s="2" t="s">
        <v>421</v>
      </c>
      <c r="G1177" s="3">
        <v>0</v>
      </c>
      <c r="H1177" s="8">
        <v>0</v>
      </c>
      <c r="I1177" s="3">
        <v>0</v>
      </c>
      <c r="J1177" s="3">
        <v>0</v>
      </c>
    </row>
    <row r="1178" spans="1:10" x14ac:dyDescent="0.25">
      <c r="A1178" s="2">
        <v>1178</v>
      </c>
      <c r="B1178" s="18">
        <v>45592.708287037036</v>
      </c>
      <c r="C1178" s="2" t="s">
        <v>349</v>
      </c>
      <c r="D1178" s="2" t="s">
        <v>34</v>
      </c>
      <c r="E1178" s="2" t="s">
        <v>370</v>
      </c>
      <c r="F1178" s="2" t="s">
        <v>421</v>
      </c>
      <c r="G1178" s="3">
        <v>0</v>
      </c>
      <c r="H1178" s="8">
        <v>0</v>
      </c>
      <c r="I1178" s="3">
        <v>0</v>
      </c>
      <c r="J1178" s="3">
        <v>0</v>
      </c>
    </row>
    <row r="1179" spans="1:10" x14ac:dyDescent="0.25">
      <c r="A1179" s="2">
        <v>1179</v>
      </c>
      <c r="B1179" s="18">
        <v>45593.708287037036</v>
      </c>
      <c r="C1179" s="2" t="s">
        <v>349</v>
      </c>
      <c r="D1179" s="2" t="s">
        <v>171</v>
      </c>
      <c r="E1179" s="2" t="s">
        <v>367</v>
      </c>
      <c r="F1179" s="2" t="s">
        <v>33</v>
      </c>
      <c r="G1179" s="3">
        <v>485000</v>
      </c>
      <c r="H1179" s="8">
        <v>1</v>
      </c>
      <c r="I1179" s="3">
        <v>0</v>
      </c>
      <c r="J1179" s="3">
        <v>0</v>
      </c>
    </row>
    <row r="1180" spans="1:10" x14ac:dyDescent="0.25">
      <c r="A1180" s="2">
        <v>1180</v>
      </c>
      <c r="B1180" s="18">
        <v>45593.708287037036</v>
      </c>
      <c r="C1180" s="2" t="s">
        <v>349</v>
      </c>
      <c r="D1180" s="2" t="s">
        <v>179</v>
      </c>
      <c r="E1180" s="2" t="s">
        <v>367</v>
      </c>
      <c r="F1180" s="2" t="s">
        <v>79</v>
      </c>
      <c r="G1180" s="3">
        <v>150000</v>
      </c>
      <c r="H1180" s="8">
        <v>1</v>
      </c>
      <c r="I1180" s="3">
        <v>0</v>
      </c>
      <c r="J1180" s="3">
        <v>0</v>
      </c>
    </row>
    <row r="1181" spans="1:10" x14ac:dyDescent="0.25">
      <c r="A1181" s="2">
        <v>1181</v>
      </c>
      <c r="B1181" s="18">
        <v>45593.708287037036</v>
      </c>
      <c r="C1181" s="2" t="s">
        <v>349</v>
      </c>
      <c r="D1181" s="2" t="s">
        <v>205</v>
      </c>
      <c r="E1181" s="2" t="s">
        <v>367</v>
      </c>
      <c r="F1181" s="2" t="s">
        <v>33</v>
      </c>
      <c r="G1181" s="3">
        <v>485000</v>
      </c>
      <c r="H1181" s="8">
        <v>1</v>
      </c>
      <c r="I1181" s="3">
        <v>0</v>
      </c>
      <c r="J1181" s="3">
        <v>0</v>
      </c>
    </row>
    <row r="1182" spans="1:10" x14ac:dyDescent="0.25">
      <c r="A1182" s="2">
        <v>1182</v>
      </c>
      <c r="B1182" s="18">
        <v>45593.708287037036</v>
      </c>
      <c r="C1182" s="2" t="s">
        <v>349</v>
      </c>
      <c r="D1182" s="2" t="s">
        <v>205</v>
      </c>
      <c r="E1182" s="2" t="s">
        <v>367</v>
      </c>
      <c r="F1182" s="2" t="s">
        <v>79</v>
      </c>
      <c r="G1182" s="3">
        <v>150000</v>
      </c>
      <c r="H1182" s="8">
        <v>3</v>
      </c>
      <c r="I1182" s="3">
        <v>0</v>
      </c>
      <c r="J1182" s="3">
        <v>0</v>
      </c>
    </row>
    <row r="1183" spans="1:10" x14ac:dyDescent="0.25">
      <c r="A1183" s="2">
        <v>1183</v>
      </c>
      <c r="B1183" s="18">
        <v>45594.708287037036</v>
      </c>
      <c r="C1183" s="2" t="s">
        <v>349</v>
      </c>
      <c r="D1183" s="2" t="s">
        <v>86</v>
      </c>
      <c r="E1183" s="2" t="s">
        <v>369</v>
      </c>
      <c r="F1183" s="2" t="s">
        <v>31</v>
      </c>
      <c r="G1183" s="3">
        <v>745000</v>
      </c>
      <c r="H1183" s="8">
        <v>5</v>
      </c>
      <c r="I1183" s="3">
        <v>1862500</v>
      </c>
      <c r="J1183" s="3">
        <v>1862500</v>
      </c>
    </row>
    <row r="1184" spans="1:10" x14ac:dyDescent="0.25">
      <c r="A1184" s="2">
        <v>1184</v>
      </c>
      <c r="B1184" s="18">
        <v>45594.708287037036</v>
      </c>
      <c r="C1184" s="2" t="s">
        <v>349</v>
      </c>
      <c r="D1184" s="2" t="s">
        <v>86</v>
      </c>
      <c r="E1184" s="2" t="s">
        <v>369</v>
      </c>
      <c r="F1184" s="2" t="s">
        <v>33</v>
      </c>
      <c r="G1184" s="3">
        <v>485000</v>
      </c>
      <c r="H1184" s="8">
        <v>20</v>
      </c>
      <c r="I1184" s="3">
        <v>4850000</v>
      </c>
      <c r="J1184" s="3">
        <v>4850000</v>
      </c>
    </row>
    <row r="1185" spans="1:10" x14ac:dyDescent="0.25">
      <c r="A1185" s="2">
        <v>1185</v>
      </c>
      <c r="B1185" s="18">
        <v>45594.708287037036</v>
      </c>
      <c r="C1185" s="2" t="s">
        <v>349</v>
      </c>
      <c r="D1185" s="2" t="s">
        <v>86</v>
      </c>
      <c r="E1185" s="2" t="s">
        <v>369</v>
      </c>
      <c r="F1185" s="2" t="s">
        <v>59</v>
      </c>
      <c r="G1185" s="3">
        <v>475000</v>
      </c>
      <c r="H1185" s="8">
        <v>20</v>
      </c>
      <c r="I1185" s="3">
        <v>4750000</v>
      </c>
      <c r="J1185" s="3">
        <v>4750000</v>
      </c>
    </row>
    <row r="1186" spans="1:10" x14ac:dyDescent="0.25">
      <c r="A1186" s="2">
        <v>1186</v>
      </c>
      <c r="B1186" s="18">
        <v>45595.708287037036</v>
      </c>
      <c r="C1186" s="2" t="s">
        <v>349</v>
      </c>
      <c r="D1186" s="2" t="s">
        <v>234</v>
      </c>
      <c r="E1186" s="2" t="s">
        <v>367</v>
      </c>
      <c r="F1186" s="2" t="s">
        <v>19</v>
      </c>
      <c r="G1186" s="3">
        <v>590000</v>
      </c>
      <c r="H1186" s="8">
        <v>1</v>
      </c>
      <c r="I1186" s="3">
        <v>415360</v>
      </c>
      <c r="J1186" s="3">
        <v>415360</v>
      </c>
    </row>
    <row r="1187" spans="1:10" x14ac:dyDescent="0.25">
      <c r="A1187" s="2">
        <v>1187</v>
      </c>
      <c r="B1187" s="18">
        <v>45595.708287037036</v>
      </c>
      <c r="C1187" s="2" t="s">
        <v>349</v>
      </c>
      <c r="D1187" s="2" t="s">
        <v>40</v>
      </c>
      <c r="E1187" s="2" t="s">
        <v>369</v>
      </c>
      <c r="F1187" s="2" t="s">
        <v>63</v>
      </c>
      <c r="G1187" s="3">
        <v>550000</v>
      </c>
      <c r="H1187" s="8">
        <v>5</v>
      </c>
      <c r="I1187" s="3">
        <v>1980000</v>
      </c>
      <c r="J1187" s="3">
        <v>1980000</v>
      </c>
    </row>
    <row r="1188" spans="1:10" x14ac:dyDescent="0.25">
      <c r="A1188" s="2">
        <v>1188</v>
      </c>
      <c r="B1188" s="18">
        <v>45595.708287037036</v>
      </c>
      <c r="C1188" s="2" t="s">
        <v>349</v>
      </c>
      <c r="D1188" s="2" t="s">
        <v>295</v>
      </c>
      <c r="E1188" s="2" t="s">
        <v>369</v>
      </c>
      <c r="F1188" s="2" t="s">
        <v>73</v>
      </c>
      <c r="G1188" s="3">
        <v>1350000</v>
      </c>
      <c r="H1188" s="8">
        <v>10</v>
      </c>
      <c r="I1188" s="3">
        <v>9450000</v>
      </c>
      <c r="J1188" s="3">
        <v>9450000</v>
      </c>
    </row>
    <row r="1189" spans="1:10" x14ac:dyDescent="0.25">
      <c r="A1189" s="2">
        <v>1189</v>
      </c>
      <c r="B1189" s="18">
        <v>45595.708287037036</v>
      </c>
      <c r="C1189" s="2" t="s">
        <v>349</v>
      </c>
      <c r="D1189" s="2" t="s">
        <v>295</v>
      </c>
      <c r="E1189" s="2" t="s">
        <v>369</v>
      </c>
      <c r="F1189" s="2" t="s">
        <v>19</v>
      </c>
      <c r="G1189" s="3">
        <v>590000</v>
      </c>
      <c r="H1189" s="8">
        <v>10</v>
      </c>
      <c r="I1189" s="3">
        <v>0</v>
      </c>
      <c r="J1189" s="3">
        <v>0</v>
      </c>
    </row>
    <row r="1190" spans="1:10" x14ac:dyDescent="0.25">
      <c r="A1190" s="2">
        <v>1190</v>
      </c>
      <c r="B1190" s="18">
        <v>45595.708287037036</v>
      </c>
      <c r="C1190" s="2" t="s">
        <v>349</v>
      </c>
      <c r="D1190" s="2" t="s">
        <v>107</v>
      </c>
      <c r="E1190" s="2" t="s">
        <v>367</v>
      </c>
      <c r="F1190" s="2" t="s">
        <v>23</v>
      </c>
      <c r="G1190" s="3">
        <v>775000</v>
      </c>
      <c r="H1190" s="8">
        <v>2</v>
      </c>
      <c r="I1190" s="3">
        <v>1007500</v>
      </c>
      <c r="J1190" s="3">
        <v>1007500</v>
      </c>
    </row>
    <row r="1191" spans="1:10" x14ac:dyDescent="0.25">
      <c r="A1191" s="2">
        <v>1191</v>
      </c>
      <c r="B1191" s="18">
        <v>45595.708287037036</v>
      </c>
      <c r="C1191" s="2" t="s">
        <v>349</v>
      </c>
      <c r="D1191" s="2" t="s">
        <v>107</v>
      </c>
      <c r="E1191" s="2" t="s">
        <v>367</v>
      </c>
      <c r="F1191" s="2" t="s">
        <v>59</v>
      </c>
      <c r="G1191" s="3">
        <v>475000</v>
      </c>
      <c r="H1191" s="8">
        <v>1</v>
      </c>
      <c r="I1191" s="3">
        <v>308750</v>
      </c>
      <c r="J1191" s="3">
        <v>308750</v>
      </c>
    </row>
    <row r="1192" spans="1:10" x14ac:dyDescent="0.25">
      <c r="A1192" s="2">
        <v>1192</v>
      </c>
      <c r="B1192" s="18">
        <v>45595.708287037036</v>
      </c>
      <c r="C1192" s="2" t="s">
        <v>349</v>
      </c>
      <c r="D1192" s="2" t="s">
        <v>107</v>
      </c>
      <c r="E1192" s="2" t="s">
        <v>367</v>
      </c>
      <c r="F1192" s="2" t="s">
        <v>85</v>
      </c>
      <c r="G1192" s="3">
        <v>480000</v>
      </c>
      <c r="H1192" s="8">
        <v>1</v>
      </c>
      <c r="I1192" s="3">
        <v>312000</v>
      </c>
      <c r="J1192" s="3">
        <v>312000</v>
      </c>
    </row>
    <row r="1193" spans="1:10" x14ac:dyDescent="0.25">
      <c r="A1193" s="2">
        <v>1193</v>
      </c>
      <c r="B1193" s="18">
        <v>45595.708287037036</v>
      </c>
      <c r="C1193" s="2" t="s">
        <v>349</v>
      </c>
      <c r="D1193" s="2" t="s">
        <v>311</v>
      </c>
      <c r="E1193" s="2" t="s">
        <v>369</v>
      </c>
      <c r="F1193" s="2" t="s">
        <v>27</v>
      </c>
      <c r="G1193" s="3">
        <v>935000</v>
      </c>
      <c r="H1193" s="8">
        <v>8</v>
      </c>
      <c r="I1193" s="3">
        <v>5610000</v>
      </c>
      <c r="J1193" s="3">
        <v>5610000</v>
      </c>
    </row>
    <row r="1194" spans="1:10" x14ac:dyDescent="0.25">
      <c r="A1194" s="2">
        <v>1194</v>
      </c>
      <c r="B1194" s="18">
        <v>45595.708287037036</v>
      </c>
      <c r="C1194" s="2" t="s">
        <v>349</v>
      </c>
      <c r="D1194" s="2" t="s">
        <v>311</v>
      </c>
      <c r="E1194" s="2" t="s">
        <v>369</v>
      </c>
      <c r="F1194" s="2" t="s">
        <v>27</v>
      </c>
      <c r="G1194" s="3">
        <v>935000</v>
      </c>
      <c r="H1194" s="8">
        <v>1</v>
      </c>
      <c r="I1194" s="3">
        <v>0</v>
      </c>
      <c r="J1194" s="3">
        <v>0</v>
      </c>
    </row>
    <row r="1195" spans="1:10" x14ac:dyDescent="0.25">
      <c r="A1195" s="2">
        <v>1195</v>
      </c>
      <c r="B1195" s="18">
        <v>45595.708287037036</v>
      </c>
      <c r="C1195" s="2" t="s">
        <v>349</v>
      </c>
      <c r="D1195" s="2" t="s">
        <v>311</v>
      </c>
      <c r="E1195" s="2" t="s">
        <v>369</v>
      </c>
      <c r="F1195" s="2" t="s">
        <v>89</v>
      </c>
      <c r="G1195" s="3">
        <v>390000</v>
      </c>
      <c r="H1195" s="8">
        <v>21</v>
      </c>
      <c r="I1195" s="3">
        <v>0</v>
      </c>
      <c r="J1195" s="3">
        <v>0</v>
      </c>
    </row>
    <row r="1196" spans="1:10" x14ac:dyDescent="0.25">
      <c r="A1196" s="2">
        <v>1196</v>
      </c>
      <c r="B1196" s="18">
        <v>45595.708287037036</v>
      </c>
      <c r="C1196" s="2" t="s">
        <v>349</v>
      </c>
      <c r="D1196" s="2" t="s">
        <v>311</v>
      </c>
      <c r="E1196" s="2" t="s">
        <v>369</v>
      </c>
      <c r="F1196" s="2" t="s">
        <v>29</v>
      </c>
      <c r="G1196" s="3">
        <v>590000</v>
      </c>
      <c r="H1196" s="8">
        <v>8</v>
      </c>
      <c r="I1196" s="3">
        <v>3540000</v>
      </c>
      <c r="J1196" s="3">
        <v>3540000</v>
      </c>
    </row>
    <row r="1197" spans="1:10" x14ac:dyDescent="0.25">
      <c r="A1197" s="2">
        <v>1197</v>
      </c>
      <c r="B1197" s="18">
        <v>45595.708287037036</v>
      </c>
      <c r="C1197" s="2" t="s">
        <v>349</v>
      </c>
      <c r="D1197" s="2" t="s">
        <v>311</v>
      </c>
      <c r="E1197" s="2" t="s">
        <v>369</v>
      </c>
      <c r="F1197" s="2" t="s">
        <v>29</v>
      </c>
      <c r="G1197" s="3">
        <v>590000</v>
      </c>
      <c r="H1197" s="8">
        <v>1</v>
      </c>
      <c r="I1197" s="3">
        <v>0</v>
      </c>
      <c r="J1197" s="3">
        <v>0</v>
      </c>
    </row>
    <row r="1198" spans="1:10" x14ac:dyDescent="0.25">
      <c r="A1198" s="2">
        <v>1198</v>
      </c>
      <c r="B1198" s="18">
        <v>45595.708287037036</v>
      </c>
      <c r="C1198" s="2" t="s">
        <v>349</v>
      </c>
      <c r="D1198" s="2" t="s">
        <v>311</v>
      </c>
      <c r="E1198" s="2" t="s">
        <v>369</v>
      </c>
      <c r="F1198" s="2" t="s">
        <v>83</v>
      </c>
      <c r="G1198" s="3">
        <v>790000</v>
      </c>
      <c r="H1198" s="8">
        <v>5</v>
      </c>
      <c r="I1198" s="3">
        <v>2962500</v>
      </c>
      <c r="J1198" s="3">
        <v>2962500</v>
      </c>
    </row>
    <row r="1199" spans="1:10" x14ac:dyDescent="0.25">
      <c r="A1199" s="2">
        <v>1199</v>
      </c>
      <c r="B1199" s="18">
        <v>45595.708287037036</v>
      </c>
      <c r="C1199" s="2" t="s">
        <v>349</v>
      </c>
      <c r="D1199" s="2" t="s">
        <v>107</v>
      </c>
      <c r="E1199" s="2" t="s">
        <v>367</v>
      </c>
      <c r="F1199" s="2" t="s">
        <v>33</v>
      </c>
      <c r="G1199" s="3">
        <v>485000</v>
      </c>
      <c r="H1199" s="8">
        <v>1</v>
      </c>
      <c r="I1199" s="3">
        <v>315250</v>
      </c>
      <c r="J1199" s="3">
        <v>315250</v>
      </c>
    </row>
    <row r="1200" spans="1:10" x14ac:dyDescent="0.25">
      <c r="A1200" s="2">
        <v>1200</v>
      </c>
      <c r="B1200" s="18">
        <v>45595.708287037036</v>
      </c>
      <c r="C1200" s="2" t="s">
        <v>349</v>
      </c>
      <c r="D1200" s="2" t="s">
        <v>66</v>
      </c>
      <c r="E1200" s="2" t="s">
        <v>365</v>
      </c>
      <c r="F1200" s="2" t="s">
        <v>31</v>
      </c>
      <c r="G1200" s="3">
        <v>745000</v>
      </c>
      <c r="H1200" s="8">
        <v>3</v>
      </c>
      <c r="I1200" s="3">
        <v>1452750</v>
      </c>
      <c r="J1200" s="3">
        <v>1452750</v>
      </c>
    </row>
    <row r="1201" spans="1:10" x14ac:dyDescent="0.25">
      <c r="A1201" s="2">
        <v>1201</v>
      </c>
      <c r="B1201" s="18">
        <v>45595.708287037036</v>
      </c>
      <c r="C1201" s="2" t="s">
        <v>349</v>
      </c>
      <c r="D1201" s="2" t="s">
        <v>74</v>
      </c>
      <c r="E1201" s="2" t="s">
        <v>369</v>
      </c>
      <c r="F1201" s="2" t="s">
        <v>49</v>
      </c>
      <c r="G1201" s="3">
        <v>200000</v>
      </c>
      <c r="H1201" s="8">
        <v>13</v>
      </c>
      <c r="I1201" s="3">
        <v>0</v>
      </c>
      <c r="J1201" s="3">
        <v>0</v>
      </c>
    </row>
    <row r="1202" spans="1:10" x14ac:dyDescent="0.25">
      <c r="A1202" s="2">
        <v>1202</v>
      </c>
      <c r="B1202" s="18">
        <v>45595.708287037036</v>
      </c>
      <c r="C1202" s="2" t="s">
        <v>349</v>
      </c>
      <c r="D1202" s="2" t="s">
        <v>74</v>
      </c>
      <c r="E1202" s="2" t="s">
        <v>369</v>
      </c>
      <c r="F1202" s="2" t="s">
        <v>85</v>
      </c>
      <c r="G1202" s="3">
        <v>480000</v>
      </c>
      <c r="H1202" s="8">
        <v>4</v>
      </c>
      <c r="I1202" s="3">
        <v>960000</v>
      </c>
      <c r="J1202" s="3">
        <v>960000</v>
      </c>
    </row>
    <row r="1203" spans="1:10" x14ac:dyDescent="0.25">
      <c r="A1203" s="2">
        <v>1203</v>
      </c>
      <c r="B1203" s="18">
        <v>45595.708287037036</v>
      </c>
      <c r="C1203" s="2" t="s">
        <v>349</v>
      </c>
      <c r="D1203" s="2" t="s">
        <v>74</v>
      </c>
      <c r="E1203" s="2" t="s">
        <v>369</v>
      </c>
      <c r="F1203" s="2" t="s">
        <v>19</v>
      </c>
      <c r="G1203" s="3">
        <v>590000</v>
      </c>
      <c r="H1203" s="8">
        <v>3</v>
      </c>
      <c r="I1203" s="3">
        <v>885000</v>
      </c>
      <c r="J1203" s="3">
        <v>885000</v>
      </c>
    </row>
    <row r="1204" spans="1:10" x14ac:dyDescent="0.25">
      <c r="A1204" s="2">
        <v>1204</v>
      </c>
      <c r="B1204" s="18">
        <v>45595.708287037036</v>
      </c>
      <c r="C1204" s="2" t="s">
        <v>349</v>
      </c>
      <c r="D1204" s="2" t="s">
        <v>74</v>
      </c>
      <c r="E1204" s="2" t="s">
        <v>369</v>
      </c>
      <c r="F1204" s="2" t="s">
        <v>29</v>
      </c>
      <c r="G1204" s="3">
        <v>590000</v>
      </c>
      <c r="H1204" s="8">
        <v>4</v>
      </c>
      <c r="I1204" s="3">
        <v>1180000</v>
      </c>
      <c r="J1204" s="3">
        <v>1180000</v>
      </c>
    </row>
    <row r="1205" spans="1:10" x14ac:dyDescent="0.25">
      <c r="A1205" s="2">
        <v>1205</v>
      </c>
      <c r="B1205" s="18">
        <v>45595.708287037036</v>
      </c>
      <c r="C1205" s="2" t="s">
        <v>349</v>
      </c>
      <c r="D1205" s="2" t="s">
        <v>74</v>
      </c>
      <c r="E1205" s="2" t="s">
        <v>369</v>
      </c>
      <c r="F1205" s="2" t="s">
        <v>63</v>
      </c>
      <c r="G1205" s="3">
        <v>550000</v>
      </c>
      <c r="H1205" s="8">
        <v>6</v>
      </c>
      <c r="I1205" s="3">
        <v>1650000</v>
      </c>
      <c r="J1205" s="3">
        <v>1650000</v>
      </c>
    </row>
    <row r="1206" spans="1:10" x14ac:dyDescent="0.25">
      <c r="A1206" s="2">
        <v>1206</v>
      </c>
      <c r="B1206" s="18">
        <v>45595.708287037036</v>
      </c>
      <c r="C1206" s="2" t="s">
        <v>349</v>
      </c>
      <c r="D1206" s="2" t="s">
        <v>74</v>
      </c>
      <c r="E1206" s="2" t="s">
        <v>369</v>
      </c>
      <c r="F1206" s="2" t="s">
        <v>59</v>
      </c>
      <c r="G1206" s="3">
        <v>475000</v>
      </c>
      <c r="H1206" s="8">
        <v>1</v>
      </c>
      <c r="I1206" s="3">
        <v>237500</v>
      </c>
      <c r="J1206" s="3">
        <v>237500</v>
      </c>
    </row>
    <row r="1207" spans="1:10" x14ac:dyDescent="0.25">
      <c r="A1207" s="2">
        <v>1207</v>
      </c>
      <c r="B1207" s="18">
        <v>45595.708287037036</v>
      </c>
      <c r="C1207" s="2" t="s">
        <v>349</v>
      </c>
      <c r="D1207" s="2" t="s">
        <v>74</v>
      </c>
      <c r="E1207" s="2" t="s">
        <v>369</v>
      </c>
      <c r="F1207" s="2" t="s">
        <v>33</v>
      </c>
      <c r="G1207" s="3">
        <v>485000</v>
      </c>
      <c r="H1207" s="8">
        <v>13</v>
      </c>
      <c r="I1207" s="3">
        <v>3152500</v>
      </c>
      <c r="J1207" s="3">
        <v>3152500</v>
      </c>
    </row>
    <row r="1208" spans="1:10" x14ac:dyDescent="0.25">
      <c r="A1208" s="2">
        <v>1208</v>
      </c>
      <c r="B1208" s="18">
        <v>45595.708287037036</v>
      </c>
      <c r="C1208" s="2" t="s">
        <v>349</v>
      </c>
      <c r="D1208" s="2" t="s">
        <v>74</v>
      </c>
      <c r="E1208" s="2" t="s">
        <v>369</v>
      </c>
      <c r="F1208" s="2" t="s">
        <v>89</v>
      </c>
      <c r="G1208" s="3">
        <v>390000</v>
      </c>
      <c r="H1208" s="8">
        <v>16</v>
      </c>
      <c r="I1208" s="3">
        <v>0</v>
      </c>
      <c r="J1208" s="3">
        <v>0</v>
      </c>
    </row>
    <row r="1209" spans="1:10" x14ac:dyDescent="0.25">
      <c r="A1209" s="2">
        <v>1209</v>
      </c>
      <c r="B1209" s="18">
        <v>45595.708287037036</v>
      </c>
      <c r="C1209" s="2" t="s">
        <v>349</v>
      </c>
      <c r="D1209" s="2" t="s">
        <v>338</v>
      </c>
      <c r="E1209" s="2" t="s">
        <v>370</v>
      </c>
      <c r="F1209" s="2" t="s">
        <v>19</v>
      </c>
      <c r="G1209" s="3">
        <v>590000</v>
      </c>
      <c r="H1209" s="8">
        <v>1</v>
      </c>
      <c r="I1209" s="3">
        <v>345150</v>
      </c>
      <c r="J1209" s="3">
        <v>345150</v>
      </c>
    </row>
    <row r="1210" spans="1:10" x14ac:dyDescent="0.25">
      <c r="A1210" s="2">
        <v>1210</v>
      </c>
      <c r="B1210" s="18">
        <v>45595.708287037036</v>
      </c>
      <c r="C1210" s="2" t="s">
        <v>349</v>
      </c>
      <c r="D1210" s="2" t="s">
        <v>338</v>
      </c>
      <c r="E1210" s="2" t="s">
        <v>370</v>
      </c>
      <c r="F1210" s="2" t="s">
        <v>61</v>
      </c>
      <c r="G1210" s="3">
        <v>890000</v>
      </c>
      <c r="H1210" s="8">
        <v>1</v>
      </c>
      <c r="I1210" s="3">
        <v>549899.85</v>
      </c>
      <c r="J1210" s="3">
        <v>549899.85</v>
      </c>
    </row>
    <row r="1211" spans="1:10" x14ac:dyDescent="0.25">
      <c r="A1211" s="2">
        <v>1211</v>
      </c>
      <c r="B1211" s="18">
        <v>45595.708287037036</v>
      </c>
      <c r="C1211" s="2" t="s">
        <v>349</v>
      </c>
      <c r="D1211" s="2" t="s">
        <v>338</v>
      </c>
      <c r="E1211" s="2" t="s">
        <v>370</v>
      </c>
      <c r="F1211" s="2" t="s">
        <v>85</v>
      </c>
      <c r="G1211" s="3">
        <v>480000</v>
      </c>
      <c r="H1211" s="8">
        <v>1</v>
      </c>
      <c r="I1211" s="3">
        <v>312000</v>
      </c>
      <c r="J1211" s="3">
        <v>312000</v>
      </c>
    </row>
    <row r="1212" spans="1:10" x14ac:dyDescent="0.25">
      <c r="A1212" s="2">
        <v>1212</v>
      </c>
      <c r="B1212" s="18">
        <v>45595.708287037036</v>
      </c>
      <c r="C1212" s="2" t="s">
        <v>349</v>
      </c>
      <c r="D1212" s="2" t="s">
        <v>338</v>
      </c>
      <c r="E1212" s="2" t="s">
        <v>370</v>
      </c>
      <c r="F1212" s="2" t="s">
        <v>35</v>
      </c>
      <c r="G1212" s="3">
        <v>525000</v>
      </c>
      <c r="H1212" s="8">
        <v>1</v>
      </c>
      <c r="I1212" s="3">
        <v>307449.975</v>
      </c>
      <c r="J1212" s="3">
        <v>307449.975</v>
      </c>
    </row>
    <row r="1213" spans="1:10" x14ac:dyDescent="0.25">
      <c r="A1213" s="2">
        <v>1213</v>
      </c>
      <c r="B1213" s="18">
        <v>45595.708287037036</v>
      </c>
      <c r="C1213" s="2" t="s">
        <v>349</v>
      </c>
      <c r="D1213" s="2" t="s">
        <v>253</v>
      </c>
      <c r="E1213" s="2" t="s">
        <v>370</v>
      </c>
      <c r="F1213" s="2" t="s">
        <v>61</v>
      </c>
      <c r="G1213" s="3">
        <v>890000</v>
      </c>
      <c r="H1213" s="8">
        <v>9</v>
      </c>
      <c r="I1213" s="3">
        <v>5767200</v>
      </c>
      <c r="J1213" s="3">
        <v>5767200</v>
      </c>
    </row>
    <row r="1214" spans="1:10" x14ac:dyDescent="0.25">
      <c r="A1214" s="2">
        <v>1214</v>
      </c>
      <c r="B1214" s="18">
        <v>45595.708287037036</v>
      </c>
      <c r="C1214" s="2" t="s">
        <v>349</v>
      </c>
      <c r="D1214" s="2" t="s">
        <v>253</v>
      </c>
      <c r="E1214" s="2" t="s">
        <v>370</v>
      </c>
      <c r="F1214" s="2" t="s">
        <v>31</v>
      </c>
      <c r="G1214" s="3">
        <v>745000</v>
      </c>
      <c r="H1214" s="8">
        <v>3</v>
      </c>
      <c r="I1214" s="3">
        <v>1609200</v>
      </c>
      <c r="J1214" s="3">
        <v>1609200</v>
      </c>
    </row>
    <row r="1215" spans="1:10" x14ac:dyDescent="0.25">
      <c r="A1215" s="2">
        <v>1215</v>
      </c>
      <c r="B1215" s="18">
        <v>45595.708287037036</v>
      </c>
      <c r="C1215" s="2" t="s">
        <v>349</v>
      </c>
      <c r="D1215" s="2" t="s">
        <v>253</v>
      </c>
      <c r="E1215" s="2" t="s">
        <v>370</v>
      </c>
      <c r="F1215" s="2" t="s">
        <v>19</v>
      </c>
      <c r="G1215" s="3">
        <v>590000</v>
      </c>
      <c r="H1215" s="8">
        <v>1</v>
      </c>
      <c r="I1215" s="3">
        <v>424800</v>
      </c>
      <c r="J1215" s="3">
        <v>424800</v>
      </c>
    </row>
    <row r="1216" spans="1:10" x14ac:dyDescent="0.25">
      <c r="A1216" s="2">
        <v>1216</v>
      </c>
      <c r="B1216" s="18">
        <v>45595.708287037036</v>
      </c>
      <c r="C1216" s="2" t="s">
        <v>349</v>
      </c>
      <c r="D1216" s="2" t="s">
        <v>253</v>
      </c>
      <c r="E1216" s="2" t="s">
        <v>370</v>
      </c>
      <c r="F1216" s="2" t="s">
        <v>35</v>
      </c>
      <c r="G1216" s="3">
        <v>525000</v>
      </c>
      <c r="H1216" s="8">
        <v>1</v>
      </c>
      <c r="I1216" s="3">
        <v>378000</v>
      </c>
      <c r="J1216" s="3">
        <v>378000</v>
      </c>
    </row>
    <row r="1217" spans="1:10" x14ac:dyDescent="0.25">
      <c r="A1217" s="2">
        <v>1217</v>
      </c>
      <c r="B1217" s="18">
        <v>45535.708287037036</v>
      </c>
      <c r="C1217" s="2" t="s">
        <v>347</v>
      </c>
      <c r="D1217" s="2" t="s">
        <v>263</v>
      </c>
      <c r="E1217" s="2" t="s">
        <v>369</v>
      </c>
      <c r="F1217" s="2" t="s">
        <v>23</v>
      </c>
      <c r="G1217" s="3">
        <v>775000</v>
      </c>
      <c r="H1217" s="8">
        <v>10</v>
      </c>
      <c r="I1217" s="3">
        <v>4650000</v>
      </c>
      <c r="J1217" s="3">
        <v>4650000</v>
      </c>
    </row>
    <row r="1218" spans="1:10" x14ac:dyDescent="0.25">
      <c r="A1218" s="2">
        <v>1218</v>
      </c>
      <c r="B1218" s="18">
        <v>45535.708287037036</v>
      </c>
      <c r="C1218" s="2" t="s">
        <v>347</v>
      </c>
      <c r="D1218" s="2" t="s">
        <v>263</v>
      </c>
      <c r="E1218" s="2" t="s">
        <v>369</v>
      </c>
      <c r="F1218" s="2" t="s">
        <v>33</v>
      </c>
      <c r="G1218" s="3">
        <v>485000</v>
      </c>
      <c r="H1218" s="8">
        <v>5</v>
      </c>
      <c r="I1218" s="3">
        <v>1455000</v>
      </c>
      <c r="J1218" s="3">
        <v>1455000</v>
      </c>
    </row>
    <row r="1219" spans="1:10" x14ac:dyDescent="0.25">
      <c r="A1219" s="2">
        <v>1219</v>
      </c>
      <c r="B1219" s="18">
        <v>45535.708287037036</v>
      </c>
      <c r="C1219" s="2" t="s">
        <v>347</v>
      </c>
      <c r="D1219" s="2" t="s">
        <v>263</v>
      </c>
      <c r="E1219" s="2" t="s">
        <v>369</v>
      </c>
      <c r="F1219" s="2" t="s">
        <v>59</v>
      </c>
      <c r="G1219" s="3">
        <v>475000</v>
      </c>
      <c r="H1219" s="8">
        <v>5</v>
      </c>
      <c r="I1219" s="3">
        <v>1425000</v>
      </c>
      <c r="J1219" s="3">
        <v>1425000</v>
      </c>
    </row>
    <row r="1220" spans="1:10" x14ac:dyDescent="0.25">
      <c r="A1220" s="2">
        <v>1220</v>
      </c>
      <c r="B1220" s="18">
        <v>45535.708287037036</v>
      </c>
      <c r="C1220" s="2" t="s">
        <v>347</v>
      </c>
      <c r="D1220" s="2" t="s">
        <v>263</v>
      </c>
      <c r="E1220" s="2" t="s">
        <v>369</v>
      </c>
      <c r="F1220" s="2" t="s">
        <v>47</v>
      </c>
      <c r="G1220" s="3">
        <v>200000</v>
      </c>
      <c r="H1220" s="8">
        <v>10</v>
      </c>
      <c r="I1220" s="3">
        <v>0</v>
      </c>
      <c r="J1220" s="3">
        <v>0</v>
      </c>
    </row>
    <row r="1221" spans="1:10" x14ac:dyDescent="0.25">
      <c r="A1221" s="2">
        <v>1221</v>
      </c>
      <c r="B1221" s="18">
        <v>45535.708287037036</v>
      </c>
      <c r="C1221" s="2" t="s">
        <v>347</v>
      </c>
      <c r="D1221" s="2" t="s">
        <v>263</v>
      </c>
      <c r="E1221" s="2" t="s">
        <v>369</v>
      </c>
      <c r="F1221" s="2" t="s">
        <v>89</v>
      </c>
      <c r="G1221" s="3">
        <v>390000</v>
      </c>
      <c r="H1221" s="8">
        <v>5</v>
      </c>
      <c r="I1221" s="3">
        <v>0</v>
      </c>
      <c r="J1221" s="3">
        <v>0</v>
      </c>
    </row>
    <row r="1222" spans="1:10" x14ac:dyDescent="0.25">
      <c r="A1222" s="2">
        <v>1222</v>
      </c>
      <c r="B1222" s="18">
        <v>45535.708287037036</v>
      </c>
      <c r="C1222" s="2" t="s">
        <v>347</v>
      </c>
      <c r="D1222" s="2" t="s">
        <v>121</v>
      </c>
      <c r="E1222" s="2" t="s">
        <v>370</v>
      </c>
      <c r="F1222" s="2" t="s">
        <v>83</v>
      </c>
      <c r="G1222" s="3">
        <v>790000</v>
      </c>
      <c r="H1222" s="8">
        <v>2</v>
      </c>
      <c r="I1222" s="3">
        <v>1137600</v>
      </c>
      <c r="J1222" s="3">
        <v>1137600</v>
      </c>
    </row>
    <row r="1223" spans="1:10" x14ac:dyDescent="0.25">
      <c r="A1223" s="2">
        <v>1223</v>
      </c>
      <c r="B1223" s="18">
        <v>45535.708287037036</v>
      </c>
      <c r="C1223" s="2" t="s">
        <v>347</v>
      </c>
      <c r="D1223" s="2" t="s">
        <v>121</v>
      </c>
      <c r="E1223" s="2" t="s">
        <v>370</v>
      </c>
      <c r="F1223" s="2" t="s">
        <v>31</v>
      </c>
      <c r="G1223" s="3">
        <v>745000</v>
      </c>
      <c r="H1223" s="8">
        <v>3</v>
      </c>
      <c r="I1223" s="3">
        <v>1609200</v>
      </c>
      <c r="J1223" s="3">
        <v>1609200</v>
      </c>
    </row>
    <row r="1224" spans="1:10" x14ac:dyDescent="0.25">
      <c r="A1224" s="2">
        <v>1224</v>
      </c>
      <c r="B1224" s="18">
        <v>45535.708287037036</v>
      </c>
      <c r="C1224" s="2" t="s">
        <v>347</v>
      </c>
      <c r="D1224" s="2" t="s">
        <v>268</v>
      </c>
      <c r="E1224" s="2" t="s">
        <v>371</v>
      </c>
      <c r="F1224" s="2" t="s">
        <v>31</v>
      </c>
      <c r="G1224" s="3">
        <v>745000</v>
      </c>
      <c r="H1224" s="8">
        <v>40</v>
      </c>
      <c r="I1224" s="3">
        <v>14900000</v>
      </c>
      <c r="J1224" s="3">
        <v>14900000</v>
      </c>
    </row>
    <row r="1225" spans="1:10" x14ac:dyDescent="0.25">
      <c r="A1225" s="2">
        <v>1225</v>
      </c>
      <c r="B1225" s="18">
        <v>45535.708287037036</v>
      </c>
      <c r="C1225" s="2" t="s">
        <v>347</v>
      </c>
      <c r="D1225" s="2" t="s">
        <v>268</v>
      </c>
      <c r="E1225" s="2" t="s">
        <v>371</v>
      </c>
      <c r="F1225" s="2" t="s">
        <v>57</v>
      </c>
      <c r="G1225" s="3">
        <v>745000</v>
      </c>
      <c r="H1225" s="8">
        <v>3</v>
      </c>
      <c r="I1225" s="3">
        <v>1117500</v>
      </c>
      <c r="J1225" s="3">
        <v>1117500</v>
      </c>
    </row>
    <row r="1226" spans="1:10" x14ac:dyDescent="0.25">
      <c r="A1226" s="2">
        <v>1226</v>
      </c>
      <c r="B1226" s="18">
        <v>45535.708287037036</v>
      </c>
      <c r="C1226" s="2" t="s">
        <v>347</v>
      </c>
      <c r="D1226" s="2" t="s">
        <v>268</v>
      </c>
      <c r="E1226" s="2" t="s">
        <v>371</v>
      </c>
      <c r="F1226" s="2" t="s">
        <v>83</v>
      </c>
      <c r="G1226" s="3">
        <v>790000</v>
      </c>
      <c r="H1226" s="8">
        <v>28</v>
      </c>
      <c r="I1226" s="3">
        <v>11060000</v>
      </c>
      <c r="J1226" s="3">
        <v>11060000</v>
      </c>
    </row>
    <row r="1227" spans="1:10" x14ac:dyDescent="0.25">
      <c r="A1227" s="2">
        <v>1227</v>
      </c>
      <c r="B1227" s="18">
        <v>45535.708287037036</v>
      </c>
      <c r="C1227" s="2" t="s">
        <v>347</v>
      </c>
      <c r="D1227" s="2" t="s">
        <v>268</v>
      </c>
      <c r="E1227" s="2" t="s">
        <v>371</v>
      </c>
      <c r="F1227" s="2" t="s">
        <v>27</v>
      </c>
      <c r="G1227" s="3">
        <v>935000</v>
      </c>
      <c r="H1227" s="8">
        <v>21</v>
      </c>
      <c r="I1227" s="3">
        <v>9817500</v>
      </c>
      <c r="J1227" s="3">
        <v>9817500</v>
      </c>
    </row>
    <row r="1228" spans="1:10" x14ac:dyDescent="0.25">
      <c r="A1228" s="2">
        <v>1228</v>
      </c>
      <c r="B1228" s="18">
        <v>45535.708287037036</v>
      </c>
      <c r="C1228" s="2" t="s">
        <v>347</v>
      </c>
      <c r="D1228" s="2" t="s">
        <v>267</v>
      </c>
      <c r="E1228" s="2" t="s">
        <v>371</v>
      </c>
      <c r="F1228" s="2" t="s">
        <v>31</v>
      </c>
      <c r="G1228" s="3">
        <v>745000</v>
      </c>
      <c r="H1228" s="8">
        <v>64</v>
      </c>
      <c r="I1228" s="3">
        <v>23840000</v>
      </c>
      <c r="J1228" s="3">
        <v>23840000</v>
      </c>
    </row>
    <row r="1229" spans="1:10" x14ac:dyDescent="0.25">
      <c r="A1229" s="2">
        <v>1229</v>
      </c>
      <c r="B1229" s="18">
        <v>45535.708287037036</v>
      </c>
      <c r="C1229" s="2" t="s">
        <v>347</v>
      </c>
      <c r="D1229" s="2" t="s">
        <v>267</v>
      </c>
      <c r="E1229" s="2" t="s">
        <v>371</v>
      </c>
      <c r="F1229" s="2" t="s">
        <v>57</v>
      </c>
      <c r="G1229" s="3">
        <v>745000</v>
      </c>
      <c r="H1229" s="8">
        <v>5</v>
      </c>
      <c r="I1229" s="3">
        <v>1862500</v>
      </c>
      <c r="J1229" s="3">
        <v>1862500</v>
      </c>
    </row>
    <row r="1230" spans="1:10" x14ac:dyDescent="0.25">
      <c r="A1230" s="2">
        <v>1230</v>
      </c>
      <c r="B1230" s="18">
        <v>45535.708287037036</v>
      </c>
      <c r="C1230" s="2" t="s">
        <v>347</v>
      </c>
      <c r="D1230" s="2" t="s">
        <v>267</v>
      </c>
      <c r="E1230" s="2" t="s">
        <v>371</v>
      </c>
      <c r="F1230" s="2" t="s">
        <v>83</v>
      </c>
      <c r="G1230" s="3">
        <v>790000</v>
      </c>
      <c r="H1230" s="8">
        <v>95</v>
      </c>
      <c r="I1230" s="3">
        <v>37525000</v>
      </c>
      <c r="J1230" s="3">
        <v>37525000</v>
      </c>
    </row>
    <row r="1231" spans="1:10" x14ac:dyDescent="0.25">
      <c r="A1231" s="2">
        <v>1231</v>
      </c>
      <c r="B1231" s="18">
        <v>45535.708287037036</v>
      </c>
      <c r="C1231" s="2" t="s">
        <v>347</v>
      </c>
      <c r="D1231" s="2" t="s">
        <v>267</v>
      </c>
      <c r="E1231" s="2" t="s">
        <v>371</v>
      </c>
      <c r="F1231" s="2" t="s">
        <v>27</v>
      </c>
      <c r="G1231" s="3">
        <v>935000</v>
      </c>
      <c r="H1231" s="8">
        <v>50</v>
      </c>
      <c r="I1231" s="3">
        <v>23375000</v>
      </c>
      <c r="J1231" s="3">
        <v>23375000</v>
      </c>
    </row>
    <row r="1232" spans="1:10" x14ac:dyDescent="0.25">
      <c r="A1232" s="2">
        <v>1232</v>
      </c>
      <c r="B1232" s="18">
        <v>45538.708287037036</v>
      </c>
      <c r="C1232" s="2" t="s">
        <v>348</v>
      </c>
      <c r="D1232" s="2" t="s">
        <v>20</v>
      </c>
      <c r="E1232" s="2" t="s">
        <v>370</v>
      </c>
      <c r="F1232" s="2" t="s">
        <v>63</v>
      </c>
      <c r="G1232" s="3">
        <v>550000</v>
      </c>
      <c r="H1232" s="8">
        <v>1</v>
      </c>
      <c r="I1232" s="3">
        <v>0</v>
      </c>
      <c r="J1232" s="3">
        <v>0</v>
      </c>
    </row>
    <row r="1233" spans="1:10" x14ac:dyDescent="0.25">
      <c r="A1233" s="2">
        <v>1233</v>
      </c>
      <c r="B1233" s="18">
        <v>45538.708287037036</v>
      </c>
      <c r="C1233" s="2" t="s">
        <v>348</v>
      </c>
      <c r="D1233" s="2" t="s">
        <v>20</v>
      </c>
      <c r="E1233" s="2" t="s">
        <v>370</v>
      </c>
      <c r="F1233" s="2" t="s">
        <v>85</v>
      </c>
      <c r="G1233" s="3">
        <v>480000</v>
      </c>
      <c r="H1233" s="8">
        <v>1</v>
      </c>
      <c r="I1233" s="3">
        <v>0</v>
      </c>
      <c r="J1233" s="3">
        <v>0</v>
      </c>
    </row>
    <row r="1234" spans="1:10" x14ac:dyDescent="0.25">
      <c r="A1234" s="2">
        <v>1234</v>
      </c>
      <c r="B1234" s="18">
        <v>45539.708287037036</v>
      </c>
      <c r="C1234" s="2" t="s">
        <v>348</v>
      </c>
      <c r="D1234" s="2" t="s">
        <v>66</v>
      </c>
      <c r="E1234" s="2" t="s">
        <v>365</v>
      </c>
      <c r="F1234" s="2" t="s">
        <v>27</v>
      </c>
      <c r="G1234" s="3">
        <v>935000</v>
      </c>
      <c r="H1234" s="8">
        <v>1</v>
      </c>
      <c r="I1234" s="3">
        <v>607750</v>
      </c>
      <c r="J1234" s="3">
        <v>607750</v>
      </c>
    </row>
    <row r="1235" spans="1:10" x14ac:dyDescent="0.25">
      <c r="A1235" s="2">
        <v>1235</v>
      </c>
      <c r="B1235" s="18">
        <v>45539.708287037036</v>
      </c>
      <c r="C1235" s="2" t="s">
        <v>348</v>
      </c>
      <c r="D1235" s="2" t="s">
        <v>40</v>
      </c>
      <c r="E1235" s="2" t="s">
        <v>369</v>
      </c>
      <c r="F1235" s="2" t="s">
        <v>59</v>
      </c>
      <c r="G1235" s="3">
        <v>475000</v>
      </c>
      <c r="H1235" s="8">
        <v>10</v>
      </c>
      <c r="I1235" s="3">
        <v>3420000</v>
      </c>
      <c r="J1235" s="3">
        <v>3420000</v>
      </c>
    </row>
    <row r="1236" spans="1:10" x14ac:dyDescent="0.25">
      <c r="A1236" s="2">
        <v>1236</v>
      </c>
      <c r="B1236" s="18">
        <v>45539.708287037036</v>
      </c>
      <c r="C1236" s="2" t="s">
        <v>348</v>
      </c>
      <c r="D1236" s="2" t="s">
        <v>40</v>
      </c>
      <c r="E1236" s="2" t="s">
        <v>369</v>
      </c>
      <c r="F1236" s="2" t="s">
        <v>33</v>
      </c>
      <c r="G1236" s="3">
        <v>485000</v>
      </c>
      <c r="H1236" s="8">
        <v>10</v>
      </c>
      <c r="I1236" s="3">
        <v>3492000</v>
      </c>
      <c r="J1236" s="3">
        <v>3492000</v>
      </c>
    </row>
    <row r="1237" spans="1:10" x14ac:dyDescent="0.25">
      <c r="A1237" s="2">
        <v>1237</v>
      </c>
      <c r="B1237" s="18">
        <v>45539.708287037036</v>
      </c>
      <c r="C1237" s="2" t="s">
        <v>348</v>
      </c>
      <c r="D1237" s="2" t="s">
        <v>40</v>
      </c>
      <c r="E1237" s="2" t="s">
        <v>369</v>
      </c>
      <c r="F1237" s="2" t="s">
        <v>29</v>
      </c>
      <c r="G1237" s="3">
        <v>590000</v>
      </c>
      <c r="H1237" s="8">
        <v>10</v>
      </c>
      <c r="I1237" s="3">
        <v>4248000</v>
      </c>
      <c r="J1237" s="3">
        <v>4248000</v>
      </c>
    </row>
    <row r="1238" spans="1:10" x14ac:dyDescent="0.25">
      <c r="A1238" s="2">
        <v>1238</v>
      </c>
      <c r="B1238" s="18">
        <v>45539.708287037036</v>
      </c>
      <c r="C1238" s="2" t="s">
        <v>348</v>
      </c>
      <c r="D1238" s="2" t="s">
        <v>40</v>
      </c>
      <c r="E1238" s="2" t="s">
        <v>369</v>
      </c>
      <c r="F1238" s="2" t="s">
        <v>19</v>
      </c>
      <c r="G1238" s="3">
        <v>590000</v>
      </c>
      <c r="H1238" s="8">
        <v>10</v>
      </c>
      <c r="I1238" s="3">
        <v>4248000</v>
      </c>
      <c r="J1238" s="3">
        <v>4248000</v>
      </c>
    </row>
    <row r="1239" spans="1:10" x14ac:dyDescent="0.25">
      <c r="A1239" s="2">
        <v>1239</v>
      </c>
      <c r="B1239" s="18">
        <v>45539.708287037036</v>
      </c>
      <c r="C1239" s="2" t="s">
        <v>348</v>
      </c>
      <c r="D1239" s="2" t="s">
        <v>40</v>
      </c>
      <c r="E1239" s="2" t="s">
        <v>369</v>
      </c>
      <c r="F1239" s="2" t="s">
        <v>85</v>
      </c>
      <c r="G1239" s="3">
        <v>480000</v>
      </c>
      <c r="H1239" s="8">
        <v>10</v>
      </c>
      <c r="I1239" s="3">
        <v>3456000</v>
      </c>
      <c r="J1239" s="3">
        <v>3456000</v>
      </c>
    </row>
    <row r="1240" spans="1:10" x14ac:dyDescent="0.25">
      <c r="A1240" s="2">
        <v>1240</v>
      </c>
      <c r="B1240" s="18">
        <v>45539.708287037036</v>
      </c>
      <c r="C1240" s="2" t="s">
        <v>348</v>
      </c>
      <c r="D1240" s="2" t="s">
        <v>40</v>
      </c>
      <c r="E1240" s="2" t="s">
        <v>369</v>
      </c>
      <c r="F1240" s="2" t="s">
        <v>89</v>
      </c>
      <c r="G1240" s="3">
        <v>390000</v>
      </c>
      <c r="H1240" s="8">
        <v>20</v>
      </c>
      <c r="I1240" s="3">
        <v>0</v>
      </c>
      <c r="J1240" s="3">
        <v>0</v>
      </c>
    </row>
    <row r="1241" spans="1:10" x14ac:dyDescent="0.25">
      <c r="A1241" s="2">
        <v>1241</v>
      </c>
      <c r="B1241" s="18">
        <v>45539.708287037036</v>
      </c>
      <c r="C1241" s="2" t="s">
        <v>348</v>
      </c>
      <c r="D1241" s="2" t="s">
        <v>40</v>
      </c>
      <c r="E1241" s="2" t="s">
        <v>369</v>
      </c>
      <c r="F1241" s="2" t="s">
        <v>47</v>
      </c>
      <c r="G1241" s="3">
        <v>200000</v>
      </c>
      <c r="H1241" s="8">
        <v>30</v>
      </c>
      <c r="I1241" s="3">
        <v>0</v>
      </c>
      <c r="J1241" s="3">
        <v>0</v>
      </c>
    </row>
    <row r="1242" spans="1:10" x14ac:dyDescent="0.25">
      <c r="A1242" s="2">
        <v>1242</v>
      </c>
      <c r="B1242" s="18">
        <v>45539.708287037036</v>
      </c>
      <c r="C1242" s="2" t="s">
        <v>348</v>
      </c>
      <c r="D1242" s="2" t="s">
        <v>250</v>
      </c>
      <c r="E1242" s="2" t="s">
        <v>368</v>
      </c>
      <c r="F1242" s="2" t="s">
        <v>83</v>
      </c>
      <c r="G1242" s="3">
        <v>790000</v>
      </c>
      <c r="H1242" s="8">
        <v>20</v>
      </c>
      <c r="I1242" s="3">
        <v>7109999.999999999</v>
      </c>
      <c r="J1242" s="3">
        <v>7109999.999999999</v>
      </c>
    </row>
    <row r="1243" spans="1:10" x14ac:dyDescent="0.25">
      <c r="A1243" s="2">
        <v>1243</v>
      </c>
      <c r="B1243" s="18">
        <v>45540.708287037036</v>
      </c>
      <c r="C1243" s="2" t="s">
        <v>348</v>
      </c>
      <c r="D1243" s="2" t="s">
        <v>40</v>
      </c>
      <c r="E1243" s="2" t="s">
        <v>369</v>
      </c>
      <c r="F1243" s="2" t="s">
        <v>63</v>
      </c>
      <c r="G1243" s="3">
        <v>550000</v>
      </c>
      <c r="H1243" s="8">
        <v>10</v>
      </c>
      <c r="I1243" s="3">
        <v>3960000</v>
      </c>
      <c r="J1243" s="3">
        <v>3960000</v>
      </c>
    </row>
    <row r="1244" spans="1:10" x14ac:dyDescent="0.25">
      <c r="A1244" s="2">
        <v>1244</v>
      </c>
      <c r="B1244" s="18">
        <v>45540.708287037036</v>
      </c>
      <c r="C1244" s="2" t="s">
        <v>348</v>
      </c>
      <c r="D1244" s="2" t="s">
        <v>40</v>
      </c>
      <c r="E1244" s="2" t="s">
        <v>369</v>
      </c>
      <c r="F1244" s="2" t="s">
        <v>35</v>
      </c>
      <c r="G1244" s="3">
        <v>525000</v>
      </c>
      <c r="H1244" s="8">
        <v>8</v>
      </c>
      <c r="I1244" s="3">
        <v>3024000</v>
      </c>
      <c r="J1244" s="3">
        <v>3024000</v>
      </c>
    </row>
    <row r="1245" spans="1:10" x14ac:dyDescent="0.25">
      <c r="A1245" s="2">
        <v>1245</v>
      </c>
      <c r="B1245" s="18">
        <v>45540.708287037036</v>
      </c>
      <c r="C1245" s="2" t="s">
        <v>348</v>
      </c>
      <c r="D1245" s="2" t="s">
        <v>40</v>
      </c>
      <c r="E1245" s="2" t="s">
        <v>369</v>
      </c>
      <c r="F1245" s="2" t="s">
        <v>35</v>
      </c>
      <c r="G1245" s="3">
        <v>525000</v>
      </c>
      <c r="H1245" s="8">
        <v>1</v>
      </c>
      <c r="I1245" s="3">
        <v>0</v>
      </c>
      <c r="J1245" s="3">
        <v>0</v>
      </c>
    </row>
    <row r="1246" spans="1:10" x14ac:dyDescent="0.25">
      <c r="A1246" s="2">
        <v>1246</v>
      </c>
      <c r="B1246" s="18">
        <v>45540.708287037036</v>
      </c>
      <c r="C1246" s="2" t="s">
        <v>348</v>
      </c>
      <c r="D1246" s="2" t="s">
        <v>40</v>
      </c>
      <c r="E1246" s="2" t="s">
        <v>369</v>
      </c>
      <c r="F1246" s="2" t="s">
        <v>89</v>
      </c>
      <c r="G1246" s="3">
        <v>390000</v>
      </c>
      <c r="H1246" s="8">
        <v>18</v>
      </c>
      <c r="I1246" s="3">
        <v>0</v>
      </c>
      <c r="J1246" s="3">
        <v>0</v>
      </c>
    </row>
    <row r="1247" spans="1:10" x14ac:dyDescent="0.25">
      <c r="A1247" s="2">
        <v>1247</v>
      </c>
      <c r="B1247" s="18">
        <v>45540.708287037036</v>
      </c>
      <c r="C1247" s="2" t="s">
        <v>348</v>
      </c>
      <c r="D1247" s="2" t="s">
        <v>98</v>
      </c>
      <c r="E1247" s="2" t="s">
        <v>369</v>
      </c>
      <c r="F1247" s="2" t="s">
        <v>33</v>
      </c>
      <c r="G1247" s="3">
        <v>485000</v>
      </c>
      <c r="H1247" s="8">
        <v>10</v>
      </c>
      <c r="I1247" s="3">
        <v>3395000</v>
      </c>
      <c r="J1247" s="3">
        <v>3395000</v>
      </c>
    </row>
    <row r="1248" spans="1:10" x14ac:dyDescent="0.25">
      <c r="A1248" s="2">
        <v>1248</v>
      </c>
      <c r="B1248" s="18">
        <v>45540.708287037036</v>
      </c>
      <c r="C1248" s="2" t="s">
        <v>348</v>
      </c>
      <c r="D1248" s="2" t="s">
        <v>98</v>
      </c>
      <c r="E1248" s="2" t="s">
        <v>369</v>
      </c>
      <c r="F1248" s="2" t="s">
        <v>47</v>
      </c>
      <c r="G1248" s="3">
        <v>200000</v>
      </c>
      <c r="H1248" s="8">
        <v>10</v>
      </c>
      <c r="I1248" s="3">
        <v>0</v>
      </c>
      <c r="J1248" s="3">
        <v>0</v>
      </c>
    </row>
    <row r="1249" spans="1:10" x14ac:dyDescent="0.25">
      <c r="A1249" s="2">
        <v>1249</v>
      </c>
      <c r="B1249" s="18">
        <v>45540.708287037036</v>
      </c>
      <c r="C1249" s="2" t="s">
        <v>348</v>
      </c>
      <c r="D1249" s="2" t="s">
        <v>262</v>
      </c>
      <c r="E1249" s="2" t="s">
        <v>364</v>
      </c>
      <c r="F1249" s="2" t="s">
        <v>85</v>
      </c>
      <c r="G1249" s="3">
        <v>480000</v>
      </c>
      <c r="H1249" s="8">
        <v>90</v>
      </c>
      <c r="I1249" s="3">
        <v>21600000</v>
      </c>
      <c r="J1249" s="3">
        <v>21600000</v>
      </c>
    </row>
    <row r="1250" spans="1:10" x14ac:dyDescent="0.25">
      <c r="A1250" s="2">
        <v>1250</v>
      </c>
      <c r="B1250" s="18">
        <v>45540.708287037036</v>
      </c>
      <c r="C1250" s="2" t="s">
        <v>348</v>
      </c>
      <c r="D1250" s="2" t="s">
        <v>262</v>
      </c>
      <c r="E1250" s="2" t="s">
        <v>364</v>
      </c>
      <c r="F1250" s="2" t="s">
        <v>67</v>
      </c>
      <c r="G1250" s="3">
        <v>945000</v>
      </c>
      <c r="H1250" s="8">
        <v>120</v>
      </c>
      <c r="I1250" s="3">
        <v>56700000</v>
      </c>
      <c r="J1250" s="3">
        <v>56700000</v>
      </c>
    </row>
    <row r="1251" spans="1:10" x14ac:dyDescent="0.25">
      <c r="A1251" s="2">
        <v>1251</v>
      </c>
      <c r="B1251" s="18">
        <v>45540.708287037036</v>
      </c>
      <c r="C1251" s="2" t="s">
        <v>348</v>
      </c>
      <c r="D1251" s="2" t="s">
        <v>262</v>
      </c>
      <c r="E1251" s="2" t="s">
        <v>364</v>
      </c>
      <c r="F1251" s="2" t="s">
        <v>69</v>
      </c>
      <c r="G1251" s="3">
        <v>1450000</v>
      </c>
      <c r="H1251" s="8">
        <v>24</v>
      </c>
      <c r="I1251" s="3">
        <v>17400000</v>
      </c>
      <c r="J1251" s="3">
        <v>17400000</v>
      </c>
    </row>
    <row r="1252" spans="1:10" x14ac:dyDescent="0.25">
      <c r="A1252" s="2">
        <v>1252</v>
      </c>
      <c r="B1252" s="18">
        <v>45540.708287037036</v>
      </c>
      <c r="C1252" s="2" t="s">
        <v>348</v>
      </c>
      <c r="D1252" s="2" t="s">
        <v>262</v>
      </c>
      <c r="E1252" s="2" t="s">
        <v>364</v>
      </c>
      <c r="F1252" s="2" t="s">
        <v>89</v>
      </c>
      <c r="G1252" s="3">
        <v>390000</v>
      </c>
      <c r="H1252" s="8">
        <v>90</v>
      </c>
      <c r="I1252" s="3">
        <v>0</v>
      </c>
      <c r="J1252" s="3">
        <v>0</v>
      </c>
    </row>
    <row r="1253" spans="1:10" x14ac:dyDescent="0.25">
      <c r="A1253" s="2">
        <v>1253</v>
      </c>
      <c r="B1253" s="18">
        <v>45540.708287037036</v>
      </c>
      <c r="C1253" s="2" t="s">
        <v>348</v>
      </c>
      <c r="D1253" s="2" t="s">
        <v>271</v>
      </c>
      <c r="E1253" s="2" t="s">
        <v>369</v>
      </c>
      <c r="F1253" s="2" t="s">
        <v>19</v>
      </c>
      <c r="G1253" s="3">
        <v>590000</v>
      </c>
      <c r="H1253" s="8">
        <v>24</v>
      </c>
      <c r="I1253" s="3">
        <v>10620000</v>
      </c>
      <c r="J1253" s="3">
        <v>10620000</v>
      </c>
    </row>
    <row r="1254" spans="1:10" x14ac:dyDescent="0.25">
      <c r="A1254" s="2">
        <v>1254</v>
      </c>
      <c r="B1254" s="18">
        <v>45540.708287037036</v>
      </c>
      <c r="C1254" s="2" t="s">
        <v>348</v>
      </c>
      <c r="D1254" s="2" t="s">
        <v>271</v>
      </c>
      <c r="E1254" s="2" t="s">
        <v>369</v>
      </c>
      <c r="F1254" s="2" t="s">
        <v>19</v>
      </c>
      <c r="G1254" s="3">
        <v>590000</v>
      </c>
      <c r="H1254" s="8">
        <v>4</v>
      </c>
      <c r="I1254" s="3">
        <v>0</v>
      </c>
      <c r="J1254" s="3">
        <v>0</v>
      </c>
    </row>
    <row r="1255" spans="1:10" x14ac:dyDescent="0.25">
      <c r="A1255" s="2">
        <v>1255</v>
      </c>
      <c r="B1255" s="18">
        <v>45541.708287037036</v>
      </c>
      <c r="C1255" s="2" t="s">
        <v>348</v>
      </c>
      <c r="D1255" s="2" t="s">
        <v>287</v>
      </c>
      <c r="E1255" s="2" t="s">
        <v>369</v>
      </c>
      <c r="F1255" s="2" t="s">
        <v>31</v>
      </c>
      <c r="G1255" s="3">
        <v>745000</v>
      </c>
      <c r="H1255" s="8">
        <v>10</v>
      </c>
      <c r="I1255" s="3">
        <v>5587500</v>
      </c>
      <c r="J1255" s="3">
        <v>5587500</v>
      </c>
    </row>
    <row r="1256" spans="1:10" x14ac:dyDescent="0.25">
      <c r="A1256" s="2">
        <v>1256</v>
      </c>
      <c r="B1256" s="18">
        <v>45541.708287037036</v>
      </c>
      <c r="C1256" s="2" t="s">
        <v>348</v>
      </c>
      <c r="D1256" s="2" t="s">
        <v>287</v>
      </c>
      <c r="E1256" s="2" t="s">
        <v>369</v>
      </c>
      <c r="F1256" s="2" t="s">
        <v>33</v>
      </c>
      <c r="G1256" s="3">
        <v>485000</v>
      </c>
      <c r="H1256" s="8">
        <v>10</v>
      </c>
      <c r="I1256" s="3">
        <v>0</v>
      </c>
      <c r="J1256" s="3">
        <v>0</v>
      </c>
    </row>
    <row r="1257" spans="1:10" x14ac:dyDescent="0.25">
      <c r="A1257" s="2">
        <v>1257</v>
      </c>
      <c r="B1257" s="18">
        <v>45541.708287037036</v>
      </c>
      <c r="C1257" s="2" t="s">
        <v>348</v>
      </c>
      <c r="D1257" s="2" t="s">
        <v>423</v>
      </c>
      <c r="E1257" s="2" t="s">
        <v>363</v>
      </c>
      <c r="F1257" s="2" t="s">
        <v>33</v>
      </c>
      <c r="G1257" s="3">
        <v>485000</v>
      </c>
      <c r="H1257" s="8">
        <v>0</v>
      </c>
      <c r="I1257" s="3">
        <v>0</v>
      </c>
      <c r="J1257" s="3">
        <v>0</v>
      </c>
    </row>
    <row r="1258" spans="1:10" x14ac:dyDescent="0.25">
      <c r="A1258" s="2">
        <v>1258</v>
      </c>
      <c r="B1258" s="18">
        <v>45541.708287037036</v>
      </c>
      <c r="C1258" s="2" t="s">
        <v>348</v>
      </c>
      <c r="D1258" s="2" t="s">
        <v>423</v>
      </c>
      <c r="E1258" s="2" t="s">
        <v>363</v>
      </c>
      <c r="F1258" s="2" t="s">
        <v>59</v>
      </c>
      <c r="G1258" s="3">
        <v>475000</v>
      </c>
      <c r="H1258" s="8">
        <v>0</v>
      </c>
      <c r="I1258" s="3">
        <v>0</v>
      </c>
      <c r="J1258" s="3">
        <v>0</v>
      </c>
    </row>
    <row r="1259" spans="1:10" x14ac:dyDescent="0.25">
      <c r="A1259" s="2">
        <v>1259</v>
      </c>
      <c r="B1259" s="18">
        <v>45541.708287037036</v>
      </c>
      <c r="C1259" s="2" t="s">
        <v>348</v>
      </c>
      <c r="D1259" s="2" t="s">
        <v>423</v>
      </c>
      <c r="E1259" s="2" t="s">
        <v>363</v>
      </c>
      <c r="F1259" s="2" t="s">
        <v>23</v>
      </c>
      <c r="G1259" s="3">
        <v>775000</v>
      </c>
      <c r="H1259" s="8">
        <v>0</v>
      </c>
      <c r="I1259" s="3">
        <v>0</v>
      </c>
      <c r="J1259" s="3">
        <v>0</v>
      </c>
    </row>
    <row r="1260" spans="1:10" x14ac:dyDescent="0.25">
      <c r="A1260" s="2">
        <v>1260</v>
      </c>
      <c r="B1260" s="18">
        <v>45541.708287037036</v>
      </c>
      <c r="C1260" s="2" t="s">
        <v>348</v>
      </c>
      <c r="D1260" s="2" t="s">
        <v>423</v>
      </c>
      <c r="E1260" s="2" t="s">
        <v>363</v>
      </c>
      <c r="F1260" s="2" t="s">
        <v>67</v>
      </c>
      <c r="G1260" s="3">
        <v>945000</v>
      </c>
      <c r="H1260" s="8">
        <v>0</v>
      </c>
      <c r="I1260" s="3">
        <v>0</v>
      </c>
      <c r="J1260" s="3">
        <v>0</v>
      </c>
    </row>
    <row r="1261" spans="1:10" x14ac:dyDescent="0.25">
      <c r="A1261" s="2">
        <v>1261</v>
      </c>
      <c r="B1261" s="18">
        <v>45543.708287037036</v>
      </c>
      <c r="C1261" s="2" t="s">
        <v>348</v>
      </c>
      <c r="D1261" s="2" t="s">
        <v>121</v>
      </c>
      <c r="E1261" s="2" t="s">
        <v>370</v>
      </c>
      <c r="F1261" s="2" t="s">
        <v>29</v>
      </c>
      <c r="G1261" s="3">
        <v>590000</v>
      </c>
      <c r="H1261" s="8">
        <v>1</v>
      </c>
      <c r="I1261" s="3">
        <v>424800</v>
      </c>
      <c r="J1261" s="3">
        <v>424800</v>
      </c>
    </row>
    <row r="1262" spans="1:10" x14ac:dyDescent="0.25">
      <c r="A1262" s="2">
        <v>1262</v>
      </c>
      <c r="B1262" s="18">
        <v>45543.708287037036</v>
      </c>
      <c r="C1262" s="2" t="s">
        <v>348</v>
      </c>
      <c r="D1262" s="2" t="s">
        <v>121</v>
      </c>
      <c r="E1262" s="2" t="s">
        <v>370</v>
      </c>
      <c r="F1262" s="2" t="s">
        <v>61</v>
      </c>
      <c r="G1262" s="3">
        <v>890000</v>
      </c>
      <c r="H1262" s="8">
        <v>1</v>
      </c>
      <c r="I1262" s="3">
        <v>640800</v>
      </c>
      <c r="J1262" s="3">
        <v>640800</v>
      </c>
    </row>
    <row r="1263" spans="1:10" x14ac:dyDescent="0.25">
      <c r="A1263" s="2">
        <v>1263</v>
      </c>
      <c r="B1263" s="18">
        <v>45543.708287037036</v>
      </c>
      <c r="C1263" s="2" t="s">
        <v>348</v>
      </c>
      <c r="D1263" s="2" t="s">
        <v>121</v>
      </c>
      <c r="E1263" s="2" t="s">
        <v>370</v>
      </c>
      <c r="F1263" s="2" t="s">
        <v>83</v>
      </c>
      <c r="G1263" s="3">
        <v>790000</v>
      </c>
      <c r="H1263" s="8">
        <v>3</v>
      </c>
      <c r="I1263" s="3">
        <v>1706400</v>
      </c>
      <c r="J1263" s="3">
        <v>1706400</v>
      </c>
    </row>
    <row r="1264" spans="1:10" x14ac:dyDescent="0.25">
      <c r="A1264" s="2">
        <v>1264</v>
      </c>
      <c r="B1264" s="18">
        <v>45543.708287037036</v>
      </c>
      <c r="C1264" s="2" t="s">
        <v>348</v>
      </c>
      <c r="D1264" s="2" t="s">
        <v>121</v>
      </c>
      <c r="E1264" s="2" t="s">
        <v>370</v>
      </c>
      <c r="F1264" s="2" t="s">
        <v>31</v>
      </c>
      <c r="G1264" s="3">
        <v>745000</v>
      </c>
      <c r="H1264" s="8">
        <v>3</v>
      </c>
      <c r="I1264" s="3">
        <v>1609200</v>
      </c>
      <c r="J1264" s="3">
        <v>1609200</v>
      </c>
    </row>
    <row r="1265" spans="1:10" x14ac:dyDescent="0.25">
      <c r="A1265" s="2">
        <v>1265</v>
      </c>
      <c r="B1265" s="18">
        <v>45543.708287037036</v>
      </c>
      <c r="C1265" s="2" t="s">
        <v>348</v>
      </c>
      <c r="D1265" s="2" t="s">
        <v>268</v>
      </c>
      <c r="E1265" s="2" t="s">
        <v>371</v>
      </c>
      <c r="F1265" s="2" t="s">
        <v>31</v>
      </c>
      <c r="G1265" s="3">
        <v>745000</v>
      </c>
      <c r="H1265" s="8">
        <v>9</v>
      </c>
      <c r="I1265" s="3">
        <v>3352500</v>
      </c>
      <c r="J1265" s="3">
        <v>3352500</v>
      </c>
    </row>
    <row r="1266" spans="1:10" x14ac:dyDescent="0.25">
      <c r="A1266" s="2">
        <v>1266</v>
      </c>
      <c r="B1266" s="18">
        <v>45543.708287037036</v>
      </c>
      <c r="C1266" s="2" t="s">
        <v>348</v>
      </c>
      <c r="D1266" s="2" t="s">
        <v>268</v>
      </c>
      <c r="E1266" s="2" t="s">
        <v>371</v>
      </c>
      <c r="F1266" s="2" t="s">
        <v>83</v>
      </c>
      <c r="G1266" s="3">
        <v>790000</v>
      </c>
      <c r="H1266" s="8">
        <v>39</v>
      </c>
      <c r="I1266" s="3">
        <v>15405000</v>
      </c>
      <c r="J1266" s="3">
        <v>15405000</v>
      </c>
    </row>
    <row r="1267" spans="1:10" x14ac:dyDescent="0.25">
      <c r="A1267" s="2">
        <v>1267</v>
      </c>
      <c r="B1267" s="18">
        <v>45543.708287037036</v>
      </c>
      <c r="C1267" s="2" t="s">
        <v>348</v>
      </c>
      <c r="D1267" s="2" t="s">
        <v>268</v>
      </c>
      <c r="E1267" s="2" t="s">
        <v>371</v>
      </c>
      <c r="F1267" s="2" t="s">
        <v>27</v>
      </c>
      <c r="G1267" s="3">
        <v>935000</v>
      </c>
      <c r="H1267" s="8">
        <v>11</v>
      </c>
      <c r="I1267" s="3">
        <v>5142500</v>
      </c>
      <c r="J1267" s="3">
        <v>5142500</v>
      </c>
    </row>
    <row r="1268" spans="1:10" x14ac:dyDescent="0.25">
      <c r="A1268" s="2">
        <v>1268</v>
      </c>
      <c r="B1268" s="18">
        <v>45543.708287037036</v>
      </c>
      <c r="C1268" s="2" t="s">
        <v>348</v>
      </c>
      <c r="D1268" s="2" t="s">
        <v>66</v>
      </c>
      <c r="E1268" s="2" t="s">
        <v>365</v>
      </c>
      <c r="F1268" s="2" t="s">
        <v>19</v>
      </c>
      <c r="G1268" s="3">
        <v>590000</v>
      </c>
      <c r="H1268" s="8">
        <v>1</v>
      </c>
      <c r="I1268" s="3">
        <v>383500</v>
      </c>
      <c r="J1268" s="3">
        <v>383500</v>
      </c>
    </row>
    <row r="1269" spans="1:10" x14ac:dyDescent="0.25">
      <c r="A1269" s="2">
        <v>1269</v>
      </c>
      <c r="B1269" s="18">
        <v>45544.708287037036</v>
      </c>
      <c r="C1269" s="2" t="s">
        <v>348</v>
      </c>
      <c r="D1269" s="2" t="s">
        <v>267</v>
      </c>
      <c r="E1269" s="2" t="s">
        <v>371</v>
      </c>
      <c r="F1269" s="2" t="s">
        <v>31</v>
      </c>
      <c r="G1269" s="3">
        <v>745000</v>
      </c>
      <c r="H1269" s="8">
        <v>103</v>
      </c>
      <c r="I1269" s="3">
        <v>38367500</v>
      </c>
      <c r="J1269" s="3">
        <v>38367500</v>
      </c>
    </row>
    <row r="1270" spans="1:10" x14ac:dyDescent="0.25">
      <c r="A1270" s="2">
        <v>1270</v>
      </c>
      <c r="B1270" s="18">
        <v>45544.708287037036</v>
      </c>
      <c r="C1270" s="2" t="s">
        <v>348</v>
      </c>
      <c r="D1270" s="2" t="s">
        <v>267</v>
      </c>
      <c r="E1270" s="2" t="s">
        <v>371</v>
      </c>
      <c r="F1270" s="2" t="s">
        <v>83</v>
      </c>
      <c r="G1270" s="3">
        <v>790000</v>
      </c>
      <c r="H1270" s="8">
        <v>63</v>
      </c>
      <c r="I1270" s="3">
        <v>24885000</v>
      </c>
      <c r="J1270" s="3">
        <v>24885000</v>
      </c>
    </row>
    <row r="1271" spans="1:10" x14ac:dyDescent="0.25">
      <c r="A1271" s="2">
        <v>1271</v>
      </c>
      <c r="B1271" s="18">
        <v>45544.708287037036</v>
      </c>
      <c r="C1271" s="2" t="s">
        <v>348</v>
      </c>
      <c r="D1271" s="2" t="s">
        <v>267</v>
      </c>
      <c r="E1271" s="2" t="s">
        <v>371</v>
      </c>
      <c r="F1271" s="2" t="s">
        <v>27</v>
      </c>
      <c r="G1271" s="3">
        <v>935000</v>
      </c>
      <c r="H1271" s="8">
        <v>15</v>
      </c>
      <c r="I1271" s="3">
        <v>7012500</v>
      </c>
      <c r="J1271" s="3">
        <v>7012500</v>
      </c>
    </row>
    <row r="1272" spans="1:10" x14ac:dyDescent="0.25">
      <c r="A1272" s="2">
        <v>1272</v>
      </c>
      <c r="B1272" s="18">
        <v>45544.708287037036</v>
      </c>
      <c r="C1272" s="2" t="s">
        <v>348</v>
      </c>
      <c r="D1272" s="2" t="s">
        <v>251</v>
      </c>
      <c r="E1272" s="2" t="s">
        <v>365</v>
      </c>
      <c r="F1272" s="2" t="s">
        <v>57</v>
      </c>
      <c r="G1272" s="3">
        <v>745000</v>
      </c>
      <c r="H1272" s="8">
        <v>10</v>
      </c>
      <c r="I1272" s="3">
        <v>3725000</v>
      </c>
      <c r="J1272" s="3">
        <v>3725000</v>
      </c>
    </row>
    <row r="1273" spans="1:10" x14ac:dyDescent="0.25">
      <c r="A1273" s="2">
        <v>1273</v>
      </c>
      <c r="B1273" s="18">
        <v>45544.708287037036</v>
      </c>
      <c r="C1273" s="2" t="s">
        <v>348</v>
      </c>
      <c r="D1273" s="2" t="s">
        <v>251</v>
      </c>
      <c r="E1273" s="2" t="s">
        <v>365</v>
      </c>
      <c r="F1273" s="2" t="s">
        <v>31</v>
      </c>
      <c r="G1273" s="3">
        <v>745000</v>
      </c>
      <c r="H1273" s="8">
        <v>20</v>
      </c>
      <c r="I1273" s="3">
        <v>7450000</v>
      </c>
      <c r="J1273" s="3">
        <v>7450000</v>
      </c>
    </row>
    <row r="1274" spans="1:10" x14ac:dyDescent="0.25">
      <c r="A1274" s="2">
        <v>1274</v>
      </c>
      <c r="B1274" s="18">
        <v>45544.708287037036</v>
      </c>
      <c r="C1274" s="2" t="s">
        <v>348</v>
      </c>
      <c r="D1274" s="2" t="s">
        <v>251</v>
      </c>
      <c r="E1274" s="2" t="s">
        <v>365</v>
      </c>
      <c r="F1274" s="2" t="s">
        <v>23</v>
      </c>
      <c r="G1274" s="3">
        <v>775000</v>
      </c>
      <c r="H1274" s="8">
        <v>2</v>
      </c>
      <c r="I1274" s="3">
        <v>930000</v>
      </c>
      <c r="J1274" s="3">
        <v>930000</v>
      </c>
    </row>
    <row r="1275" spans="1:10" x14ac:dyDescent="0.25">
      <c r="A1275" s="2">
        <v>1275</v>
      </c>
      <c r="B1275" s="18">
        <v>45544.708287037036</v>
      </c>
      <c r="C1275" s="2" t="s">
        <v>348</v>
      </c>
      <c r="D1275" s="2" t="s">
        <v>251</v>
      </c>
      <c r="E1275" s="2" t="s">
        <v>365</v>
      </c>
      <c r="F1275" s="2" t="s">
        <v>29</v>
      </c>
      <c r="G1275" s="3">
        <v>590000</v>
      </c>
      <c r="H1275" s="8">
        <v>5</v>
      </c>
      <c r="I1275" s="3">
        <v>1475000</v>
      </c>
      <c r="J1275" s="3">
        <v>1475000</v>
      </c>
    </row>
    <row r="1276" spans="1:10" x14ac:dyDescent="0.25">
      <c r="A1276" s="2">
        <v>1276</v>
      </c>
      <c r="B1276" s="18">
        <v>45544.708287037036</v>
      </c>
      <c r="C1276" s="2" t="s">
        <v>348</v>
      </c>
      <c r="D1276" s="2" t="s">
        <v>334</v>
      </c>
      <c r="E1276" s="2" t="s">
        <v>365</v>
      </c>
      <c r="F1276" s="2" t="s">
        <v>27</v>
      </c>
      <c r="G1276" s="3">
        <v>935000</v>
      </c>
      <c r="H1276" s="8">
        <v>5</v>
      </c>
      <c r="I1276" s="3">
        <v>2337500</v>
      </c>
      <c r="J1276" s="3">
        <v>2337500</v>
      </c>
    </row>
    <row r="1277" spans="1:10" x14ac:dyDescent="0.25">
      <c r="A1277" s="2">
        <v>1277</v>
      </c>
      <c r="B1277" s="18">
        <v>45544.708287037036</v>
      </c>
      <c r="C1277" s="2" t="s">
        <v>348</v>
      </c>
      <c r="D1277" s="2" t="s">
        <v>334</v>
      </c>
      <c r="E1277" s="2" t="s">
        <v>365</v>
      </c>
      <c r="F1277" s="2" t="s">
        <v>57</v>
      </c>
      <c r="G1277" s="3">
        <v>745000</v>
      </c>
      <c r="H1277" s="8">
        <v>2</v>
      </c>
      <c r="I1277" s="3">
        <v>745000</v>
      </c>
      <c r="J1277" s="3">
        <v>745000</v>
      </c>
    </row>
    <row r="1278" spans="1:10" x14ac:dyDescent="0.25">
      <c r="A1278" s="2">
        <v>1278</v>
      </c>
      <c r="B1278" s="18">
        <v>45544.708287037036</v>
      </c>
      <c r="C1278" s="2" t="s">
        <v>348</v>
      </c>
      <c r="D1278" s="2" t="s">
        <v>334</v>
      </c>
      <c r="E1278" s="2" t="s">
        <v>365</v>
      </c>
      <c r="F1278" s="2" t="s">
        <v>59</v>
      </c>
      <c r="G1278" s="3">
        <v>475000</v>
      </c>
      <c r="H1278" s="8">
        <v>2</v>
      </c>
      <c r="I1278" s="3">
        <v>475000</v>
      </c>
      <c r="J1278" s="3">
        <v>475000</v>
      </c>
    </row>
    <row r="1279" spans="1:10" x14ac:dyDescent="0.25">
      <c r="A1279" s="2">
        <v>1279</v>
      </c>
      <c r="B1279" s="18">
        <v>45544.708287037036</v>
      </c>
      <c r="C1279" s="2" t="s">
        <v>348</v>
      </c>
      <c r="D1279" s="2" t="s">
        <v>78</v>
      </c>
      <c r="E1279" s="2" t="s">
        <v>365</v>
      </c>
      <c r="F1279" s="2" t="s">
        <v>73</v>
      </c>
      <c r="G1279" s="3">
        <v>1350000</v>
      </c>
      <c r="H1279" s="8">
        <v>1</v>
      </c>
      <c r="I1279" s="3">
        <v>0</v>
      </c>
      <c r="J1279" s="3">
        <v>0</v>
      </c>
    </row>
    <row r="1280" spans="1:10" x14ac:dyDescent="0.25">
      <c r="A1280" s="2">
        <v>1280</v>
      </c>
      <c r="B1280" s="18">
        <v>45545.708287037036</v>
      </c>
      <c r="C1280" s="2" t="s">
        <v>348</v>
      </c>
      <c r="D1280" s="2" t="s">
        <v>338</v>
      </c>
      <c r="E1280" s="2" t="s">
        <v>370</v>
      </c>
      <c r="F1280" s="2" t="s">
        <v>421</v>
      </c>
      <c r="G1280" s="3">
        <v>0</v>
      </c>
      <c r="H1280" s="8">
        <v>0</v>
      </c>
      <c r="I1280" s="3">
        <v>0</v>
      </c>
      <c r="J1280" s="3">
        <v>0</v>
      </c>
    </row>
    <row r="1281" spans="1:10" x14ac:dyDescent="0.25">
      <c r="A1281" s="2">
        <v>1281</v>
      </c>
      <c r="B1281" s="18">
        <v>45546.708287037036</v>
      </c>
      <c r="C1281" s="2" t="s">
        <v>348</v>
      </c>
      <c r="D1281" s="2" t="s">
        <v>2</v>
      </c>
      <c r="E1281" s="2" t="s">
        <v>370</v>
      </c>
      <c r="F1281" s="2" t="s">
        <v>83</v>
      </c>
      <c r="G1281" s="3">
        <v>790000</v>
      </c>
      <c r="H1281" s="8">
        <v>18</v>
      </c>
      <c r="I1281" s="3">
        <v>8958600</v>
      </c>
      <c r="J1281" s="3">
        <v>8958600</v>
      </c>
    </row>
    <row r="1282" spans="1:10" x14ac:dyDescent="0.25">
      <c r="A1282" s="2">
        <v>1282</v>
      </c>
      <c r="B1282" s="18">
        <v>45546.708287037036</v>
      </c>
      <c r="C1282" s="2" t="s">
        <v>348</v>
      </c>
      <c r="D1282" s="2" t="s">
        <v>2</v>
      </c>
      <c r="E1282" s="2" t="s">
        <v>370</v>
      </c>
      <c r="F1282" s="2" t="s">
        <v>83</v>
      </c>
      <c r="G1282" s="3">
        <v>790000</v>
      </c>
      <c r="H1282" s="8">
        <v>32</v>
      </c>
      <c r="I1282" s="3">
        <v>15926400</v>
      </c>
      <c r="J1282" s="3">
        <v>15926400</v>
      </c>
    </row>
    <row r="1283" spans="1:10" x14ac:dyDescent="0.25">
      <c r="A1283" s="2">
        <v>1283</v>
      </c>
      <c r="B1283" s="18">
        <v>45546.708287037036</v>
      </c>
      <c r="C1283" s="2" t="s">
        <v>348</v>
      </c>
      <c r="D1283" s="2" t="s">
        <v>251</v>
      </c>
      <c r="E1283" s="2" t="s">
        <v>365</v>
      </c>
      <c r="F1283" s="2" t="s">
        <v>31</v>
      </c>
      <c r="G1283" s="3">
        <v>745000</v>
      </c>
      <c r="H1283" s="8">
        <v>50</v>
      </c>
      <c r="I1283" s="3">
        <v>18625000</v>
      </c>
      <c r="J1283" s="3">
        <v>18625000</v>
      </c>
    </row>
    <row r="1284" spans="1:10" x14ac:dyDescent="0.25">
      <c r="A1284" s="2">
        <v>1284</v>
      </c>
      <c r="B1284" s="18">
        <v>45547.708287037036</v>
      </c>
      <c r="C1284" s="2" t="s">
        <v>348</v>
      </c>
      <c r="D1284" s="2" t="s">
        <v>268</v>
      </c>
      <c r="E1284" s="2" t="s">
        <v>371</v>
      </c>
      <c r="F1284" s="2" t="s">
        <v>31</v>
      </c>
      <c r="G1284" s="3">
        <v>745000</v>
      </c>
      <c r="H1284" s="8">
        <v>73</v>
      </c>
      <c r="I1284" s="3">
        <v>24473249.999999996</v>
      </c>
      <c r="J1284" s="3">
        <v>24473249.999999996</v>
      </c>
    </row>
    <row r="1285" spans="1:10" x14ac:dyDescent="0.25">
      <c r="A1285" s="2">
        <v>1285</v>
      </c>
      <c r="B1285" s="18">
        <v>45547.708287037036</v>
      </c>
      <c r="C1285" s="2" t="s">
        <v>348</v>
      </c>
      <c r="D1285" s="2" t="s">
        <v>268</v>
      </c>
      <c r="E1285" s="2" t="s">
        <v>371</v>
      </c>
      <c r="F1285" s="2" t="s">
        <v>83</v>
      </c>
      <c r="G1285" s="3">
        <v>790000</v>
      </c>
      <c r="H1285" s="8">
        <v>32</v>
      </c>
      <c r="I1285" s="3">
        <v>11375999.999999998</v>
      </c>
      <c r="J1285" s="3">
        <v>11375999.999999998</v>
      </c>
    </row>
    <row r="1286" spans="1:10" x14ac:dyDescent="0.25">
      <c r="A1286" s="2">
        <v>1286</v>
      </c>
      <c r="B1286" s="18">
        <v>45547.708287037036</v>
      </c>
      <c r="C1286" s="2" t="s">
        <v>348</v>
      </c>
      <c r="D1286" s="2" t="s">
        <v>268</v>
      </c>
      <c r="E1286" s="2" t="s">
        <v>371</v>
      </c>
      <c r="F1286" s="2" t="s">
        <v>27</v>
      </c>
      <c r="G1286" s="3">
        <v>935000</v>
      </c>
      <c r="H1286" s="8">
        <v>24</v>
      </c>
      <c r="I1286" s="3">
        <v>11220000</v>
      </c>
      <c r="J1286" s="3">
        <v>11220000</v>
      </c>
    </row>
    <row r="1287" spans="1:10" x14ac:dyDescent="0.25">
      <c r="A1287" s="2">
        <v>1287</v>
      </c>
      <c r="B1287" s="18">
        <v>45547.708287037036</v>
      </c>
      <c r="C1287" s="2" t="s">
        <v>348</v>
      </c>
      <c r="D1287" s="2" t="s">
        <v>267</v>
      </c>
      <c r="E1287" s="2" t="s">
        <v>371</v>
      </c>
      <c r="F1287" s="2" t="s">
        <v>31</v>
      </c>
      <c r="G1287" s="3">
        <v>745000</v>
      </c>
      <c r="H1287" s="8">
        <v>200</v>
      </c>
      <c r="I1287" s="3">
        <v>74500000</v>
      </c>
      <c r="J1287" s="3">
        <v>74500000</v>
      </c>
    </row>
    <row r="1288" spans="1:10" x14ac:dyDescent="0.25">
      <c r="A1288" s="2">
        <v>1288</v>
      </c>
      <c r="B1288" s="18">
        <v>45547.708287037036</v>
      </c>
      <c r="C1288" s="2" t="s">
        <v>348</v>
      </c>
      <c r="D1288" s="2" t="s">
        <v>267</v>
      </c>
      <c r="E1288" s="2" t="s">
        <v>371</v>
      </c>
      <c r="F1288" s="2" t="s">
        <v>57</v>
      </c>
      <c r="G1288" s="3">
        <v>745000</v>
      </c>
      <c r="H1288" s="8">
        <v>200</v>
      </c>
      <c r="I1288" s="3">
        <v>74500000</v>
      </c>
      <c r="J1288" s="3">
        <v>74500000</v>
      </c>
    </row>
    <row r="1289" spans="1:10" x14ac:dyDescent="0.25">
      <c r="A1289" s="2">
        <v>1289</v>
      </c>
      <c r="B1289" s="18">
        <v>45547.708287037036</v>
      </c>
      <c r="C1289" s="2" t="s">
        <v>348</v>
      </c>
      <c r="D1289" s="2" t="s">
        <v>267</v>
      </c>
      <c r="E1289" s="2" t="s">
        <v>371</v>
      </c>
      <c r="F1289" s="2" t="s">
        <v>27</v>
      </c>
      <c r="G1289" s="3">
        <v>935000</v>
      </c>
      <c r="H1289" s="8">
        <v>66</v>
      </c>
      <c r="I1289" s="3">
        <v>30855000</v>
      </c>
      <c r="J1289" s="3">
        <v>30855000</v>
      </c>
    </row>
    <row r="1290" spans="1:10" x14ac:dyDescent="0.25">
      <c r="A1290" s="2">
        <v>1290</v>
      </c>
      <c r="B1290" s="18">
        <v>45547.708287037036</v>
      </c>
      <c r="C1290" s="2" t="s">
        <v>348</v>
      </c>
      <c r="D1290" s="2" t="s">
        <v>267</v>
      </c>
      <c r="E1290" s="2" t="s">
        <v>371</v>
      </c>
      <c r="F1290" s="2" t="s">
        <v>83</v>
      </c>
      <c r="G1290" s="3">
        <v>790000</v>
      </c>
      <c r="H1290" s="8">
        <v>108</v>
      </c>
      <c r="I1290" s="3">
        <v>38393999.99999999</v>
      </c>
      <c r="J1290" s="3">
        <v>38393999.99999999</v>
      </c>
    </row>
    <row r="1291" spans="1:10" x14ac:dyDescent="0.25">
      <c r="A1291" s="2">
        <v>1291</v>
      </c>
      <c r="B1291" s="18">
        <v>45547.708287037036</v>
      </c>
      <c r="C1291" s="2" t="s">
        <v>348</v>
      </c>
      <c r="D1291" s="2" t="s">
        <v>283</v>
      </c>
      <c r="E1291" s="2" t="s">
        <v>369</v>
      </c>
      <c r="F1291" s="2" t="s">
        <v>23</v>
      </c>
      <c r="G1291" s="3">
        <v>775000</v>
      </c>
      <c r="H1291" s="8">
        <v>10</v>
      </c>
      <c r="I1291" s="3">
        <v>5812500</v>
      </c>
      <c r="J1291" s="3">
        <v>5812500</v>
      </c>
    </row>
    <row r="1292" spans="1:10" x14ac:dyDescent="0.25">
      <c r="A1292" s="2">
        <v>1292</v>
      </c>
      <c r="B1292" s="18">
        <v>45547.708287037036</v>
      </c>
      <c r="C1292" s="2" t="s">
        <v>348</v>
      </c>
      <c r="D1292" s="2" t="s">
        <v>283</v>
      </c>
      <c r="E1292" s="2" t="s">
        <v>369</v>
      </c>
      <c r="F1292" s="2" t="s">
        <v>85</v>
      </c>
      <c r="G1292" s="3">
        <v>480000</v>
      </c>
      <c r="H1292" s="8">
        <v>10</v>
      </c>
      <c r="I1292" s="3">
        <v>2400000</v>
      </c>
      <c r="J1292" s="3">
        <v>2400000</v>
      </c>
    </row>
    <row r="1293" spans="1:10" x14ac:dyDescent="0.25">
      <c r="A1293" s="2">
        <v>1293</v>
      </c>
      <c r="B1293" s="18">
        <v>45547.708287037036</v>
      </c>
      <c r="C1293" s="2" t="s">
        <v>348</v>
      </c>
      <c r="D1293" s="2" t="s">
        <v>283</v>
      </c>
      <c r="E1293" s="2" t="s">
        <v>369</v>
      </c>
      <c r="F1293" s="2" t="s">
        <v>33</v>
      </c>
      <c r="G1293" s="3">
        <v>485000</v>
      </c>
      <c r="H1293" s="8">
        <v>5</v>
      </c>
      <c r="I1293" s="3">
        <v>1212500</v>
      </c>
      <c r="J1293" s="3">
        <v>1212500</v>
      </c>
    </row>
    <row r="1294" spans="1:10" x14ac:dyDescent="0.25">
      <c r="A1294" s="2">
        <v>1294</v>
      </c>
      <c r="B1294" s="18">
        <v>45547.708287037036</v>
      </c>
      <c r="C1294" s="2" t="s">
        <v>348</v>
      </c>
      <c r="D1294" s="2" t="s">
        <v>283</v>
      </c>
      <c r="E1294" s="2" t="s">
        <v>369</v>
      </c>
      <c r="F1294" s="2" t="s">
        <v>29</v>
      </c>
      <c r="G1294" s="3">
        <v>590000</v>
      </c>
      <c r="H1294" s="8">
        <v>10</v>
      </c>
      <c r="I1294" s="3">
        <v>2950000</v>
      </c>
      <c r="J1294" s="3">
        <v>2950000</v>
      </c>
    </row>
    <row r="1295" spans="1:10" x14ac:dyDescent="0.25">
      <c r="A1295" s="2">
        <v>1295</v>
      </c>
      <c r="B1295" s="18">
        <v>45547.708287037036</v>
      </c>
      <c r="C1295" s="2" t="s">
        <v>348</v>
      </c>
      <c r="D1295" s="2" t="s">
        <v>283</v>
      </c>
      <c r="E1295" s="2" t="s">
        <v>369</v>
      </c>
      <c r="F1295" s="2" t="s">
        <v>89</v>
      </c>
      <c r="G1295" s="3">
        <v>390000</v>
      </c>
      <c r="H1295" s="8">
        <v>10</v>
      </c>
      <c r="I1295" s="3">
        <v>0</v>
      </c>
      <c r="J1295" s="3">
        <v>0</v>
      </c>
    </row>
    <row r="1296" spans="1:10" x14ac:dyDescent="0.25">
      <c r="A1296" s="2">
        <v>1296</v>
      </c>
      <c r="B1296" s="18">
        <v>45547.708287037036</v>
      </c>
      <c r="C1296" s="2" t="s">
        <v>348</v>
      </c>
      <c r="D1296" s="2" t="s">
        <v>283</v>
      </c>
      <c r="E1296" s="2" t="s">
        <v>369</v>
      </c>
      <c r="F1296" s="2" t="s">
        <v>47</v>
      </c>
      <c r="G1296" s="3">
        <v>200000</v>
      </c>
      <c r="H1296" s="8">
        <v>15</v>
      </c>
      <c r="I1296" s="3">
        <v>0</v>
      </c>
      <c r="J1296" s="3">
        <v>0</v>
      </c>
    </row>
    <row r="1297" spans="1:10" x14ac:dyDescent="0.25">
      <c r="A1297" s="2">
        <v>1297</v>
      </c>
      <c r="B1297" s="18">
        <v>45548.708287037036</v>
      </c>
      <c r="C1297" s="2" t="s">
        <v>348</v>
      </c>
      <c r="D1297" s="2" t="s">
        <v>267</v>
      </c>
      <c r="E1297" s="2" t="s">
        <v>371</v>
      </c>
      <c r="F1297" s="2" t="s">
        <v>59</v>
      </c>
      <c r="G1297" s="3">
        <v>475000</v>
      </c>
      <c r="H1297" s="8">
        <v>1</v>
      </c>
      <c r="I1297" s="3">
        <v>0</v>
      </c>
      <c r="J1297" s="3">
        <v>0</v>
      </c>
    </row>
    <row r="1298" spans="1:10" x14ac:dyDescent="0.25">
      <c r="A1298" s="2">
        <v>1298</v>
      </c>
      <c r="B1298" s="18">
        <v>45548.708287037036</v>
      </c>
      <c r="C1298" s="2" t="s">
        <v>348</v>
      </c>
      <c r="D1298" s="2" t="s">
        <v>267</v>
      </c>
      <c r="E1298" s="2" t="s">
        <v>371</v>
      </c>
      <c r="F1298" s="2" t="s">
        <v>63</v>
      </c>
      <c r="G1298" s="3">
        <v>550000</v>
      </c>
      <c r="H1298" s="8">
        <v>1</v>
      </c>
      <c r="I1298" s="3">
        <v>0</v>
      </c>
      <c r="J1298" s="3">
        <v>0</v>
      </c>
    </row>
    <row r="1299" spans="1:10" x14ac:dyDescent="0.25">
      <c r="A1299" s="2">
        <v>1299</v>
      </c>
      <c r="B1299" s="18">
        <v>45548.708287037036</v>
      </c>
      <c r="C1299" s="2" t="s">
        <v>348</v>
      </c>
      <c r="D1299" s="2" t="s">
        <v>303</v>
      </c>
      <c r="E1299" s="2" t="s">
        <v>366</v>
      </c>
      <c r="F1299" s="2" t="s">
        <v>31</v>
      </c>
      <c r="G1299" s="3">
        <v>745000</v>
      </c>
      <c r="H1299" s="8">
        <v>10</v>
      </c>
      <c r="I1299" s="3">
        <v>4470000</v>
      </c>
      <c r="J1299" s="3">
        <v>4470000</v>
      </c>
    </row>
    <row r="1300" spans="1:10" x14ac:dyDescent="0.25">
      <c r="A1300" s="2">
        <v>1300</v>
      </c>
      <c r="B1300" s="18">
        <v>45548.708287037036</v>
      </c>
      <c r="C1300" s="2" t="s">
        <v>348</v>
      </c>
      <c r="D1300" s="2" t="s">
        <v>107</v>
      </c>
      <c r="E1300" s="2" t="s">
        <v>367</v>
      </c>
      <c r="F1300" s="2" t="s">
        <v>85</v>
      </c>
      <c r="G1300" s="3">
        <v>480000</v>
      </c>
      <c r="H1300" s="8">
        <v>1</v>
      </c>
      <c r="I1300" s="3">
        <v>312000</v>
      </c>
      <c r="J1300" s="3">
        <v>312000</v>
      </c>
    </row>
    <row r="1301" spans="1:10" x14ac:dyDescent="0.25">
      <c r="A1301" s="2">
        <v>1301</v>
      </c>
      <c r="B1301" s="18">
        <v>45550.708287037036</v>
      </c>
      <c r="C1301" s="2" t="s">
        <v>348</v>
      </c>
      <c r="D1301" s="2" t="s">
        <v>66</v>
      </c>
      <c r="E1301" s="2" t="s">
        <v>365</v>
      </c>
      <c r="F1301" s="2" t="s">
        <v>29</v>
      </c>
      <c r="G1301" s="3">
        <v>590000</v>
      </c>
      <c r="H1301" s="8">
        <v>1</v>
      </c>
      <c r="I1301" s="3">
        <v>383500</v>
      </c>
      <c r="J1301" s="3">
        <v>383500</v>
      </c>
    </row>
    <row r="1302" spans="1:10" x14ac:dyDescent="0.25">
      <c r="A1302" s="2">
        <v>1302</v>
      </c>
      <c r="B1302" s="18">
        <v>45550.708287037036</v>
      </c>
      <c r="C1302" s="2" t="s">
        <v>348</v>
      </c>
      <c r="D1302" s="2" t="s">
        <v>422</v>
      </c>
      <c r="E1302" s="2" t="s">
        <v>364</v>
      </c>
      <c r="F1302" s="2" t="s">
        <v>85</v>
      </c>
      <c r="G1302" s="3">
        <v>480000</v>
      </c>
      <c r="H1302" s="8">
        <v>60</v>
      </c>
      <c r="I1302" s="3">
        <v>14400000</v>
      </c>
      <c r="J1302" s="3">
        <v>14400000</v>
      </c>
    </row>
    <row r="1303" spans="1:10" x14ac:dyDescent="0.25">
      <c r="A1303" s="2">
        <v>1303</v>
      </c>
      <c r="B1303" s="18">
        <v>45550.708287037036</v>
      </c>
      <c r="C1303" s="2" t="s">
        <v>348</v>
      </c>
      <c r="D1303" s="2" t="s">
        <v>422</v>
      </c>
      <c r="E1303" s="2" t="s">
        <v>364</v>
      </c>
      <c r="F1303" s="2" t="s">
        <v>59</v>
      </c>
      <c r="G1303" s="3">
        <v>475000</v>
      </c>
      <c r="H1303" s="8">
        <v>90</v>
      </c>
      <c r="I1303" s="3">
        <v>21375000</v>
      </c>
      <c r="J1303" s="3">
        <v>21375000</v>
      </c>
    </row>
    <row r="1304" spans="1:10" x14ac:dyDescent="0.25">
      <c r="A1304" s="2">
        <v>1304</v>
      </c>
      <c r="B1304" s="18">
        <v>45550.708287037036</v>
      </c>
      <c r="C1304" s="2" t="s">
        <v>348</v>
      </c>
      <c r="D1304" s="2" t="s">
        <v>422</v>
      </c>
      <c r="E1304" s="2" t="s">
        <v>364</v>
      </c>
      <c r="F1304" s="2" t="s">
        <v>33</v>
      </c>
      <c r="G1304" s="3">
        <v>485000</v>
      </c>
      <c r="H1304" s="8">
        <v>90</v>
      </c>
      <c r="I1304" s="3">
        <v>21825000</v>
      </c>
      <c r="J1304" s="3">
        <v>21825000</v>
      </c>
    </row>
    <row r="1305" spans="1:10" x14ac:dyDescent="0.25">
      <c r="A1305" s="2">
        <v>1305</v>
      </c>
      <c r="B1305" s="18">
        <v>45550.708287037036</v>
      </c>
      <c r="C1305" s="2" t="s">
        <v>348</v>
      </c>
      <c r="D1305" s="2" t="s">
        <v>422</v>
      </c>
      <c r="E1305" s="2" t="s">
        <v>364</v>
      </c>
      <c r="F1305" s="2" t="s">
        <v>23</v>
      </c>
      <c r="G1305" s="3">
        <v>775000</v>
      </c>
      <c r="H1305" s="8">
        <v>44</v>
      </c>
      <c r="I1305" s="3">
        <v>20460000</v>
      </c>
      <c r="J1305" s="3">
        <v>20460000</v>
      </c>
    </row>
    <row r="1306" spans="1:10" x14ac:dyDescent="0.25">
      <c r="A1306" s="2">
        <v>1306</v>
      </c>
      <c r="B1306" s="18">
        <v>45550.708287037036</v>
      </c>
      <c r="C1306" s="2" t="s">
        <v>348</v>
      </c>
      <c r="D1306" s="2" t="s">
        <v>422</v>
      </c>
      <c r="E1306" s="2" t="s">
        <v>364</v>
      </c>
      <c r="F1306" s="2" t="s">
        <v>29</v>
      </c>
      <c r="G1306" s="3">
        <v>590000</v>
      </c>
      <c r="H1306" s="8">
        <v>60</v>
      </c>
      <c r="I1306" s="3">
        <v>17700000</v>
      </c>
      <c r="J1306" s="3">
        <v>17700000</v>
      </c>
    </row>
    <row r="1307" spans="1:10" x14ac:dyDescent="0.25">
      <c r="A1307" s="2">
        <v>1307</v>
      </c>
      <c r="B1307" s="18">
        <v>45550.708287037036</v>
      </c>
      <c r="C1307" s="2" t="s">
        <v>348</v>
      </c>
      <c r="D1307" s="2" t="s">
        <v>422</v>
      </c>
      <c r="E1307" s="2" t="s">
        <v>364</v>
      </c>
      <c r="F1307" s="2" t="s">
        <v>67</v>
      </c>
      <c r="G1307" s="3">
        <v>945000</v>
      </c>
      <c r="H1307" s="8">
        <v>24</v>
      </c>
      <c r="I1307" s="3">
        <v>11340000</v>
      </c>
      <c r="J1307" s="3">
        <v>11340000</v>
      </c>
    </row>
    <row r="1308" spans="1:10" x14ac:dyDescent="0.25">
      <c r="A1308" s="2">
        <v>1308</v>
      </c>
      <c r="B1308" s="18">
        <v>45551.708287037036</v>
      </c>
      <c r="C1308" s="2" t="s">
        <v>348</v>
      </c>
      <c r="D1308" s="2" t="s">
        <v>90</v>
      </c>
      <c r="E1308" s="2" t="s">
        <v>365</v>
      </c>
      <c r="F1308" s="2" t="s">
        <v>19</v>
      </c>
      <c r="G1308" s="3">
        <v>590000</v>
      </c>
      <c r="H1308" s="8">
        <v>40</v>
      </c>
      <c r="I1308" s="3">
        <v>14160000</v>
      </c>
      <c r="J1308" s="3">
        <v>14160000</v>
      </c>
    </row>
    <row r="1309" spans="1:10" x14ac:dyDescent="0.25">
      <c r="A1309" s="2">
        <v>1309</v>
      </c>
      <c r="B1309" s="18">
        <v>45551.708287037036</v>
      </c>
      <c r="C1309" s="2" t="s">
        <v>348</v>
      </c>
      <c r="D1309" s="2" t="s">
        <v>251</v>
      </c>
      <c r="E1309" s="2" t="s">
        <v>365</v>
      </c>
      <c r="F1309" s="2" t="s">
        <v>31</v>
      </c>
      <c r="G1309" s="3">
        <v>745000</v>
      </c>
      <c r="H1309" s="8">
        <v>100</v>
      </c>
      <c r="I1309" s="3">
        <v>37250000</v>
      </c>
      <c r="J1309" s="3">
        <v>37250000</v>
      </c>
    </row>
    <row r="1310" spans="1:10" x14ac:dyDescent="0.25">
      <c r="A1310" s="2">
        <v>1310</v>
      </c>
      <c r="B1310" s="18">
        <v>45551.708287037036</v>
      </c>
      <c r="C1310" s="2" t="s">
        <v>348</v>
      </c>
      <c r="D1310" s="2" t="s">
        <v>283</v>
      </c>
      <c r="E1310" s="2" t="s">
        <v>369</v>
      </c>
      <c r="F1310" s="2" t="s">
        <v>23</v>
      </c>
      <c r="G1310" s="3">
        <v>775000</v>
      </c>
      <c r="H1310" s="8">
        <v>10</v>
      </c>
      <c r="I1310" s="3">
        <v>5812500</v>
      </c>
      <c r="J1310" s="3">
        <v>5812500</v>
      </c>
    </row>
    <row r="1311" spans="1:10" x14ac:dyDescent="0.25">
      <c r="A1311" s="2">
        <v>1311</v>
      </c>
      <c r="B1311" s="18">
        <v>45551.708287037036</v>
      </c>
      <c r="C1311" s="2" t="s">
        <v>348</v>
      </c>
      <c r="D1311" s="2" t="s">
        <v>283</v>
      </c>
      <c r="E1311" s="2" t="s">
        <v>369</v>
      </c>
      <c r="F1311" s="2" t="s">
        <v>47</v>
      </c>
      <c r="G1311" s="3">
        <v>200000</v>
      </c>
      <c r="H1311" s="8">
        <v>10</v>
      </c>
      <c r="I1311" s="3">
        <v>0</v>
      </c>
      <c r="J1311" s="3">
        <v>0</v>
      </c>
    </row>
    <row r="1312" spans="1:10" x14ac:dyDescent="0.25">
      <c r="A1312" s="2">
        <v>1312</v>
      </c>
      <c r="B1312" s="18">
        <v>45552.708287037036</v>
      </c>
      <c r="C1312" s="2" t="s">
        <v>348</v>
      </c>
      <c r="D1312" s="2" t="s">
        <v>289</v>
      </c>
      <c r="E1312" s="2" t="s">
        <v>369</v>
      </c>
      <c r="F1312" s="2" t="s">
        <v>31</v>
      </c>
      <c r="G1312" s="3">
        <v>745000</v>
      </c>
      <c r="H1312" s="8">
        <v>5</v>
      </c>
      <c r="I1312" s="3">
        <v>2235000</v>
      </c>
      <c r="J1312" s="3">
        <v>2235000</v>
      </c>
    </row>
    <row r="1313" spans="1:10" x14ac:dyDescent="0.25">
      <c r="A1313" s="2">
        <v>1313</v>
      </c>
      <c r="B1313" s="18">
        <v>45552.708287037036</v>
      </c>
      <c r="C1313" s="2" t="s">
        <v>348</v>
      </c>
      <c r="D1313" s="2" t="s">
        <v>289</v>
      </c>
      <c r="E1313" s="2" t="s">
        <v>369</v>
      </c>
      <c r="F1313" s="2" t="s">
        <v>35</v>
      </c>
      <c r="G1313" s="3">
        <v>525000</v>
      </c>
      <c r="H1313" s="8">
        <v>3</v>
      </c>
      <c r="I1313" s="3">
        <v>945000</v>
      </c>
      <c r="J1313" s="3">
        <v>945000</v>
      </c>
    </row>
    <row r="1314" spans="1:10" x14ac:dyDescent="0.25">
      <c r="A1314" s="2">
        <v>1314</v>
      </c>
      <c r="B1314" s="18">
        <v>45552.708287037036</v>
      </c>
      <c r="C1314" s="2" t="s">
        <v>348</v>
      </c>
      <c r="D1314" s="2" t="s">
        <v>422</v>
      </c>
      <c r="E1314" s="2" t="s">
        <v>364</v>
      </c>
      <c r="F1314" s="2" t="s">
        <v>47</v>
      </c>
      <c r="G1314" s="3">
        <v>200000</v>
      </c>
      <c r="H1314" s="8">
        <v>142</v>
      </c>
      <c r="I1314" s="3">
        <v>0</v>
      </c>
      <c r="J1314" s="3">
        <v>0</v>
      </c>
    </row>
    <row r="1315" spans="1:10" x14ac:dyDescent="0.25">
      <c r="A1315" s="2">
        <v>1315</v>
      </c>
      <c r="B1315" s="18">
        <v>45552.708287037036</v>
      </c>
      <c r="C1315" s="2" t="s">
        <v>348</v>
      </c>
      <c r="D1315" s="2" t="s">
        <v>422</v>
      </c>
      <c r="E1315" s="2" t="s">
        <v>364</v>
      </c>
      <c r="F1315" s="2" t="s">
        <v>79</v>
      </c>
      <c r="G1315" s="3">
        <v>150000</v>
      </c>
      <c r="H1315" s="8">
        <v>142</v>
      </c>
      <c r="I1315" s="3">
        <v>0</v>
      </c>
      <c r="J1315" s="3">
        <v>0</v>
      </c>
    </row>
    <row r="1316" spans="1:10" x14ac:dyDescent="0.25">
      <c r="A1316" s="2">
        <v>1316</v>
      </c>
      <c r="B1316" s="18">
        <v>45552.708287037036</v>
      </c>
      <c r="C1316" s="2" t="s">
        <v>348</v>
      </c>
      <c r="D1316" s="2" t="s">
        <v>422</v>
      </c>
      <c r="E1316" s="2" t="s">
        <v>364</v>
      </c>
      <c r="F1316" s="2" t="s">
        <v>89</v>
      </c>
      <c r="G1316" s="3">
        <v>390000</v>
      </c>
      <c r="H1316" s="8">
        <v>60</v>
      </c>
      <c r="I1316" s="3">
        <v>0</v>
      </c>
      <c r="J1316" s="3">
        <v>0</v>
      </c>
    </row>
    <row r="1317" spans="1:10" x14ac:dyDescent="0.25">
      <c r="A1317" s="2">
        <v>1317</v>
      </c>
      <c r="B1317" s="18">
        <v>45553.708287037036</v>
      </c>
      <c r="C1317" s="2" t="s">
        <v>348</v>
      </c>
      <c r="D1317" s="2" t="s">
        <v>34</v>
      </c>
      <c r="E1317" s="2" t="s">
        <v>370</v>
      </c>
      <c r="F1317" s="2" t="s">
        <v>421</v>
      </c>
      <c r="G1317" s="3">
        <v>0</v>
      </c>
      <c r="H1317" s="8">
        <v>0</v>
      </c>
      <c r="I1317" s="3">
        <v>0</v>
      </c>
      <c r="J1317" s="3">
        <v>0</v>
      </c>
    </row>
    <row r="1318" spans="1:10" x14ac:dyDescent="0.25">
      <c r="A1318" s="2">
        <v>1318</v>
      </c>
      <c r="B1318" s="18">
        <v>45554.708287037036</v>
      </c>
      <c r="C1318" s="2" t="s">
        <v>348</v>
      </c>
      <c r="D1318" s="2" t="s">
        <v>303</v>
      </c>
      <c r="E1318" s="2" t="s">
        <v>366</v>
      </c>
      <c r="F1318" s="2" t="s">
        <v>31</v>
      </c>
      <c r="G1318" s="3">
        <v>745000</v>
      </c>
      <c r="H1318" s="8">
        <v>10</v>
      </c>
      <c r="I1318" s="3">
        <v>4470000</v>
      </c>
      <c r="J1318" s="3">
        <v>4470000</v>
      </c>
    </row>
    <row r="1319" spans="1:10" x14ac:dyDescent="0.25">
      <c r="A1319" s="2">
        <v>1319</v>
      </c>
      <c r="B1319" s="18">
        <v>45554.708287037036</v>
      </c>
      <c r="C1319" s="2" t="s">
        <v>348</v>
      </c>
      <c r="D1319" s="2" t="s">
        <v>266</v>
      </c>
      <c r="E1319" s="2" t="s">
        <v>371</v>
      </c>
      <c r="F1319" s="2" t="s">
        <v>33</v>
      </c>
      <c r="G1319" s="3">
        <v>485000</v>
      </c>
      <c r="H1319" s="8">
        <v>9</v>
      </c>
      <c r="I1319" s="3">
        <v>1964250</v>
      </c>
      <c r="J1319" s="3">
        <v>1964250</v>
      </c>
    </row>
    <row r="1320" spans="1:10" x14ac:dyDescent="0.25">
      <c r="A1320" s="2">
        <v>1320</v>
      </c>
      <c r="B1320" s="18">
        <v>45554.708287037036</v>
      </c>
      <c r="C1320" s="2" t="s">
        <v>348</v>
      </c>
      <c r="D1320" s="2" t="s">
        <v>266</v>
      </c>
      <c r="E1320" s="2" t="s">
        <v>371</v>
      </c>
      <c r="F1320" s="2" t="s">
        <v>59</v>
      </c>
      <c r="G1320" s="3">
        <v>475000</v>
      </c>
      <c r="H1320" s="8">
        <v>17</v>
      </c>
      <c r="I1320" s="3">
        <v>3633749.9999999995</v>
      </c>
      <c r="J1320" s="3">
        <v>3633749.9999999995</v>
      </c>
    </row>
    <row r="1321" spans="1:10" x14ac:dyDescent="0.25">
      <c r="A1321" s="2">
        <v>1321</v>
      </c>
      <c r="B1321" s="18">
        <v>45555.708287037036</v>
      </c>
      <c r="C1321" s="2" t="s">
        <v>348</v>
      </c>
      <c r="D1321" s="2" t="s">
        <v>338</v>
      </c>
      <c r="E1321" s="2" t="s">
        <v>370</v>
      </c>
      <c r="F1321" s="2" t="s">
        <v>421</v>
      </c>
      <c r="G1321" s="3">
        <v>0</v>
      </c>
      <c r="H1321" s="8">
        <v>0</v>
      </c>
      <c r="I1321" s="3">
        <v>0</v>
      </c>
      <c r="J1321" s="3">
        <v>0</v>
      </c>
    </row>
    <row r="1322" spans="1:10" x14ac:dyDescent="0.25">
      <c r="A1322" s="2">
        <v>1322</v>
      </c>
      <c r="B1322" s="18">
        <v>45557.708287037036</v>
      </c>
      <c r="C1322" s="2" t="s">
        <v>348</v>
      </c>
      <c r="D1322" s="2" t="s">
        <v>268</v>
      </c>
      <c r="E1322" s="2" t="s">
        <v>371</v>
      </c>
      <c r="F1322" s="2" t="s">
        <v>33</v>
      </c>
      <c r="G1322" s="3">
        <v>485000</v>
      </c>
      <c r="H1322" s="8">
        <v>290</v>
      </c>
      <c r="I1322" s="3">
        <v>63292500</v>
      </c>
      <c r="J1322" s="3">
        <v>63292500</v>
      </c>
    </row>
    <row r="1323" spans="1:10" x14ac:dyDescent="0.25">
      <c r="A1323" s="2">
        <v>1323</v>
      </c>
      <c r="B1323" s="18">
        <v>45557.708287037036</v>
      </c>
      <c r="C1323" s="2" t="s">
        <v>348</v>
      </c>
      <c r="D1323" s="2" t="s">
        <v>268</v>
      </c>
      <c r="E1323" s="2" t="s">
        <v>371</v>
      </c>
      <c r="F1323" s="2" t="s">
        <v>59</v>
      </c>
      <c r="G1323" s="3">
        <v>475000</v>
      </c>
      <c r="H1323" s="8">
        <v>190</v>
      </c>
      <c r="I1323" s="3">
        <v>40612499.99999999</v>
      </c>
      <c r="J1323" s="3">
        <v>40612499.99999999</v>
      </c>
    </row>
    <row r="1324" spans="1:10" x14ac:dyDescent="0.25">
      <c r="A1324" s="2">
        <v>1324</v>
      </c>
      <c r="B1324" s="18">
        <v>45557.708287037036</v>
      </c>
      <c r="C1324" s="2" t="s">
        <v>348</v>
      </c>
      <c r="D1324" s="2" t="s">
        <v>268</v>
      </c>
      <c r="E1324" s="2" t="s">
        <v>371</v>
      </c>
      <c r="F1324" s="2" t="s">
        <v>83</v>
      </c>
      <c r="G1324" s="3">
        <v>790000</v>
      </c>
      <c r="H1324" s="8">
        <v>29</v>
      </c>
      <c r="I1324" s="3">
        <v>11455000</v>
      </c>
      <c r="J1324" s="3">
        <v>11455000</v>
      </c>
    </row>
    <row r="1325" spans="1:10" x14ac:dyDescent="0.25">
      <c r="A1325" s="2">
        <v>1325</v>
      </c>
      <c r="B1325" s="18">
        <v>45557.708287037036</v>
      </c>
      <c r="C1325" s="2" t="s">
        <v>348</v>
      </c>
      <c r="D1325" s="2" t="s">
        <v>268</v>
      </c>
      <c r="E1325" s="2" t="s">
        <v>371</v>
      </c>
      <c r="F1325" s="2" t="s">
        <v>27</v>
      </c>
      <c r="G1325" s="3">
        <v>935000</v>
      </c>
      <c r="H1325" s="8">
        <v>23</v>
      </c>
      <c r="I1325" s="3">
        <v>10752500</v>
      </c>
      <c r="J1325" s="3">
        <v>10752500</v>
      </c>
    </row>
    <row r="1326" spans="1:10" x14ac:dyDescent="0.25">
      <c r="A1326" s="2">
        <v>1326</v>
      </c>
      <c r="B1326" s="18">
        <v>45557.708287037036</v>
      </c>
      <c r="C1326" s="2" t="s">
        <v>348</v>
      </c>
      <c r="D1326" s="2" t="s">
        <v>68</v>
      </c>
      <c r="E1326" s="2" t="s">
        <v>363</v>
      </c>
      <c r="F1326" s="2" t="s">
        <v>57</v>
      </c>
      <c r="G1326" s="3">
        <v>745000</v>
      </c>
      <c r="H1326" s="8">
        <v>25</v>
      </c>
      <c r="I1326" s="3">
        <v>12106250</v>
      </c>
      <c r="J1326" s="3">
        <v>12106250</v>
      </c>
    </row>
    <row r="1327" spans="1:10" x14ac:dyDescent="0.25">
      <c r="A1327" s="2">
        <v>1327</v>
      </c>
      <c r="B1327" s="18">
        <v>45557.708287037036</v>
      </c>
      <c r="C1327" s="2" t="s">
        <v>348</v>
      </c>
      <c r="D1327" s="2" t="s">
        <v>68</v>
      </c>
      <c r="E1327" s="2" t="s">
        <v>363</v>
      </c>
      <c r="F1327" s="2" t="s">
        <v>31</v>
      </c>
      <c r="G1327" s="3">
        <v>745000</v>
      </c>
      <c r="H1327" s="8">
        <v>48</v>
      </c>
      <c r="I1327" s="3">
        <v>23244000</v>
      </c>
      <c r="J1327" s="3">
        <v>23244000</v>
      </c>
    </row>
    <row r="1328" spans="1:10" x14ac:dyDescent="0.25">
      <c r="A1328" s="2">
        <v>1328</v>
      </c>
      <c r="B1328" s="18">
        <v>45557.708287037036</v>
      </c>
      <c r="C1328" s="2" t="s">
        <v>348</v>
      </c>
      <c r="D1328" s="2" t="s">
        <v>68</v>
      </c>
      <c r="E1328" s="2" t="s">
        <v>363</v>
      </c>
      <c r="F1328" s="2" t="s">
        <v>33</v>
      </c>
      <c r="G1328" s="3">
        <v>485000</v>
      </c>
      <c r="H1328" s="8">
        <v>4</v>
      </c>
      <c r="I1328" s="3">
        <v>1261000</v>
      </c>
      <c r="J1328" s="3">
        <v>1261000</v>
      </c>
    </row>
    <row r="1329" spans="1:10" x14ac:dyDescent="0.25">
      <c r="A1329" s="2">
        <v>1329</v>
      </c>
      <c r="B1329" s="18">
        <v>45557.708287037036</v>
      </c>
      <c r="C1329" s="2" t="s">
        <v>348</v>
      </c>
      <c r="D1329" s="2" t="s">
        <v>68</v>
      </c>
      <c r="E1329" s="2" t="s">
        <v>363</v>
      </c>
      <c r="F1329" s="2" t="s">
        <v>59</v>
      </c>
      <c r="G1329" s="3">
        <v>475000</v>
      </c>
      <c r="H1329" s="8">
        <v>6</v>
      </c>
      <c r="I1329" s="3">
        <v>1852500</v>
      </c>
      <c r="J1329" s="3">
        <v>1852500</v>
      </c>
    </row>
    <row r="1330" spans="1:10" x14ac:dyDescent="0.25">
      <c r="A1330" s="2">
        <v>1330</v>
      </c>
      <c r="B1330" s="18">
        <v>45557.708287037036</v>
      </c>
      <c r="C1330" s="2" t="s">
        <v>348</v>
      </c>
      <c r="D1330" s="2" t="s">
        <v>111</v>
      </c>
      <c r="E1330" s="2" t="s">
        <v>370</v>
      </c>
      <c r="F1330" s="2" t="s">
        <v>61</v>
      </c>
      <c r="G1330" s="3">
        <v>890000</v>
      </c>
      <c r="H1330" s="8">
        <v>2</v>
      </c>
      <c r="I1330" s="3">
        <v>1281600</v>
      </c>
      <c r="J1330" s="3">
        <v>1281600</v>
      </c>
    </row>
    <row r="1331" spans="1:10" x14ac:dyDescent="0.25">
      <c r="A1331" s="2">
        <v>1331</v>
      </c>
      <c r="B1331" s="18">
        <v>45557.708287037036</v>
      </c>
      <c r="C1331" s="2" t="s">
        <v>348</v>
      </c>
      <c r="D1331" s="2" t="s">
        <v>111</v>
      </c>
      <c r="E1331" s="2" t="s">
        <v>370</v>
      </c>
      <c r="F1331" s="2" t="s">
        <v>83</v>
      </c>
      <c r="G1331" s="3">
        <v>790000</v>
      </c>
      <c r="H1331" s="8">
        <v>2</v>
      </c>
      <c r="I1331" s="3">
        <v>1137600</v>
      </c>
      <c r="J1331" s="3">
        <v>1137600</v>
      </c>
    </row>
    <row r="1332" spans="1:10" x14ac:dyDescent="0.25">
      <c r="A1332" s="2">
        <v>1332</v>
      </c>
      <c r="B1332" s="18">
        <v>45557.708287037036</v>
      </c>
      <c r="C1332" s="2" t="s">
        <v>348</v>
      </c>
      <c r="D1332" s="2" t="s">
        <v>111</v>
      </c>
      <c r="E1332" s="2" t="s">
        <v>370</v>
      </c>
      <c r="F1332" s="2" t="s">
        <v>57</v>
      </c>
      <c r="G1332" s="3">
        <v>745000</v>
      </c>
      <c r="H1332" s="8">
        <v>2</v>
      </c>
      <c r="I1332" s="3">
        <v>1072800</v>
      </c>
      <c r="J1332" s="3">
        <v>1072800</v>
      </c>
    </row>
    <row r="1333" spans="1:10" x14ac:dyDescent="0.25">
      <c r="A1333" s="2">
        <v>1333</v>
      </c>
      <c r="B1333" s="18">
        <v>45557.708287037036</v>
      </c>
      <c r="C1333" s="2" t="s">
        <v>348</v>
      </c>
      <c r="D1333" s="2" t="s">
        <v>334</v>
      </c>
      <c r="E1333" s="2" t="s">
        <v>365</v>
      </c>
      <c r="F1333" s="2" t="s">
        <v>31</v>
      </c>
      <c r="G1333" s="3">
        <v>745000</v>
      </c>
      <c r="H1333" s="8">
        <v>5</v>
      </c>
      <c r="I1333" s="3">
        <v>1862500</v>
      </c>
      <c r="J1333" s="3">
        <v>1862500</v>
      </c>
    </row>
    <row r="1334" spans="1:10" x14ac:dyDescent="0.25">
      <c r="A1334" s="2">
        <v>1334</v>
      </c>
      <c r="B1334" s="18">
        <v>45558.708287037036</v>
      </c>
      <c r="C1334" s="2" t="s">
        <v>348</v>
      </c>
      <c r="D1334" s="2" t="s">
        <v>264</v>
      </c>
      <c r="E1334" s="2" t="s">
        <v>371</v>
      </c>
      <c r="F1334" s="2" t="s">
        <v>31</v>
      </c>
      <c r="G1334" s="3">
        <v>745000</v>
      </c>
      <c r="H1334" s="8">
        <v>50</v>
      </c>
      <c r="I1334" s="3">
        <v>18625000</v>
      </c>
      <c r="J1334" s="3">
        <v>18625000</v>
      </c>
    </row>
    <row r="1335" spans="1:10" x14ac:dyDescent="0.25">
      <c r="A1335" s="2">
        <v>1335</v>
      </c>
      <c r="B1335" s="18">
        <v>45558.708287037036</v>
      </c>
      <c r="C1335" s="2" t="s">
        <v>348</v>
      </c>
      <c r="D1335" s="2" t="s">
        <v>264</v>
      </c>
      <c r="E1335" s="2" t="s">
        <v>371</v>
      </c>
      <c r="F1335" s="2" t="s">
        <v>57</v>
      </c>
      <c r="G1335" s="3">
        <v>745000</v>
      </c>
      <c r="H1335" s="8">
        <v>50</v>
      </c>
      <c r="I1335" s="3">
        <v>18625000</v>
      </c>
      <c r="J1335" s="3">
        <v>18625000</v>
      </c>
    </row>
    <row r="1336" spans="1:10" x14ac:dyDescent="0.25">
      <c r="A1336" s="2">
        <v>1336</v>
      </c>
      <c r="B1336" s="18">
        <v>45558.708287037036</v>
      </c>
      <c r="C1336" s="2" t="s">
        <v>348</v>
      </c>
      <c r="D1336" s="2" t="s">
        <v>321</v>
      </c>
      <c r="E1336" s="2" t="s">
        <v>363</v>
      </c>
      <c r="F1336" s="2" t="s">
        <v>421</v>
      </c>
      <c r="G1336" s="3">
        <v>0</v>
      </c>
      <c r="H1336" s="8">
        <v>0</v>
      </c>
      <c r="I1336" s="3">
        <v>0</v>
      </c>
      <c r="J1336" s="3">
        <v>0</v>
      </c>
    </row>
    <row r="1337" spans="1:10" x14ac:dyDescent="0.25">
      <c r="A1337" s="2">
        <v>1337</v>
      </c>
      <c r="B1337" s="18">
        <v>45559.708287037036</v>
      </c>
      <c r="C1337" s="2" t="s">
        <v>348</v>
      </c>
      <c r="D1337" s="2" t="s">
        <v>236</v>
      </c>
      <c r="E1337" s="2" t="s">
        <v>367</v>
      </c>
      <c r="F1337" s="2" t="s">
        <v>19</v>
      </c>
      <c r="G1337" s="3">
        <v>590000</v>
      </c>
      <c r="H1337" s="8">
        <v>1</v>
      </c>
      <c r="I1337" s="3">
        <v>415360</v>
      </c>
      <c r="J1337" s="3">
        <v>415360</v>
      </c>
    </row>
    <row r="1338" spans="1:10" x14ac:dyDescent="0.25">
      <c r="A1338" s="2">
        <v>1338</v>
      </c>
      <c r="B1338" s="18">
        <v>45559.708287037036</v>
      </c>
      <c r="C1338" s="2" t="s">
        <v>348</v>
      </c>
      <c r="D1338" s="2" t="s">
        <v>66</v>
      </c>
      <c r="E1338" s="2" t="s">
        <v>365</v>
      </c>
      <c r="F1338" s="2" t="s">
        <v>35</v>
      </c>
      <c r="G1338" s="3">
        <v>525000</v>
      </c>
      <c r="H1338" s="8">
        <v>1</v>
      </c>
      <c r="I1338" s="3">
        <v>341250</v>
      </c>
      <c r="J1338" s="3">
        <v>341250</v>
      </c>
    </row>
    <row r="1339" spans="1:10" x14ac:dyDescent="0.25">
      <c r="A1339" s="2">
        <v>1339</v>
      </c>
      <c r="B1339" s="18">
        <v>45559.708287037036</v>
      </c>
      <c r="C1339" s="2" t="s">
        <v>348</v>
      </c>
      <c r="D1339" s="2" t="s">
        <v>267</v>
      </c>
      <c r="E1339" s="2" t="s">
        <v>371</v>
      </c>
      <c r="F1339" s="2" t="s">
        <v>33</v>
      </c>
      <c r="G1339" s="3">
        <v>485000</v>
      </c>
      <c r="H1339" s="8">
        <v>707</v>
      </c>
      <c r="I1339" s="3">
        <v>154302750</v>
      </c>
      <c r="J1339" s="3">
        <v>154302750</v>
      </c>
    </row>
    <row r="1340" spans="1:10" x14ac:dyDescent="0.25">
      <c r="A1340" s="2">
        <v>1340</v>
      </c>
      <c r="B1340" s="18">
        <v>45559.708287037036</v>
      </c>
      <c r="C1340" s="2" t="s">
        <v>348</v>
      </c>
      <c r="D1340" s="2" t="s">
        <v>267</v>
      </c>
      <c r="E1340" s="2" t="s">
        <v>371</v>
      </c>
      <c r="F1340" s="2" t="s">
        <v>59</v>
      </c>
      <c r="G1340" s="3">
        <v>475000</v>
      </c>
      <c r="H1340" s="8">
        <v>618</v>
      </c>
      <c r="I1340" s="3">
        <v>132097499.99999999</v>
      </c>
      <c r="J1340" s="3">
        <v>132097499.99999999</v>
      </c>
    </row>
    <row r="1341" spans="1:10" x14ac:dyDescent="0.25">
      <c r="A1341" s="2">
        <v>1341</v>
      </c>
      <c r="B1341" s="18">
        <v>45559.708287037036</v>
      </c>
      <c r="C1341" s="2" t="s">
        <v>348</v>
      </c>
      <c r="D1341" s="2" t="s">
        <v>267</v>
      </c>
      <c r="E1341" s="2" t="s">
        <v>371</v>
      </c>
      <c r="F1341" s="2" t="s">
        <v>31</v>
      </c>
      <c r="G1341" s="3">
        <v>745000</v>
      </c>
      <c r="H1341" s="8">
        <v>38</v>
      </c>
      <c r="I1341" s="3">
        <v>14155000</v>
      </c>
      <c r="J1341" s="3">
        <v>14155000</v>
      </c>
    </row>
    <row r="1342" spans="1:10" x14ac:dyDescent="0.25">
      <c r="A1342" s="2">
        <v>1342</v>
      </c>
      <c r="B1342" s="18">
        <v>45559.708287037036</v>
      </c>
      <c r="C1342" s="2" t="s">
        <v>348</v>
      </c>
      <c r="D1342" s="2" t="s">
        <v>267</v>
      </c>
      <c r="E1342" s="2" t="s">
        <v>371</v>
      </c>
      <c r="F1342" s="2" t="s">
        <v>83</v>
      </c>
      <c r="G1342" s="3">
        <v>790000</v>
      </c>
      <c r="H1342" s="8">
        <v>34</v>
      </c>
      <c r="I1342" s="3">
        <v>13430000</v>
      </c>
      <c r="J1342" s="3">
        <v>13430000</v>
      </c>
    </row>
    <row r="1343" spans="1:10" x14ac:dyDescent="0.25">
      <c r="A1343" s="2">
        <v>1343</v>
      </c>
      <c r="B1343" s="18">
        <v>45559.708287037036</v>
      </c>
      <c r="C1343" s="2" t="s">
        <v>348</v>
      </c>
      <c r="D1343" s="2" t="s">
        <v>267</v>
      </c>
      <c r="E1343" s="2" t="s">
        <v>371</v>
      </c>
      <c r="F1343" s="2" t="s">
        <v>27</v>
      </c>
      <c r="G1343" s="3">
        <v>935000</v>
      </c>
      <c r="H1343" s="8">
        <v>40</v>
      </c>
      <c r="I1343" s="3">
        <v>18700000</v>
      </c>
      <c r="J1343" s="3">
        <v>18700000</v>
      </c>
    </row>
    <row r="1344" spans="1:10" x14ac:dyDescent="0.25">
      <c r="A1344" s="2">
        <v>1344</v>
      </c>
      <c r="B1344" s="18">
        <v>45560.708287037036</v>
      </c>
      <c r="C1344" s="2" t="s">
        <v>348</v>
      </c>
      <c r="D1344" s="2" t="s">
        <v>303</v>
      </c>
      <c r="E1344" s="2" t="s">
        <v>366</v>
      </c>
      <c r="F1344" s="2" t="s">
        <v>31</v>
      </c>
      <c r="G1344" s="3">
        <v>745000</v>
      </c>
      <c r="H1344" s="8">
        <v>10</v>
      </c>
      <c r="I1344" s="3">
        <v>4470000</v>
      </c>
      <c r="J1344" s="3">
        <v>4470000</v>
      </c>
    </row>
    <row r="1345" spans="1:10" x14ac:dyDescent="0.25">
      <c r="A1345" s="2">
        <v>1345</v>
      </c>
      <c r="B1345" s="18">
        <v>45560.708287037036</v>
      </c>
      <c r="C1345" s="2" t="s">
        <v>348</v>
      </c>
      <c r="D1345" s="2" t="s">
        <v>268</v>
      </c>
      <c r="E1345" s="2" t="s">
        <v>371</v>
      </c>
      <c r="F1345" s="2" t="s">
        <v>57</v>
      </c>
      <c r="G1345" s="3">
        <v>745000</v>
      </c>
      <c r="H1345" s="8">
        <v>33</v>
      </c>
      <c r="I1345" s="3">
        <v>12292500</v>
      </c>
      <c r="J1345" s="3">
        <v>12292500</v>
      </c>
    </row>
    <row r="1346" spans="1:10" x14ac:dyDescent="0.25">
      <c r="A1346" s="2">
        <v>1346</v>
      </c>
      <c r="B1346" s="18">
        <v>45560.708287037036</v>
      </c>
      <c r="C1346" s="2" t="s">
        <v>348</v>
      </c>
      <c r="D1346" s="2" t="s">
        <v>268</v>
      </c>
      <c r="E1346" s="2" t="s">
        <v>371</v>
      </c>
      <c r="F1346" s="2" t="s">
        <v>83</v>
      </c>
      <c r="G1346" s="3">
        <v>790000</v>
      </c>
      <c r="H1346" s="8">
        <v>6</v>
      </c>
      <c r="I1346" s="3">
        <v>2370000</v>
      </c>
      <c r="J1346" s="3">
        <v>2370000</v>
      </c>
    </row>
    <row r="1347" spans="1:10" x14ac:dyDescent="0.25">
      <c r="A1347" s="2">
        <v>1347</v>
      </c>
      <c r="B1347" s="18">
        <v>45560.708287037036</v>
      </c>
      <c r="C1347" s="2" t="s">
        <v>348</v>
      </c>
      <c r="D1347" s="2" t="s">
        <v>268</v>
      </c>
      <c r="E1347" s="2" t="s">
        <v>371</v>
      </c>
      <c r="F1347" s="2" t="s">
        <v>19</v>
      </c>
      <c r="G1347" s="3">
        <v>590000</v>
      </c>
      <c r="H1347" s="8">
        <v>30</v>
      </c>
      <c r="I1347" s="3">
        <v>8850000</v>
      </c>
      <c r="J1347" s="3">
        <v>8850000</v>
      </c>
    </row>
    <row r="1348" spans="1:10" x14ac:dyDescent="0.25">
      <c r="A1348" s="2">
        <v>1348</v>
      </c>
      <c r="B1348" s="18">
        <v>45561.708287037036</v>
      </c>
      <c r="C1348" s="2" t="s">
        <v>348</v>
      </c>
      <c r="D1348" s="2" t="s">
        <v>119</v>
      </c>
      <c r="E1348" s="2" t="s">
        <v>370</v>
      </c>
      <c r="F1348" s="2" t="s">
        <v>83</v>
      </c>
      <c r="G1348" s="3">
        <v>790000</v>
      </c>
      <c r="H1348" s="8">
        <v>2</v>
      </c>
      <c r="I1348" s="3">
        <v>1137600</v>
      </c>
      <c r="J1348" s="3">
        <v>1137600</v>
      </c>
    </row>
    <row r="1349" spans="1:10" x14ac:dyDescent="0.25">
      <c r="A1349" s="2">
        <v>1349</v>
      </c>
      <c r="B1349" s="18">
        <v>45561.708287037036</v>
      </c>
      <c r="C1349" s="2" t="s">
        <v>348</v>
      </c>
      <c r="D1349" s="2" t="s">
        <v>119</v>
      </c>
      <c r="E1349" s="2" t="s">
        <v>370</v>
      </c>
      <c r="F1349" s="2" t="s">
        <v>35</v>
      </c>
      <c r="G1349" s="3">
        <v>525000</v>
      </c>
      <c r="H1349" s="8">
        <v>1</v>
      </c>
      <c r="I1349" s="3">
        <v>378000</v>
      </c>
      <c r="J1349" s="3">
        <v>378000</v>
      </c>
    </row>
    <row r="1350" spans="1:10" x14ac:dyDescent="0.25">
      <c r="A1350" s="2">
        <v>1350</v>
      </c>
      <c r="B1350" s="18">
        <v>45561.708287037036</v>
      </c>
      <c r="C1350" s="2" t="s">
        <v>348</v>
      </c>
      <c r="D1350" s="2" t="s">
        <v>283</v>
      </c>
      <c r="E1350" s="2" t="s">
        <v>369</v>
      </c>
      <c r="F1350" s="2" t="s">
        <v>23</v>
      </c>
      <c r="G1350" s="3">
        <v>775000</v>
      </c>
      <c r="H1350" s="8">
        <v>10</v>
      </c>
      <c r="I1350" s="3">
        <v>5812500</v>
      </c>
      <c r="J1350" s="3">
        <v>5812500</v>
      </c>
    </row>
    <row r="1351" spans="1:10" x14ac:dyDescent="0.25">
      <c r="A1351" s="2">
        <v>1351</v>
      </c>
      <c r="B1351" s="18">
        <v>45561.708287037036</v>
      </c>
      <c r="C1351" s="2" t="s">
        <v>348</v>
      </c>
      <c r="D1351" s="2" t="s">
        <v>283</v>
      </c>
      <c r="E1351" s="2" t="s">
        <v>369</v>
      </c>
      <c r="F1351" s="2" t="s">
        <v>29</v>
      </c>
      <c r="G1351" s="3">
        <v>590000</v>
      </c>
      <c r="H1351" s="8">
        <v>5</v>
      </c>
      <c r="I1351" s="3">
        <v>1475000</v>
      </c>
      <c r="J1351" s="3">
        <v>1475000</v>
      </c>
    </row>
    <row r="1352" spans="1:10" x14ac:dyDescent="0.25">
      <c r="A1352" s="2">
        <v>1352</v>
      </c>
      <c r="B1352" s="18">
        <v>45561.708287037036</v>
      </c>
      <c r="C1352" s="2" t="s">
        <v>348</v>
      </c>
      <c r="D1352" s="2" t="s">
        <v>283</v>
      </c>
      <c r="E1352" s="2" t="s">
        <v>369</v>
      </c>
      <c r="F1352" s="2" t="s">
        <v>85</v>
      </c>
      <c r="G1352" s="3">
        <v>480000</v>
      </c>
      <c r="H1352" s="8">
        <v>5</v>
      </c>
      <c r="I1352" s="3">
        <v>1200000</v>
      </c>
      <c r="J1352" s="3">
        <v>1200000</v>
      </c>
    </row>
    <row r="1353" spans="1:10" x14ac:dyDescent="0.25">
      <c r="A1353" s="2">
        <v>1353</v>
      </c>
      <c r="B1353" s="18">
        <v>45561.708287037036</v>
      </c>
      <c r="C1353" s="2" t="s">
        <v>348</v>
      </c>
      <c r="D1353" s="2" t="s">
        <v>317</v>
      </c>
      <c r="E1353" s="2" t="s">
        <v>363</v>
      </c>
      <c r="F1353" s="2" t="s">
        <v>73</v>
      </c>
      <c r="G1353" s="3">
        <v>1350000</v>
      </c>
      <c r="H1353" s="8">
        <v>240</v>
      </c>
      <c r="I1353" s="3">
        <v>226800000</v>
      </c>
      <c r="J1353" s="3">
        <v>226800000</v>
      </c>
    </row>
    <row r="1354" spans="1:10" x14ac:dyDescent="0.25">
      <c r="A1354" s="2">
        <v>1354</v>
      </c>
      <c r="B1354" s="18">
        <v>45561.708287037036</v>
      </c>
      <c r="C1354" s="2" t="s">
        <v>348</v>
      </c>
      <c r="D1354" s="2" t="s">
        <v>66</v>
      </c>
      <c r="E1354" s="2" t="s">
        <v>365</v>
      </c>
      <c r="F1354" s="2" t="s">
        <v>35</v>
      </c>
      <c r="G1354" s="3">
        <v>525000</v>
      </c>
      <c r="H1354" s="8">
        <v>5</v>
      </c>
      <c r="I1354" s="3">
        <v>1706250</v>
      </c>
      <c r="J1354" s="3">
        <v>1706250</v>
      </c>
    </row>
    <row r="1355" spans="1:10" x14ac:dyDescent="0.25">
      <c r="A1355" s="2">
        <v>1355</v>
      </c>
      <c r="B1355" s="18">
        <v>45562.708287037036</v>
      </c>
      <c r="C1355" s="2" t="s">
        <v>348</v>
      </c>
      <c r="D1355" s="2" t="s">
        <v>112</v>
      </c>
      <c r="E1355" s="2" t="s">
        <v>370</v>
      </c>
      <c r="F1355" s="2" t="s">
        <v>29</v>
      </c>
      <c r="G1355" s="3">
        <v>590000</v>
      </c>
      <c r="H1355" s="8">
        <v>2</v>
      </c>
      <c r="I1355" s="3">
        <v>849600</v>
      </c>
      <c r="J1355" s="3">
        <v>849600</v>
      </c>
    </row>
    <row r="1356" spans="1:10" x14ac:dyDescent="0.25">
      <c r="A1356" s="2">
        <v>1356</v>
      </c>
      <c r="B1356" s="18">
        <v>45562.708287037036</v>
      </c>
      <c r="C1356" s="2" t="s">
        <v>348</v>
      </c>
      <c r="D1356" s="2" t="s">
        <v>66</v>
      </c>
      <c r="E1356" s="2" t="s">
        <v>365</v>
      </c>
      <c r="F1356" s="2" t="s">
        <v>27</v>
      </c>
      <c r="G1356" s="3">
        <v>935000</v>
      </c>
      <c r="H1356" s="8">
        <v>1</v>
      </c>
      <c r="I1356" s="3">
        <v>607750</v>
      </c>
      <c r="J1356" s="3">
        <v>607750</v>
      </c>
    </row>
    <row r="1357" spans="1:10" x14ac:dyDescent="0.25">
      <c r="A1357" s="2">
        <v>1357</v>
      </c>
      <c r="B1357" s="18">
        <v>45564.708287037036</v>
      </c>
      <c r="C1357" s="2" t="s">
        <v>348</v>
      </c>
      <c r="D1357" s="2" t="s">
        <v>293</v>
      </c>
      <c r="E1357" s="2" t="s">
        <v>369</v>
      </c>
      <c r="F1357" s="2" t="s">
        <v>31</v>
      </c>
      <c r="G1357" s="3">
        <v>745000</v>
      </c>
      <c r="H1357" s="8">
        <v>10</v>
      </c>
      <c r="I1357" s="3">
        <v>5587500</v>
      </c>
      <c r="J1357" s="3">
        <v>5587500</v>
      </c>
    </row>
    <row r="1358" spans="1:10" x14ac:dyDescent="0.25">
      <c r="A1358" s="2">
        <v>1358</v>
      </c>
      <c r="B1358" s="18">
        <v>45564.708287037036</v>
      </c>
      <c r="C1358" s="2" t="s">
        <v>348</v>
      </c>
      <c r="D1358" s="2" t="s">
        <v>293</v>
      </c>
      <c r="E1358" s="2" t="s">
        <v>369</v>
      </c>
      <c r="F1358" s="2" t="s">
        <v>33</v>
      </c>
      <c r="G1358" s="3">
        <v>485000</v>
      </c>
      <c r="H1358" s="8">
        <v>10</v>
      </c>
      <c r="I1358" s="3">
        <v>0</v>
      </c>
      <c r="J1358" s="3">
        <v>0</v>
      </c>
    </row>
    <row r="1359" spans="1:10" x14ac:dyDescent="0.25">
      <c r="A1359" s="2">
        <v>1359</v>
      </c>
      <c r="B1359" s="18">
        <v>45564.708287037036</v>
      </c>
      <c r="C1359" s="2" t="s">
        <v>348</v>
      </c>
      <c r="D1359" s="2" t="s">
        <v>293</v>
      </c>
      <c r="E1359" s="2" t="s">
        <v>369</v>
      </c>
      <c r="F1359" s="2" t="s">
        <v>57</v>
      </c>
      <c r="G1359" s="3">
        <v>745000</v>
      </c>
      <c r="H1359" s="8">
        <v>10</v>
      </c>
      <c r="I1359" s="3">
        <v>5587500</v>
      </c>
      <c r="J1359" s="3">
        <v>5587500</v>
      </c>
    </row>
    <row r="1360" spans="1:10" x14ac:dyDescent="0.25">
      <c r="A1360" s="2">
        <v>1360</v>
      </c>
      <c r="B1360" s="18">
        <v>45564.708287037036</v>
      </c>
      <c r="C1360" s="2" t="s">
        <v>348</v>
      </c>
      <c r="D1360" s="2" t="s">
        <v>293</v>
      </c>
      <c r="E1360" s="2" t="s">
        <v>369</v>
      </c>
      <c r="F1360" s="2" t="s">
        <v>59</v>
      </c>
      <c r="G1360" s="3">
        <v>475000</v>
      </c>
      <c r="H1360" s="8">
        <v>5</v>
      </c>
      <c r="I1360" s="3">
        <v>0</v>
      </c>
      <c r="J1360" s="3">
        <v>0</v>
      </c>
    </row>
    <row r="1361" spans="1:10" x14ac:dyDescent="0.25">
      <c r="A1361" s="2">
        <v>1361</v>
      </c>
      <c r="B1361" s="18">
        <v>45564.708287037036</v>
      </c>
      <c r="C1361" s="2" t="s">
        <v>348</v>
      </c>
      <c r="D1361" s="2" t="s">
        <v>293</v>
      </c>
      <c r="E1361" s="2" t="s">
        <v>369</v>
      </c>
      <c r="F1361" s="2" t="s">
        <v>89</v>
      </c>
      <c r="G1361" s="3">
        <v>390000</v>
      </c>
      <c r="H1361" s="8">
        <v>5</v>
      </c>
      <c r="I1361" s="3">
        <v>0</v>
      </c>
      <c r="J1361" s="3">
        <v>0</v>
      </c>
    </row>
    <row r="1362" spans="1:10" x14ac:dyDescent="0.25">
      <c r="A1362" s="2">
        <v>1362</v>
      </c>
      <c r="B1362" s="18">
        <v>45564.708287037036</v>
      </c>
      <c r="C1362" s="2" t="s">
        <v>348</v>
      </c>
      <c r="D1362" s="2" t="s">
        <v>117</v>
      </c>
      <c r="E1362" s="2" t="s">
        <v>370</v>
      </c>
      <c r="F1362" s="2" t="s">
        <v>29</v>
      </c>
      <c r="G1362" s="3">
        <v>590000</v>
      </c>
      <c r="H1362" s="8">
        <v>1</v>
      </c>
      <c r="I1362" s="3">
        <v>424800</v>
      </c>
      <c r="J1362" s="3">
        <v>424800</v>
      </c>
    </row>
    <row r="1363" spans="1:10" x14ac:dyDescent="0.25">
      <c r="A1363" s="2">
        <v>1363</v>
      </c>
      <c r="B1363" s="18">
        <v>45564.708287037036</v>
      </c>
      <c r="C1363" s="2" t="s">
        <v>348</v>
      </c>
      <c r="D1363" s="2" t="s">
        <v>117</v>
      </c>
      <c r="E1363" s="2" t="s">
        <v>370</v>
      </c>
      <c r="F1363" s="2" t="s">
        <v>19</v>
      </c>
      <c r="G1363" s="3">
        <v>590000</v>
      </c>
      <c r="H1363" s="8">
        <v>2</v>
      </c>
      <c r="I1363" s="3">
        <v>849600</v>
      </c>
      <c r="J1363" s="3">
        <v>849600</v>
      </c>
    </row>
    <row r="1364" spans="1:10" x14ac:dyDescent="0.25">
      <c r="A1364" s="2">
        <v>1364</v>
      </c>
      <c r="B1364" s="18">
        <v>45564.708287037036</v>
      </c>
      <c r="C1364" s="2" t="s">
        <v>348</v>
      </c>
      <c r="D1364" s="2" t="s">
        <v>114</v>
      </c>
      <c r="E1364" s="2" t="s">
        <v>370</v>
      </c>
      <c r="F1364" s="2" t="s">
        <v>69</v>
      </c>
      <c r="G1364" s="3">
        <v>1450000</v>
      </c>
      <c r="H1364" s="8">
        <v>1</v>
      </c>
      <c r="I1364" s="3">
        <v>0</v>
      </c>
      <c r="J1364" s="3">
        <v>0</v>
      </c>
    </row>
    <row r="1365" spans="1:10" x14ac:dyDescent="0.25">
      <c r="A1365" s="2">
        <v>1365</v>
      </c>
      <c r="B1365" s="18">
        <v>45564.708287037036</v>
      </c>
      <c r="C1365" s="2" t="s">
        <v>348</v>
      </c>
      <c r="D1365" s="2" t="s">
        <v>114</v>
      </c>
      <c r="E1365" s="2" t="s">
        <v>370</v>
      </c>
      <c r="F1365" s="2" t="s">
        <v>67</v>
      </c>
      <c r="G1365" s="3">
        <v>945000</v>
      </c>
      <c r="H1365" s="8">
        <v>1</v>
      </c>
      <c r="I1365" s="3">
        <v>0</v>
      </c>
      <c r="J1365" s="3">
        <v>0</v>
      </c>
    </row>
    <row r="1366" spans="1:10" x14ac:dyDescent="0.25">
      <c r="A1366" s="2">
        <v>1366</v>
      </c>
      <c r="B1366" s="18">
        <v>45564.708287037036</v>
      </c>
      <c r="C1366" s="2" t="s">
        <v>348</v>
      </c>
      <c r="D1366" s="2" t="s">
        <v>285</v>
      </c>
      <c r="E1366" s="2" t="s">
        <v>369</v>
      </c>
      <c r="F1366" s="2" t="s">
        <v>21</v>
      </c>
      <c r="G1366" s="3">
        <v>890000</v>
      </c>
      <c r="H1366" s="8">
        <v>1</v>
      </c>
      <c r="I1366" s="3">
        <v>667500</v>
      </c>
      <c r="J1366" s="3">
        <v>667500</v>
      </c>
    </row>
    <row r="1367" spans="1:10" x14ac:dyDescent="0.25">
      <c r="A1367" s="2">
        <v>1367</v>
      </c>
      <c r="B1367" s="18">
        <v>45564.708287037036</v>
      </c>
      <c r="C1367" s="2" t="s">
        <v>348</v>
      </c>
      <c r="D1367" s="2" t="s">
        <v>285</v>
      </c>
      <c r="E1367" s="2" t="s">
        <v>369</v>
      </c>
      <c r="F1367" s="2" t="s">
        <v>89</v>
      </c>
      <c r="G1367" s="3">
        <v>390000</v>
      </c>
      <c r="H1367" s="8">
        <v>1</v>
      </c>
      <c r="I1367" s="3">
        <v>0</v>
      </c>
      <c r="J1367" s="3">
        <v>0</v>
      </c>
    </row>
    <row r="1368" spans="1:10" x14ac:dyDescent="0.25">
      <c r="A1368" s="2">
        <v>1368</v>
      </c>
      <c r="B1368" s="18">
        <v>45564.708287037036</v>
      </c>
      <c r="C1368" s="2" t="s">
        <v>348</v>
      </c>
      <c r="D1368" s="2" t="s">
        <v>34</v>
      </c>
      <c r="E1368" s="2" t="s">
        <v>370</v>
      </c>
      <c r="F1368" s="2" t="s">
        <v>421</v>
      </c>
      <c r="G1368" s="3">
        <v>0</v>
      </c>
      <c r="H1368" s="8">
        <v>0</v>
      </c>
      <c r="I1368" s="3">
        <v>0</v>
      </c>
      <c r="J1368" s="3">
        <v>0</v>
      </c>
    </row>
    <row r="1369" spans="1:10" x14ac:dyDescent="0.25">
      <c r="A1369" s="2">
        <v>1369</v>
      </c>
      <c r="B1369" s="18">
        <v>45564.708287037036</v>
      </c>
      <c r="C1369" s="2" t="s">
        <v>348</v>
      </c>
      <c r="D1369" s="2" t="s">
        <v>34</v>
      </c>
      <c r="E1369" s="2" t="s">
        <v>370</v>
      </c>
      <c r="F1369" s="2" t="s">
        <v>421</v>
      </c>
      <c r="G1369" s="3">
        <v>0</v>
      </c>
      <c r="H1369" s="8">
        <v>0</v>
      </c>
      <c r="I1369" s="3">
        <v>0</v>
      </c>
      <c r="J1369" s="3">
        <v>0</v>
      </c>
    </row>
    <row r="1370" spans="1:10" x14ac:dyDescent="0.25">
      <c r="A1370" s="2">
        <v>1370</v>
      </c>
      <c r="B1370" s="18">
        <v>45564.708287037036</v>
      </c>
      <c r="C1370" s="2" t="s">
        <v>348</v>
      </c>
      <c r="D1370" s="2" t="s">
        <v>253</v>
      </c>
      <c r="E1370" s="2" t="s">
        <v>370</v>
      </c>
      <c r="F1370" s="2" t="s">
        <v>61</v>
      </c>
      <c r="G1370" s="3">
        <v>890000</v>
      </c>
      <c r="H1370" s="8">
        <v>5</v>
      </c>
      <c r="I1370" s="3">
        <v>3204000</v>
      </c>
      <c r="J1370" s="3">
        <v>3204000</v>
      </c>
    </row>
    <row r="1371" spans="1:10" x14ac:dyDescent="0.25">
      <c r="A1371" s="2">
        <v>1371</v>
      </c>
      <c r="B1371" s="18">
        <v>45564.708287037036</v>
      </c>
      <c r="C1371" s="2" t="s">
        <v>348</v>
      </c>
      <c r="D1371" s="2" t="s">
        <v>253</v>
      </c>
      <c r="E1371" s="2" t="s">
        <v>370</v>
      </c>
      <c r="F1371" s="2" t="s">
        <v>83</v>
      </c>
      <c r="G1371" s="3">
        <v>790000</v>
      </c>
      <c r="H1371" s="8">
        <v>5</v>
      </c>
      <c r="I1371" s="3">
        <v>2844000</v>
      </c>
      <c r="J1371" s="3">
        <v>2844000</v>
      </c>
    </row>
    <row r="1372" spans="1:10" x14ac:dyDescent="0.25">
      <c r="A1372" s="2">
        <v>1372</v>
      </c>
      <c r="B1372" s="18">
        <v>45564.708287037036</v>
      </c>
      <c r="C1372" s="2" t="s">
        <v>348</v>
      </c>
      <c r="D1372" s="2" t="s">
        <v>253</v>
      </c>
      <c r="E1372" s="2" t="s">
        <v>370</v>
      </c>
      <c r="F1372" s="2" t="s">
        <v>31</v>
      </c>
      <c r="G1372" s="3">
        <v>745000</v>
      </c>
      <c r="H1372" s="8">
        <v>7</v>
      </c>
      <c r="I1372" s="3">
        <v>3754800</v>
      </c>
      <c r="J1372" s="3">
        <v>3754800</v>
      </c>
    </row>
    <row r="1373" spans="1:10" x14ac:dyDescent="0.25">
      <c r="A1373" s="2">
        <v>1373</v>
      </c>
      <c r="B1373" s="18">
        <v>45564.708287037036</v>
      </c>
      <c r="C1373" s="2" t="s">
        <v>348</v>
      </c>
      <c r="D1373" s="2" t="s">
        <v>253</v>
      </c>
      <c r="E1373" s="2" t="s">
        <v>370</v>
      </c>
      <c r="F1373" s="2" t="s">
        <v>19</v>
      </c>
      <c r="G1373" s="3">
        <v>590000</v>
      </c>
      <c r="H1373" s="8">
        <v>9</v>
      </c>
      <c r="I1373" s="3">
        <v>3823200</v>
      </c>
      <c r="J1373" s="3">
        <v>3823200</v>
      </c>
    </row>
    <row r="1374" spans="1:10" x14ac:dyDescent="0.25">
      <c r="A1374" s="2">
        <v>1374</v>
      </c>
      <c r="B1374" s="18">
        <v>45564.708287037036</v>
      </c>
      <c r="C1374" s="2" t="s">
        <v>348</v>
      </c>
      <c r="D1374" s="2" t="s">
        <v>253</v>
      </c>
      <c r="E1374" s="2" t="s">
        <v>370</v>
      </c>
      <c r="F1374" s="2" t="s">
        <v>35</v>
      </c>
      <c r="G1374" s="3">
        <v>525000</v>
      </c>
      <c r="H1374" s="8">
        <v>3</v>
      </c>
      <c r="I1374" s="3">
        <v>1134000</v>
      </c>
      <c r="J1374" s="3">
        <v>1134000</v>
      </c>
    </row>
    <row r="1375" spans="1:10" x14ac:dyDescent="0.25">
      <c r="A1375" s="2">
        <v>1375</v>
      </c>
      <c r="B1375" s="18">
        <v>45564.708287037036</v>
      </c>
      <c r="C1375" s="2" t="s">
        <v>348</v>
      </c>
      <c r="D1375" s="2" t="s">
        <v>253</v>
      </c>
      <c r="E1375" s="2" t="s">
        <v>370</v>
      </c>
      <c r="F1375" s="2" t="s">
        <v>27</v>
      </c>
      <c r="G1375" s="3">
        <v>935000</v>
      </c>
      <c r="H1375" s="8">
        <v>4</v>
      </c>
      <c r="I1375" s="3">
        <v>2692800</v>
      </c>
      <c r="J1375" s="3">
        <v>2692800</v>
      </c>
    </row>
    <row r="1376" spans="1:10" x14ac:dyDescent="0.25">
      <c r="A1376" s="2">
        <v>1376</v>
      </c>
      <c r="B1376" s="18">
        <v>45564.708287037036</v>
      </c>
      <c r="C1376" s="2" t="s">
        <v>348</v>
      </c>
      <c r="D1376" s="2" t="s">
        <v>74</v>
      </c>
      <c r="E1376" s="2" t="s">
        <v>369</v>
      </c>
      <c r="F1376" s="2" t="s">
        <v>49</v>
      </c>
      <c r="G1376" s="3">
        <v>200000</v>
      </c>
      <c r="H1376" s="8">
        <v>17</v>
      </c>
      <c r="I1376" s="3">
        <v>0</v>
      </c>
      <c r="J1376" s="3">
        <v>0</v>
      </c>
    </row>
    <row r="1377" spans="1:10" x14ac:dyDescent="0.25">
      <c r="A1377" s="2">
        <v>1377</v>
      </c>
      <c r="B1377" s="18">
        <v>45564.708287037036</v>
      </c>
      <c r="C1377" s="2" t="s">
        <v>348</v>
      </c>
      <c r="D1377" s="2" t="s">
        <v>74</v>
      </c>
      <c r="E1377" s="2" t="s">
        <v>369</v>
      </c>
      <c r="F1377" s="2" t="s">
        <v>85</v>
      </c>
      <c r="G1377" s="3">
        <v>480000</v>
      </c>
      <c r="H1377" s="8">
        <v>6</v>
      </c>
      <c r="I1377" s="3">
        <v>1440000</v>
      </c>
      <c r="J1377" s="3">
        <v>1440000</v>
      </c>
    </row>
    <row r="1378" spans="1:10" x14ac:dyDescent="0.25">
      <c r="A1378" s="2">
        <v>1378</v>
      </c>
      <c r="B1378" s="18">
        <v>45564.708287037036</v>
      </c>
      <c r="C1378" s="2" t="s">
        <v>348</v>
      </c>
      <c r="D1378" s="2" t="s">
        <v>74</v>
      </c>
      <c r="E1378" s="2" t="s">
        <v>369</v>
      </c>
      <c r="F1378" s="2" t="s">
        <v>19</v>
      </c>
      <c r="G1378" s="3">
        <v>590000</v>
      </c>
      <c r="H1378" s="8">
        <v>2</v>
      </c>
      <c r="I1378" s="3">
        <v>590000</v>
      </c>
      <c r="J1378" s="3">
        <v>590000</v>
      </c>
    </row>
    <row r="1379" spans="1:10" x14ac:dyDescent="0.25">
      <c r="A1379" s="2">
        <v>1379</v>
      </c>
      <c r="B1379" s="18">
        <v>45564.708287037036</v>
      </c>
      <c r="C1379" s="2" t="s">
        <v>348</v>
      </c>
      <c r="D1379" s="2" t="s">
        <v>74</v>
      </c>
      <c r="E1379" s="2" t="s">
        <v>369</v>
      </c>
      <c r="F1379" s="2" t="s">
        <v>29</v>
      </c>
      <c r="G1379" s="3">
        <v>590000</v>
      </c>
      <c r="H1379" s="8">
        <v>4</v>
      </c>
      <c r="I1379" s="3">
        <v>1180000</v>
      </c>
      <c r="J1379" s="3">
        <v>1180000</v>
      </c>
    </row>
    <row r="1380" spans="1:10" x14ac:dyDescent="0.25">
      <c r="A1380" s="2">
        <v>1380</v>
      </c>
      <c r="B1380" s="18">
        <v>45564.708287037036</v>
      </c>
      <c r="C1380" s="2" t="s">
        <v>348</v>
      </c>
      <c r="D1380" s="2" t="s">
        <v>74</v>
      </c>
      <c r="E1380" s="2" t="s">
        <v>369</v>
      </c>
      <c r="F1380" s="2" t="s">
        <v>63</v>
      </c>
      <c r="G1380" s="3">
        <v>550000</v>
      </c>
      <c r="H1380" s="8">
        <v>2</v>
      </c>
      <c r="I1380" s="3">
        <v>550000</v>
      </c>
      <c r="J1380" s="3">
        <v>550000</v>
      </c>
    </row>
    <row r="1381" spans="1:10" x14ac:dyDescent="0.25">
      <c r="A1381" s="2">
        <v>1381</v>
      </c>
      <c r="B1381" s="18">
        <v>45564.708287037036</v>
      </c>
      <c r="C1381" s="2" t="s">
        <v>348</v>
      </c>
      <c r="D1381" s="2" t="s">
        <v>74</v>
      </c>
      <c r="E1381" s="2" t="s">
        <v>369</v>
      </c>
      <c r="F1381" s="2" t="s">
        <v>59</v>
      </c>
      <c r="G1381" s="3">
        <v>475000</v>
      </c>
      <c r="H1381" s="8">
        <v>8</v>
      </c>
      <c r="I1381" s="3">
        <v>1900000</v>
      </c>
      <c r="J1381" s="3">
        <v>1900000</v>
      </c>
    </row>
    <row r="1382" spans="1:10" x14ac:dyDescent="0.25">
      <c r="A1382" s="2">
        <v>1382</v>
      </c>
      <c r="B1382" s="18">
        <v>45564.708287037036</v>
      </c>
      <c r="C1382" s="2" t="s">
        <v>348</v>
      </c>
      <c r="D1382" s="2" t="s">
        <v>74</v>
      </c>
      <c r="E1382" s="2" t="s">
        <v>369</v>
      </c>
      <c r="F1382" s="2" t="s">
        <v>33</v>
      </c>
      <c r="G1382" s="3">
        <v>485000</v>
      </c>
      <c r="H1382" s="8">
        <v>11</v>
      </c>
      <c r="I1382" s="3">
        <v>2667500</v>
      </c>
      <c r="J1382" s="3">
        <v>2667500</v>
      </c>
    </row>
    <row r="1383" spans="1:10" x14ac:dyDescent="0.25">
      <c r="A1383" s="2">
        <v>1383</v>
      </c>
      <c r="B1383" s="18">
        <v>45564.708287037036</v>
      </c>
      <c r="C1383" s="2" t="s">
        <v>348</v>
      </c>
      <c r="D1383" s="2" t="s">
        <v>74</v>
      </c>
      <c r="E1383" s="2" t="s">
        <v>369</v>
      </c>
      <c r="F1383" s="2" t="s">
        <v>89</v>
      </c>
      <c r="G1383" s="3">
        <v>390000</v>
      </c>
      <c r="H1383" s="8">
        <v>15</v>
      </c>
      <c r="I1383" s="3">
        <v>0</v>
      </c>
      <c r="J1383" s="3">
        <v>0</v>
      </c>
    </row>
    <row r="1384" spans="1:10" x14ac:dyDescent="0.25">
      <c r="A1384" s="2">
        <v>1384</v>
      </c>
      <c r="B1384" s="18">
        <v>45564.708287037036</v>
      </c>
      <c r="C1384" s="2" t="s">
        <v>348</v>
      </c>
      <c r="D1384" s="2" t="s">
        <v>338</v>
      </c>
      <c r="E1384" s="2" t="s">
        <v>370</v>
      </c>
      <c r="F1384" s="2" t="s">
        <v>27</v>
      </c>
      <c r="G1384" s="3">
        <v>935000</v>
      </c>
      <c r="H1384" s="8">
        <v>2</v>
      </c>
      <c r="I1384" s="3">
        <v>1033500.38</v>
      </c>
      <c r="J1384" s="3">
        <v>1033500.38</v>
      </c>
    </row>
    <row r="1385" spans="1:10" x14ac:dyDescent="0.25">
      <c r="A1385" s="2">
        <v>1385</v>
      </c>
      <c r="B1385" s="18">
        <v>45564.708287037036</v>
      </c>
      <c r="C1385" s="2" t="s">
        <v>348</v>
      </c>
      <c r="D1385" s="2" t="s">
        <v>338</v>
      </c>
      <c r="E1385" s="2" t="s">
        <v>370</v>
      </c>
      <c r="F1385" s="2" t="s">
        <v>19</v>
      </c>
      <c r="G1385" s="3">
        <v>590000</v>
      </c>
      <c r="H1385" s="8">
        <v>1</v>
      </c>
      <c r="I1385" s="3">
        <v>326300.09</v>
      </c>
      <c r="J1385" s="3">
        <v>326300.09</v>
      </c>
    </row>
    <row r="1386" spans="1:10" x14ac:dyDescent="0.25">
      <c r="A1386" s="2">
        <v>1386</v>
      </c>
      <c r="B1386" s="18">
        <v>45564.708287037036</v>
      </c>
      <c r="C1386" s="2" t="s">
        <v>348</v>
      </c>
      <c r="D1386" s="2" t="s">
        <v>338</v>
      </c>
      <c r="E1386" s="2" t="s">
        <v>370</v>
      </c>
      <c r="F1386" s="2" t="s">
        <v>61</v>
      </c>
      <c r="G1386" s="3">
        <v>890000</v>
      </c>
      <c r="H1386" s="8">
        <v>4</v>
      </c>
      <c r="I1386" s="3">
        <v>1968199.4</v>
      </c>
      <c r="J1386" s="3">
        <v>1968199.4</v>
      </c>
    </row>
    <row r="1387" spans="1:10" x14ac:dyDescent="0.25">
      <c r="A1387" s="2">
        <v>1387</v>
      </c>
      <c r="B1387" s="18">
        <v>45564.708287037036</v>
      </c>
      <c r="C1387" s="2" t="s">
        <v>348</v>
      </c>
      <c r="D1387" s="2" t="s">
        <v>338</v>
      </c>
      <c r="E1387" s="2" t="s">
        <v>370</v>
      </c>
      <c r="F1387" s="2" t="s">
        <v>35</v>
      </c>
      <c r="G1387" s="3">
        <v>525000</v>
      </c>
      <c r="H1387" s="8">
        <v>1</v>
      </c>
      <c r="I1387" s="3">
        <v>290550.225</v>
      </c>
      <c r="J1387" s="3">
        <v>290550.225</v>
      </c>
    </row>
    <row r="1388" spans="1:10" x14ac:dyDescent="0.25">
      <c r="A1388" s="2">
        <v>1388</v>
      </c>
      <c r="B1388" s="18">
        <v>45564.708287037036</v>
      </c>
      <c r="C1388" s="2" t="s">
        <v>348</v>
      </c>
      <c r="D1388" s="2" t="s">
        <v>338</v>
      </c>
      <c r="E1388" s="2" t="s">
        <v>370</v>
      </c>
      <c r="F1388" s="2" t="s">
        <v>33</v>
      </c>
      <c r="G1388" s="3">
        <v>485000</v>
      </c>
      <c r="H1388" s="8">
        <v>1</v>
      </c>
      <c r="I1388" s="3">
        <v>268449.92500000005</v>
      </c>
      <c r="J1388" s="3">
        <v>268449.92500000005</v>
      </c>
    </row>
    <row r="1389" spans="1:10" x14ac:dyDescent="0.25">
      <c r="A1389" s="2">
        <v>1389</v>
      </c>
      <c r="B1389" s="18">
        <v>45564.708287037036</v>
      </c>
      <c r="C1389" s="2" t="s">
        <v>348</v>
      </c>
      <c r="D1389" s="2" t="s">
        <v>338</v>
      </c>
      <c r="E1389" s="2" t="s">
        <v>370</v>
      </c>
      <c r="F1389" s="2" t="s">
        <v>19</v>
      </c>
      <c r="G1389" s="3">
        <v>590000</v>
      </c>
      <c r="H1389" s="8">
        <v>1</v>
      </c>
      <c r="I1389" s="3">
        <v>345150</v>
      </c>
      <c r="J1389" s="3">
        <v>345150</v>
      </c>
    </row>
    <row r="1390" spans="1:10" x14ac:dyDescent="0.25">
      <c r="A1390" s="2">
        <v>1390</v>
      </c>
      <c r="B1390" s="18">
        <v>45564.708287037036</v>
      </c>
      <c r="C1390" s="2" t="s">
        <v>348</v>
      </c>
      <c r="D1390" s="2" t="s">
        <v>267</v>
      </c>
      <c r="E1390" s="2" t="s">
        <v>371</v>
      </c>
      <c r="F1390" s="2" t="s">
        <v>31</v>
      </c>
      <c r="G1390" s="3">
        <v>745000</v>
      </c>
      <c r="H1390" s="8">
        <v>120</v>
      </c>
      <c r="I1390" s="3">
        <v>44700000</v>
      </c>
      <c r="J1390" s="3">
        <v>44700000</v>
      </c>
    </row>
    <row r="1391" spans="1:10" x14ac:dyDescent="0.25">
      <c r="A1391" s="2">
        <v>1391</v>
      </c>
      <c r="B1391" s="18">
        <v>45564.708287037036</v>
      </c>
      <c r="C1391" s="2" t="s">
        <v>348</v>
      </c>
      <c r="D1391" s="2" t="s">
        <v>267</v>
      </c>
      <c r="E1391" s="2" t="s">
        <v>371</v>
      </c>
      <c r="F1391" s="2" t="s">
        <v>83</v>
      </c>
      <c r="G1391" s="3">
        <v>790000</v>
      </c>
      <c r="H1391" s="8">
        <v>37</v>
      </c>
      <c r="I1391" s="3">
        <v>14615000</v>
      </c>
      <c r="J1391" s="3">
        <v>14615000</v>
      </c>
    </row>
    <row r="1392" spans="1:10" x14ac:dyDescent="0.25">
      <c r="A1392" s="2">
        <v>1392</v>
      </c>
      <c r="B1392" s="18">
        <v>45564.708287037036</v>
      </c>
      <c r="C1392" s="2" t="s">
        <v>348</v>
      </c>
      <c r="D1392" s="2" t="s">
        <v>267</v>
      </c>
      <c r="E1392" s="2" t="s">
        <v>371</v>
      </c>
      <c r="F1392" s="2" t="s">
        <v>19</v>
      </c>
      <c r="G1392" s="3">
        <v>590000</v>
      </c>
      <c r="H1392" s="8">
        <v>87</v>
      </c>
      <c r="I1392" s="3">
        <v>25665000</v>
      </c>
      <c r="J1392" s="3">
        <v>25665000</v>
      </c>
    </row>
    <row r="1393" spans="1:10" x14ac:dyDescent="0.25">
      <c r="A1393" s="2">
        <v>1393</v>
      </c>
      <c r="B1393" s="18">
        <v>45564.708287037036</v>
      </c>
      <c r="C1393" s="2" t="s">
        <v>348</v>
      </c>
      <c r="D1393" s="2" t="s">
        <v>267</v>
      </c>
      <c r="E1393" s="2" t="s">
        <v>371</v>
      </c>
      <c r="F1393" s="2" t="s">
        <v>27</v>
      </c>
      <c r="G1393" s="3">
        <v>935000</v>
      </c>
      <c r="H1393" s="8">
        <v>12</v>
      </c>
      <c r="I1393" s="3">
        <v>5610000</v>
      </c>
      <c r="J1393" s="3">
        <v>5610000</v>
      </c>
    </row>
    <row r="1394" spans="1:10" x14ac:dyDescent="0.25">
      <c r="A1394" s="2">
        <v>1394</v>
      </c>
      <c r="B1394" s="18">
        <v>45504.708287037036</v>
      </c>
      <c r="C1394" s="2" t="s">
        <v>346</v>
      </c>
      <c r="D1394" s="2" t="s">
        <v>143</v>
      </c>
      <c r="E1394" s="2" t="s">
        <v>367</v>
      </c>
      <c r="F1394" s="2" t="s">
        <v>33</v>
      </c>
      <c r="G1394" s="3">
        <v>485000</v>
      </c>
      <c r="H1394" s="8">
        <v>1</v>
      </c>
      <c r="I1394" s="3">
        <v>0</v>
      </c>
      <c r="J1394" s="3">
        <v>0</v>
      </c>
    </row>
    <row r="1395" spans="1:10" x14ac:dyDescent="0.25">
      <c r="A1395" s="2">
        <v>1395</v>
      </c>
      <c r="B1395" s="18">
        <v>45504.708287037036</v>
      </c>
      <c r="C1395" s="2" t="s">
        <v>346</v>
      </c>
      <c r="D1395" s="2" t="s">
        <v>207</v>
      </c>
      <c r="E1395" s="2" t="s">
        <v>367</v>
      </c>
      <c r="F1395" s="2" t="s">
        <v>89</v>
      </c>
      <c r="G1395" s="3">
        <v>390000</v>
      </c>
      <c r="H1395" s="8">
        <v>1</v>
      </c>
      <c r="I1395" s="3">
        <v>0</v>
      </c>
      <c r="J1395" s="3">
        <v>0</v>
      </c>
    </row>
    <row r="1396" spans="1:10" x14ac:dyDescent="0.25">
      <c r="A1396" s="2">
        <v>1396</v>
      </c>
      <c r="B1396" s="18">
        <v>45504.708287037036</v>
      </c>
      <c r="C1396" s="2" t="s">
        <v>346</v>
      </c>
      <c r="D1396" s="2" t="s">
        <v>225</v>
      </c>
      <c r="E1396" s="2" t="s">
        <v>367</v>
      </c>
      <c r="F1396" s="2" t="s">
        <v>89</v>
      </c>
      <c r="G1396" s="3">
        <v>390000</v>
      </c>
      <c r="H1396" s="8">
        <v>1</v>
      </c>
      <c r="I1396" s="3">
        <v>0</v>
      </c>
      <c r="J1396" s="3">
        <v>0</v>
      </c>
    </row>
    <row r="1397" spans="1:10" x14ac:dyDescent="0.25">
      <c r="A1397" s="2">
        <v>1397</v>
      </c>
      <c r="B1397" s="18">
        <v>45504.708287037036</v>
      </c>
      <c r="C1397" s="2" t="s">
        <v>346</v>
      </c>
      <c r="D1397" s="2" t="s">
        <v>146</v>
      </c>
      <c r="E1397" s="2" t="s">
        <v>367</v>
      </c>
      <c r="F1397" s="2" t="s">
        <v>47</v>
      </c>
      <c r="G1397" s="3">
        <v>200000</v>
      </c>
      <c r="H1397" s="8">
        <v>1</v>
      </c>
      <c r="I1397" s="3">
        <v>0</v>
      </c>
      <c r="J1397" s="3">
        <v>0</v>
      </c>
    </row>
    <row r="1398" spans="1:10" x14ac:dyDescent="0.25">
      <c r="A1398" s="2">
        <v>1398</v>
      </c>
      <c r="B1398" s="18">
        <v>45504.708287037036</v>
      </c>
      <c r="C1398" s="2" t="s">
        <v>346</v>
      </c>
      <c r="D1398" s="2" t="s">
        <v>136</v>
      </c>
      <c r="E1398" s="2" t="s">
        <v>367</v>
      </c>
      <c r="F1398" s="2" t="s">
        <v>47</v>
      </c>
      <c r="G1398" s="3">
        <v>200000</v>
      </c>
      <c r="H1398" s="8">
        <v>1</v>
      </c>
      <c r="I1398" s="3">
        <v>0</v>
      </c>
      <c r="J1398" s="3">
        <v>0</v>
      </c>
    </row>
    <row r="1399" spans="1:10" x14ac:dyDescent="0.25">
      <c r="A1399" s="2">
        <v>1399</v>
      </c>
      <c r="B1399" s="18">
        <v>45504.708287037036</v>
      </c>
      <c r="C1399" s="2" t="s">
        <v>346</v>
      </c>
      <c r="D1399" s="2" t="s">
        <v>226</v>
      </c>
      <c r="E1399" s="2" t="s">
        <v>363</v>
      </c>
      <c r="F1399" s="2" t="s">
        <v>47</v>
      </c>
      <c r="G1399" s="3">
        <v>200000</v>
      </c>
      <c r="H1399" s="8">
        <v>1</v>
      </c>
      <c r="I1399" s="3">
        <v>0</v>
      </c>
      <c r="J1399" s="3">
        <v>0</v>
      </c>
    </row>
    <row r="1400" spans="1:10" x14ac:dyDescent="0.25">
      <c r="A1400" s="2">
        <v>1400</v>
      </c>
      <c r="B1400" s="18">
        <v>45505.708287037036</v>
      </c>
      <c r="C1400" s="2" t="s">
        <v>347</v>
      </c>
      <c r="D1400" s="2" t="s">
        <v>96</v>
      </c>
      <c r="E1400" s="2" t="s">
        <v>369</v>
      </c>
      <c r="F1400" s="2" t="s">
        <v>33</v>
      </c>
      <c r="G1400" s="3">
        <v>485000</v>
      </c>
      <c r="H1400" s="8">
        <v>32</v>
      </c>
      <c r="I1400" s="3">
        <v>11640000</v>
      </c>
      <c r="J1400" s="3">
        <v>11640000</v>
      </c>
    </row>
    <row r="1401" spans="1:10" x14ac:dyDescent="0.25">
      <c r="A1401" s="2">
        <v>1401</v>
      </c>
      <c r="B1401" s="18">
        <v>45505.708287037036</v>
      </c>
      <c r="C1401" s="2" t="s">
        <v>347</v>
      </c>
      <c r="D1401" s="2" t="s">
        <v>96</v>
      </c>
      <c r="E1401" s="2" t="s">
        <v>369</v>
      </c>
      <c r="F1401" s="2" t="s">
        <v>33</v>
      </c>
      <c r="G1401" s="3">
        <v>485000</v>
      </c>
      <c r="H1401" s="8">
        <v>4</v>
      </c>
      <c r="I1401" s="3">
        <v>0</v>
      </c>
      <c r="J1401" s="3">
        <v>0</v>
      </c>
    </row>
    <row r="1402" spans="1:10" x14ac:dyDescent="0.25">
      <c r="A1402" s="2">
        <v>1402</v>
      </c>
      <c r="B1402" s="18">
        <v>45505.708287037036</v>
      </c>
      <c r="C1402" s="2" t="s">
        <v>347</v>
      </c>
      <c r="D1402" s="2" t="s">
        <v>96</v>
      </c>
      <c r="E1402" s="2" t="s">
        <v>369</v>
      </c>
      <c r="F1402" s="2" t="s">
        <v>59</v>
      </c>
      <c r="G1402" s="3">
        <v>475000</v>
      </c>
      <c r="H1402" s="8">
        <v>32</v>
      </c>
      <c r="I1402" s="3">
        <v>11400000</v>
      </c>
      <c r="J1402" s="3">
        <v>11400000</v>
      </c>
    </row>
    <row r="1403" spans="1:10" x14ac:dyDescent="0.25">
      <c r="A1403" s="2">
        <v>1403</v>
      </c>
      <c r="B1403" s="18">
        <v>45505.708287037036</v>
      </c>
      <c r="C1403" s="2" t="s">
        <v>347</v>
      </c>
      <c r="D1403" s="2" t="s">
        <v>96</v>
      </c>
      <c r="E1403" s="2" t="s">
        <v>369</v>
      </c>
      <c r="F1403" s="2" t="s">
        <v>59</v>
      </c>
      <c r="G1403" s="3">
        <v>475000</v>
      </c>
      <c r="H1403" s="8">
        <v>4</v>
      </c>
      <c r="I1403" s="3">
        <v>0</v>
      </c>
      <c r="J1403" s="3">
        <v>0</v>
      </c>
    </row>
    <row r="1404" spans="1:10" x14ac:dyDescent="0.25">
      <c r="A1404" s="2">
        <v>1404</v>
      </c>
      <c r="B1404" s="18">
        <v>45505.708287037036</v>
      </c>
      <c r="C1404" s="2" t="s">
        <v>347</v>
      </c>
      <c r="D1404" s="2" t="s">
        <v>96</v>
      </c>
      <c r="E1404" s="2" t="s">
        <v>369</v>
      </c>
      <c r="F1404" s="2" t="s">
        <v>47</v>
      </c>
      <c r="G1404" s="3">
        <v>200000</v>
      </c>
      <c r="H1404" s="8">
        <v>64</v>
      </c>
      <c r="I1404" s="3">
        <v>0</v>
      </c>
      <c r="J1404" s="3">
        <v>0</v>
      </c>
    </row>
    <row r="1405" spans="1:10" x14ac:dyDescent="0.25">
      <c r="A1405" s="2">
        <v>1405</v>
      </c>
      <c r="B1405" s="18">
        <v>45508.708287037036</v>
      </c>
      <c r="C1405" s="2" t="s">
        <v>347</v>
      </c>
      <c r="D1405" s="2" t="s">
        <v>283</v>
      </c>
      <c r="E1405" s="2" t="s">
        <v>369</v>
      </c>
      <c r="F1405" s="2" t="s">
        <v>23</v>
      </c>
      <c r="G1405" s="3">
        <v>775000</v>
      </c>
      <c r="H1405" s="8">
        <v>10</v>
      </c>
      <c r="I1405" s="3">
        <v>3875000</v>
      </c>
      <c r="J1405" s="3">
        <v>3875000</v>
      </c>
    </row>
    <row r="1406" spans="1:10" x14ac:dyDescent="0.25">
      <c r="A1406" s="2">
        <v>1406</v>
      </c>
      <c r="B1406" s="18">
        <v>45508.708287037036</v>
      </c>
      <c r="C1406" s="2" t="s">
        <v>347</v>
      </c>
      <c r="D1406" s="2" t="s">
        <v>283</v>
      </c>
      <c r="E1406" s="2" t="s">
        <v>369</v>
      </c>
      <c r="F1406" s="2" t="s">
        <v>29</v>
      </c>
      <c r="G1406" s="3">
        <v>590000</v>
      </c>
      <c r="H1406" s="8">
        <v>10</v>
      </c>
      <c r="I1406" s="3">
        <v>2950000</v>
      </c>
      <c r="J1406" s="3">
        <v>2950000</v>
      </c>
    </row>
    <row r="1407" spans="1:10" x14ac:dyDescent="0.25">
      <c r="A1407" s="2">
        <v>1407</v>
      </c>
      <c r="B1407" s="18">
        <v>45508.708287037036</v>
      </c>
      <c r="C1407" s="2" t="s">
        <v>347</v>
      </c>
      <c r="D1407" s="2" t="s">
        <v>283</v>
      </c>
      <c r="E1407" s="2" t="s">
        <v>369</v>
      </c>
      <c r="F1407" s="2" t="s">
        <v>35</v>
      </c>
      <c r="G1407" s="3">
        <v>525000</v>
      </c>
      <c r="H1407" s="8">
        <v>15</v>
      </c>
      <c r="I1407" s="3">
        <v>3937500</v>
      </c>
      <c r="J1407" s="3">
        <v>3937500</v>
      </c>
    </row>
    <row r="1408" spans="1:10" x14ac:dyDescent="0.25">
      <c r="A1408" s="2">
        <v>1408</v>
      </c>
      <c r="B1408" s="18">
        <v>45508.708287037036</v>
      </c>
      <c r="C1408" s="2" t="s">
        <v>347</v>
      </c>
      <c r="D1408" s="2" t="s">
        <v>283</v>
      </c>
      <c r="E1408" s="2" t="s">
        <v>369</v>
      </c>
      <c r="F1408" s="2" t="s">
        <v>89</v>
      </c>
      <c r="G1408" s="3">
        <v>390000</v>
      </c>
      <c r="H1408" s="8">
        <v>35</v>
      </c>
      <c r="I1408" s="3">
        <v>0</v>
      </c>
      <c r="J1408" s="3">
        <v>0</v>
      </c>
    </row>
    <row r="1409" spans="1:10" x14ac:dyDescent="0.25">
      <c r="A1409" s="2">
        <v>1409</v>
      </c>
      <c r="B1409" s="18">
        <v>45508.708287037036</v>
      </c>
      <c r="C1409" s="2" t="s">
        <v>347</v>
      </c>
      <c r="D1409" s="2" t="s">
        <v>268</v>
      </c>
      <c r="E1409" s="2" t="s">
        <v>371</v>
      </c>
      <c r="F1409" s="2" t="s">
        <v>83</v>
      </c>
      <c r="G1409" s="3">
        <v>790000</v>
      </c>
      <c r="H1409" s="8">
        <v>13</v>
      </c>
      <c r="I1409" s="3">
        <v>4621499.999999999</v>
      </c>
      <c r="J1409" s="3">
        <v>4621499.999999999</v>
      </c>
    </row>
    <row r="1410" spans="1:10" x14ac:dyDescent="0.25">
      <c r="A1410" s="2">
        <v>1410</v>
      </c>
      <c r="B1410" s="18">
        <v>45508.708287037036</v>
      </c>
      <c r="C1410" s="2" t="s">
        <v>347</v>
      </c>
      <c r="D1410" s="2" t="s">
        <v>268</v>
      </c>
      <c r="E1410" s="2" t="s">
        <v>371</v>
      </c>
      <c r="F1410" s="2" t="s">
        <v>19</v>
      </c>
      <c r="G1410" s="3">
        <v>590000</v>
      </c>
      <c r="H1410" s="8">
        <v>2</v>
      </c>
      <c r="I1410" s="3">
        <v>531000</v>
      </c>
      <c r="J1410" s="3">
        <v>531000</v>
      </c>
    </row>
    <row r="1411" spans="1:10" x14ac:dyDescent="0.25">
      <c r="A1411" s="2">
        <v>1411</v>
      </c>
      <c r="B1411" s="18">
        <v>45508.708287037036</v>
      </c>
      <c r="C1411" s="2" t="s">
        <v>347</v>
      </c>
      <c r="D1411" s="2" t="s">
        <v>268</v>
      </c>
      <c r="E1411" s="2" t="s">
        <v>371</v>
      </c>
      <c r="F1411" s="2" t="s">
        <v>27</v>
      </c>
      <c r="G1411" s="3">
        <v>935000</v>
      </c>
      <c r="H1411" s="8">
        <v>8</v>
      </c>
      <c r="I1411" s="3">
        <v>3365999.9999999995</v>
      </c>
      <c r="J1411" s="3">
        <v>3365999.9999999995</v>
      </c>
    </row>
    <row r="1412" spans="1:10" x14ac:dyDescent="0.25">
      <c r="A1412" s="2">
        <v>1412</v>
      </c>
      <c r="B1412" s="18">
        <v>45508.708287037036</v>
      </c>
      <c r="C1412" s="2" t="s">
        <v>347</v>
      </c>
      <c r="D1412" s="2" t="s">
        <v>267</v>
      </c>
      <c r="E1412" s="2" t="s">
        <v>371</v>
      </c>
      <c r="F1412" s="2" t="s">
        <v>83</v>
      </c>
      <c r="G1412" s="3">
        <v>790000</v>
      </c>
      <c r="H1412" s="8">
        <v>76</v>
      </c>
      <c r="I1412" s="3">
        <v>27017999.999999996</v>
      </c>
      <c r="J1412" s="3">
        <v>27017999.999999996</v>
      </c>
    </row>
    <row r="1413" spans="1:10" x14ac:dyDescent="0.25">
      <c r="A1413" s="2">
        <v>1413</v>
      </c>
      <c r="B1413" s="18">
        <v>45508.708287037036</v>
      </c>
      <c r="C1413" s="2" t="s">
        <v>347</v>
      </c>
      <c r="D1413" s="2" t="s">
        <v>267</v>
      </c>
      <c r="E1413" s="2" t="s">
        <v>371</v>
      </c>
      <c r="F1413" s="2" t="s">
        <v>19</v>
      </c>
      <c r="G1413" s="3">
        <v>590000</v>
      </c>
      <c r="H1413" s="8">
        <v>54</v>
      </c>
      <c r="I1413" s="3">
        <v>14337000</v>
      </c>
      <c r="J1413" s="3">
        <v>14337000</v>
      </c>
    </row>
    <row r="1414" spans="1:10" x14ac:dyDescent="0.25">
      <c r="A1414" s="2">
        <v>1414</v>
      </c>
      <c r="B1414" s="18">
        <v>45508.708287037036</v>
      </c>
      <c r="C1414" s="2" t="s">
        <v>347</v>
      </c>
      <c r="D1414" s="2" t="s">
        <v>267</v>
      </c>
      <c r="E1414" s="2" t="s">
        <v>371</v>
      </c>
      <c r="F1414" s="2" t="s">
        <v>27</v>
      </c>
      <c r="G1414" s="3">
        <v>935000</v>
      </c>
      <c r="H1414" s="8">
        <v>51</v>
      </c>
      <c r="I1414" s="3">
        <v>21458249.999999996</v>
      </c>
      <c r="J1414" s="3">
        <v>21458249.999999996</v>
      </c>
    </row>
    <row r="1415" spans="1:10" x14ac:dyDescent="0.25">
      <c r="A1415" s="2">
        <v>1415</v>
      </c>
      <c r="B1415" s="18">
        <v>45508.708287037036</v>
      </c>
      <c r="C1415" s="2" t="s">
        <v>347</v>
      </c>
      <c r="D1415" s="2" t="s">
        <v>268</v>
      </c>
      <c r="E1415" s="2" t="s">
        <v>371</v>
      </c>
      <c r="F1415" s="2" t="s">
        <v>83</v>
      </c>
      <c r="G1415" s="3">
        <v>790000</v>
      </c>
      <c r="H1415" s="8">
        <v>12</v>
      </c>
      <c r="I1415" s="3">
        <v>4265999.999999999</v>
      </c>
      <c r="J1415" s="3">
        <v>4265999.999999999</v>
      </c>
    </row>
    <row r="1416" spans="1:10" x14ac:dyDescent="0.25">
      <c r="A1416" s="2">
        <v>1416</v>
      </c>
      <c r="B1416" s="18">
        <v>45508.708287037036</v>
      </c>
      <c r="C1416" s="2" t="s">
        <v>347</v>
      </c>
      <c r="D1416" s="2" t="s">
        <v>267</v>
      </c>
      <c r="E1416" s="2" t="s">
        <v>371</v>
      </c>
      <c r="F1416" s="2" t="s">
        <v>83</v>
      </c>
      <c r="G1416" s="3">
        <v>790000</v>
      </c>
      <c r="H1416" s="8">
        <v>14</v>
      </c>
      <c r="I1416" s="3">
        <v>4976999.999999999</v>
      </c>
      <c r="J1416" s="3">
        <v>4976999.999999999</v>
      </c>
    </row>
    <row r="1417" spans="1:10" x14ac:dyDescent="0.25">
      <c r="A1417" s="2">
        <v>1417</v>
      </c>
      <c r="B1417" s="18">
        <v>45508.708287037036</v>
      </c>
      <c r="C1417" s="2" t="s">
        <v>347</v>
      </c>
      <c r="D1417" s="2" t="s">
        <v>268</v>
      </c>
      <c r="E1417" s="2" t="s">
        <v>371</v>
      </c>
      <c r="F1417" s="2" t="s">
        <v>83</v>
      </c>
      <c r="G1417" s="3">
        <v>790000</v>
      </c>
      <c r="H1417" s="8">
        <v>14</v>
      </c>
      <c r="I1417" s="3">
        <v>4976999.999999999</v>
      </c>
      <c r="J1417" s="3">
        <v>4976999.999999999</v>
      </c>
    </row>
    <row r="1418" spans="1:10" x14ac:dyDescent="0.25">
      <c r="A1418" s="2">
        <v>1418</v>
      </c>
      <c r="B1418" s="18">
        <v>45508.708287037036</v>
      </c>
      <c r="C1418" s="2" t="s">
        <v>347</v>
      </c>
      <c r="D1418" s="2" t="s">
        <v>268</v>
      </c>
      <c r="E1418" s="2" t="s">
        <v>371</v>
      </c>
      <c r="F1418" s="2" t="s">
        <v>19</v>
      </c>
      <c r="G1418" s="3">
        <v>590000</v>
      </c>
      <c r="H1418" s="8">
        <v>29</v>
      </c>
      <c r="I1418" s="3">
        <v>7699500</v>
      </c>
      <c r="J1418" s="3">
        <v>7699500</v>
      </c>
    </row>
    <row r="1419" spans="1:10" x14ac:dyDescent="0.25">
      <c r="A1419" s="2">
        <v>1419</v>
      </c>
      <c r="B1419" s="18">
        <v>45508.708287037036</v>
      </c>
      <c r="C1419" s="2" t="s">
        <v>347</v>
      </c>
      <c r="D1419" s="2" t="s">
        <v>268</v>
      </c>
      <c r="E1419" s="2" t="s">
        <v>371</v>
      </c>
      <c r="F1419" s="2" t="s">
        <v>27</v>
      </c>
      <c r="G1419" s="3">
        <v>935000</v>
      </c>
      <c r="H1419" s="8">
        <v>11</v>
      </c>
      <c r="I1419" s="3">
        <v>4628249.999999999</v>
      </c>
      <c r="J1419" s="3">
        <v>4628249.999999999</v>
      </c>
    </row>
    <row r="1420" spans="1:10" x14ac:dyDescent="0.25">
      <c r="A1420" s="2">
        <v>1420</v>
      </c>
      <c r="B1420" s="18">
        <v>45508.708287037036</v>
      </c>
      <c r="C1420" s="2" t="s">
        <v>347</v>
      </c>
      <c r="D1420" s="2" t="s">
        <v>267</v>
      </c>
      <c r="E1420" s="2" t="s">
        <v>371</v>
      </c>
      <c r="F1420" s="2" t="s">
        <v>83</v>
      </c>
      <c r="G1420" s="3">
        <v>790000</v>
      </c>
      <c r="H1420" s="8">
        <v>35</v>
      </c>
      <c r="I1420" s="3">
        <v>12442499.999999998</v>
      </c>
      <c r="J1420" s="3">
        <v>12442499.999999998</v>
      </c>
    </row>
    <row r="1421" spans="1:10" x14ac:dyDescent="0.25">
      <c r="A1421" s="2">
        <v>1421</v>
      </c>
      <c r="B1421" s="18">
        <v>45508.708287037036</v>
      </c>
      <c r="C1421" s="2" t="s">
        <v>347</v>
      </c>
      <c r="D1421" s="2" t="s">
        <v>267</v>
      </c>
      <c r="E1421" s="2" t="s">
        <v>371</v>
      </c>
      <c r="F1421" s="2" t="s">
        <v>19</v>
      </c>
      <c r="G1421" s="3">
        <v>590000</v>
      </c>
      <c r="H1421" s="8">
        <v>11</v>
      </c>
      <c r="I1421" s="3">
        <v>2920500</v>
      </c>
      <c r="J1421" s="3">
        <v>2920500</v>
      </c>
    </row>
    <row r="1422" spans="1:10" x14ac:dyDescent="0.25">
      <c r="A1422" s="2">
        <v>1422</v>
      </c>
      <c r="B1422" s="18">
        <v>45508.708287037036</v>
      </c>
      <c r="C1422" s="2" t="s">
        <v>347</v>
      </c>
      <c r="D1422" s="2" t="s">
        <v>267</v>
      </c>
      <c r="E1422" s="2" t="s">
        <v>371</v>
      </c>
      <c r="F1422" s="2" t="s">
        <v>27</v>
      </c>
      <c r="G1422" s="3">
        <v>935000</v>
      </c>
      <c r="H1422" s="8">
        <v>10</v>
      </c>
      <c r="I1422" s="3">
        <v>4207499.999999999</v>
      </c>
      <c r="J1422" s="3">
        <v>4207499.999999999</v>
      </c>
    </row>
    <row r="1423" spans="1:10" x14ac:dyDescent="0.25">
      <c r="A1423" s="2">
        <v>1423</v>
      </c>
      <c r="B1423" s="18">
        <v>45508.708287037036</v>
      </c>
      <c r="C1423" s="2" t="s">
        <v>347</v>
      </c>
      <c r="D1423" s="2" t="s">
        <v>113</v>
      </c>
      <c r="E1423" s="2" t="s">
        <v>370</v>
      </c>
      <c r="F1423" s="2" t="s">
        <v>83</v>
      </c>
      <c r="G1423" s="3">
        <v>790000</v>
      </c>
      <c r="H1423" s="8">
        <v>4</v>
      </c>
      <c r="I1423" s="3">
        <v>2275200</v>
      </c>
      <c r="J1423" s="3">
        <v>2275200</v>
      </c>
    </row>
    <row r="1424" spans="1:10" x14ac:dyDescent="0.25">
      <c r="A1424" s="2">
        <v>1424</v>
      </c>
      <c r="B1424" s="18">
        <v>45508.708287037036</v>
      </c>
      <c r="C1424" s="2" t="s">
        <v>347</v>
      </c>
      <c r="D1424" s="2" t="s">
        <v>312</v>
      </c>
      <c r="E1424" s="2" t="s">
        <v>369</v>
      </c>
      <c r="F1424" s="2" t="s">
        <v>19</v>
      </c>
      <c r="G1424" s="3">
        <v>590000</v>
      </c>
      <c r="H1424" s="8">
        <v>10</v>
      </c>
      <c r="I1424" s="3">
        <v>4425000</v>
      </c>
      <c r="J1424" s="3">
        <v>4425000</v>
      </c>
    </row>
    <row r="1425" spans="1:10" x14ac:dyDescent="0.25">
      <c r="A1425" s="2">
        <v>1425</v>
      </c>
      <c r="B1425" s="18">
        <v>45508.708287037036</v>
      </c>
      <c r="C1425" s="2" t="s">
        <v>347</v>
      </c>
      <c r="D1425" s="2" t="s">
        <v>312</v>
      </c>
      <c r="E1425" s="2" t="s">
        <v>369</v>
      </c>
      <c r="F1425" s="2" t="s">
        <v>19</v>
      </c>
      <c r="G1425" s="3">
        <v>590000</v>
      </c>
      <c r="H1425" s="8">
        <v>2</v>
      </c>
      <c r="I1425" s="3">
        <v>0</v>
      </c>
      <c r="J1425" s="3">
        <v>0</v>
      </c>
    </row>
    <row r="1426" spans="1:10" x14ac:dyDescent="0.25">
      <c r="A1426" s="2">
        <v>1426</v>
      </c>
      <c r="B1426" s="18">
        <v>45508.708287037036</v>
      </c>
      <c r="C1426" s="2" t="s">
        <v>347</v>
      </c>
      <c r="D1426" s="2" t="s">
        <v>312</v>
      </c>
      <c r="E1426" s="2" t="s">
        <v>369</v>
      </c>
      <c r="F1426" s="2" t="s">
        <v>21</v>
      </c>
      <c r="G1426" s="3">
        <v>890000</v>
      </c>
      <c r="H1426" s="8">
        <v>10</v>
      </c>
      <c r="I1426" s="3">
        <v>6675000</v>
      </c>
      <c r="J1426" s="3">
        <v>6675000</v>
      </c>
    </row>
    <row r="1427" spans="1:10" x14ac:dyDescent="0.25">
      <c r="A1427" s="2">
        <v>1427</v>
      </c>
      <c r="B1427" s="18">
        <v>45508.708287037036</v>
      </c>
      <c r="C1427" s="2" t="s">
        <v>347</v>
      </c>
      <c r="D1427" s="2" t="s">
        <v>312</v>
      </c>
      <c r="E1427" s="2" t="s">
        <v>369</v>
      </c>
      <c r="F1427" s="2" t="s">
        <v>21</v>
      </c>
      <c r="G1427" s="3">
        <v>890000</v>
      </c>
      <c r="H1427" s="8">
        <v>2</v>
      </c>
      <c r="I1427" s="3">
        <v>0</v>
      </c>
      <c r="J1427" s="3">
        <v>0</v>
      </c>
    </row>
    <row r="1428" spans="1:10" x14ac:dyDescent="0.25">
      <c r="A1428" s="2">
        <v>1428</v>
      </c>
      <c r="B1428" s="18">
        <v>45509.708287037036</v>
      </c>
      <c r="C1428" s="2" t="s">
        <v>347</v>
      </c>
      <c r="D1428" s="2" t="s">
        <v>116</v>
      </c>
      <c r="E1428" s="2" t="s">
        <v>370</v>
      </c>
      <c r="F1428" s="2" t="s">
        <v>29</v>
      </c>
      <c r="G1428" s="3">
        <v>590000</v>
      </c>
      <c r="H1428" s="8">
        <v>1</v>
      </c>
      <c r="I1428" s="3">
        <v>424800</v>
      </c>
      <c r="J1428" s="3">
        <v>424800</v>
      </c>
    </row>
    <row r="1429" spans="1:10" x14ac:dyDescent="0.25">
      <c r="A1429" s="2">
        <v>1429</v>
      </c>
      <c r="B1429" s="18">
        <v>45509.708287037036</v>
      </c>
      <c r="C1429" s="2" t="s">
        <v>347</v>
      </c>
      <c r="D1429" s="2" t="s">
        <v>116</v>
      </c>
      <c r="E1429" s="2" t="s">
        <v>370</v>
      </c>
      <c r="F1429" s="2" t="s">
        <v>35</v>
      </c>
      <c r="G1429" s="3">
        <v>525000</v>
      </c>
      <c r="H1429" s="8">
        <v>3</v>
      </c>
      <c r="I1429" s="3">
        <v>1134000</v>
      </c>
      <c r="J1429" s="3">
        <v>1134000</v>
      </c>
    </row>
    <row r="1430" spans="1:10" x14ac:dyDescent="0.25">
      <c r="A1430" s="2">
        <v>1430</v>
      </c>
      <c r="B1430" s="18">
        <v>45509.708287037036</v>
      </c>
      <c r="C1430" s="2" t="s">
        <v>347</v>
      </c>
      <c r="D1430" s="2" t="s">
        <v>116</v>
      </c>
      <c r="E1430" s="2" t="s">
        <v>370</v>
      </c>
      <c r="F1430" s="2" t="s">
        <v>57</v>
      </c>
      <c r="G1430" s="3">
        <v>745000</v>
      </c>
      <c r="H1430" s="8">
        <v>1</v>
      </c>
      <c r="I1430" s="3">
        <v>536400</v>
      </c>
      <c r="J1430" s="3">
        <v>536400</v>
      </c>
    </row>
    <row r="1431" spans="1:10" x14ac:dyDescent="0.25">
      <c r="A1431" s="2">
        <v>1431</v>
      </c>
      <c r="B1431" s="18">
        <v>45509.708287037036</v>
      </c>
      <c r="C1431" s="2" t="s">
        <v>347</v>
      </c>
      <c r="D1431" s="2" t="s">
        <v>62</v>
      </c>
      <c r="E1431" s="2" t="s">
        <v>367</v>
      </c>
      <c r="F1431" s="2" t="s">
        <v>23</v>
      </c>
      <c r="G1431" s="3">
        <v>775000</v>
      </c>
      <c r="H1431" s="8">
        <v>0</v>
      </c>
      <c r="I1431" s="3">
        <v>0</v>
      </c>
      <c r="J1431" s="3">
        <v>0</v>
      </c>
    </row>
    <row r="1432" spans="1:10" x14ac:dyDescent="0.25">
      <c r="A1432" s="2">
        <v>1432</v>
      </c>
      <c r="B1432" s="18">
        <v>45509.708287037036</v>
      </c>
      <c r="C1432" s="2" t="s">
        <v>347</v>
      </c>
      <c r="D1432" s="2" t="s">
        <v>62</v>
      </c>
      <c r="E1432" s="2" t="s">
        <v>367</v>
      </c>
      <c r="F1432" s="2" t="s">
        <v>85</v>
      </c>
      <c r="G1432" s="3">
        <v>480000</v>
      </c>
      <c r="H1432" s="8">
        <v>0</v>
      </c>
      <c r="I1432" s="3">
        <v>0</v>
      </c>
      <c r="J1432" s="3">
        <v>0</v>
      </c>
    </row>
    <row r="1433" spans="1:10" x14ac:dyDescent="0.25">
      <c r="A1433" s="2">
        <v>1433</v>
      </c>
      <c r="B1433" s="18">
        <v>45509.708287037036</v>
      </c>
      <c r="C1433" s="2" t="s">
        <v>347</v>
      </c>
      <c r="D1433" s="2" t="s">
        <v>62</v>
      </c>
      <c r="E1433" s="2" t="s">
        <v>367</v>
      </c>
      <c r="F1433" s="2" t="s">
        <v>33</v>
      </c>
      <c r="G1433" s="3">
        <v>485000</v>
      </c>
      <c r="H1433" s="8">
        <v>0</v>
      </c>
      <c r="I1433" s="3">
        <v>0</v>
      </c>
      <c r="J1433" s="3">
        <v>0</v>
      </c>
    </row>
    <row r="1434" spans="1:10" x14ac:dyDescent="0.25">
      <c r="A1434" s="2">
        <v>1434</v>
      </c>
      <c r="B1434" s="18">
        <v>45509.708287037036</v>
      </c>
      <c r="C1434" s="2" t="s">
        <v>347</v>
      </c>
      <c r="D1434" s="2" t="s">
        <v>62</v>
      </c>
      <c r="E1434" s="2" t="s">
        <v>367</v>
      </c>
      <c r="F1434" s="2" t="s">
        <v>59</v>
      </c>
      <c r="G1434" s="3">
        <v>475000</v>
      </c>
      <c r="H1434" s="8">
        <v>0</v>
      </c>
      <c r="I1434" s="3">
        <v>0</v>
      </c>
      <c r="J1434" s="3">
        <v>0</v>
      </c>
    </row>
    <row r="1435" spans="1:10" x14ac:dyDescent="0.25">
      <c r="A1435" s="2">
        <v>1435</v>
      </c>
      <c r="B1435" s="18">
        <v>45509.708287037036</v>
      </c>
      <c r="C1435" s="2" t="s">
        <v>347</v>
      </c>
      <c r="D1435" s="2" t="s">
        <v>252</v>
      </c>
      <c r="E1435" s="2" t="s">
        <v>366</v>
      </c>
      <c r="F1435" s="2" t="s">
        <v>47</v>
      </c>
      <c r="G1435" s="3">
        <v>200000</v>
      </c>
      <c r="H1435" s="8">
        <v>1</v>
      </c>
      <c r="I1435" s="3">
        <v>0</v>
      </c>
      <c r="J1435" s="3">
        <v>0</v>
      </c>
    </row>
    <row r="1436" spans="1:10" x14ac:dyDescent="0.25">
      <c r="A1436" s="2">
        <v>1436</v>
      </c>
      <c r="B1436" s="18">
        <v>45510.708287037036</v>
      </c>
      <c r="C1436" s="2" t="s">
        <v>347</v>
      </c>
      <c r="D1436" s="2" t="s">
        <v>318</v>
      </c>
      <c r="E1436" s="2" t="s">
        <v>363</v>
      </c>
      <c r="F1436" s="2" t="s">
        <v>89</v>
      </c>
      <c r="G1436" s="3">
        <v>390000</v>
      </c>
      <c r="H1436" s="8">
        <v>5</v>
      </c>
      <c r="I1436" s="3">
        <v>0</v>
      </c>
      <c r="J1436" s="3">
        <v>0</v>
      </c>
    </row>
    <row r="1437" spans="1:10" x14ac:dyDescent="0.25">
      <c r="A1437" s="2">
        <v>1437</v>
      </c>
      <c r="B1437" s="18">
        <v>45510.708287037036</v>
      </c>
      <c r="C1437" s="2" t="s">
        <v>347</v>
      </c>
      <c r="D1437" s="2" t="s">
        <v>334</v>
      </c>
      <c r="E1437" s="2" t="s">
        <v>365</v>
      </c>
      <c r="F1437" s="2" t="s">
        <v>27</v>
      </c>
      <c r="G1437" s="3">
        <v>935000</v>
      </c>
      <c r="H1437" s="8">
        <v>1</v>
      </c>
      <c r="I1437" s="3">
        <v>467500</v>
      </c>
      <c r="J1437" s="3">
        <v>467500</v>
      </c>
    </row>
    <row r="1438" spans="1:10" x14ac:dyDescent="0.25">
      <c r="A1438" s="2">
        <v>1438</v>
      </c>
      <c r="B1438" s="18">
        <v>45510.708287037036</v>
      </c>
      <c r="C1438" s="2" t="s">
        <v>347</v>
      </c>
      <c r="D1438" s="2" t="s">
        <v>334</v>
      </c>
      <c r="E1438" s="2" t="s">
        <v>365</v>
      </c>
      <c r="F1438" s="2" t="s">
        <v>19</v>
      </c>
      <c r="G1438" s="3">
        <v>590000</v>
      </c>
      <c r="H1438" s="8">
        <v>1</v>
      </c>
      <c r="I1438" s="3">
        <v>295000</v>
      </c>
      <c r="J1438" s="3">
        <v>295000</v>
      </c>
    </row>
    <row r="1439" spans="1:10" x14ac:dyDescent="0.25">
      <c r="A1439" s="2">
        <v>1439</v>
      </c>
      <c r="B1439" s="18">
        <v>45510.708287037036</v>
      </c>
      <c r="C1439" s="2" t="s">
        <v>347</v>
      </c>
      <c r="D1439" s="2" t="s">
        <v>334</v>
      </c>
      <c r="E1439" s="2" t="s">
        <v>365</v>
      </c>
      <c r="F1439" s="2" t="s">
        <v>33</v>
      </c>
      <c r="G1439" s="3">
        <v>485000</v>
      </c>
      <c r="H1439" s="8">
        <v>1</v>
      </c>
      <c r="I1439" s="3">
        <v>242500</v>
      </c>
      <c r="J1439" s="3">
        <v>242500</v>
      </c>
    </row>
    <row r="1440" spans="1:10" x14ac:dyDescent="0.25">
      <c r="A1440" s="2">
        <v>1440</v>
      </c>
      <c r="B1440" s="18">
        <v>45510.708287037036</v>
      </c>
      <c r="C1440" s="2" t="s">
        <v>347</v>
      </c>
      <c r="D1440" s="2" t="s">
        <v>334</v>
      </c>
      <c r="E1440" s="2" t="s">
        <v>365</v>
      </c>
      <c r="F1440" s="2" t="s">
        <v>59</v>
      </c>
      <c r="G1440" s="3">
        <v>475000</v>
      </c>
      <c r="H1440" s="8">
        <v>1</v>
      </c>
      <c r="I1440" s="3">
        <v>237500</v>
      </c>
      <c r="J1440" s="3">
        <v>237500</v>
      </c>
    </row>
    <row r="1441" spans="1:10" x14ac:dyDescent="0.25">
      <c r="A1441" s="2">
        <v>1441</v>
      </c>
      <c r="B1441" s="18">
        <v>45510.708287037036</v>
      </c>
      <c r="C1441" s="2" t="s">
        <v>347</v>
      </c>
      <c r="D1441" s="2" t="s">
        <v>263</v>
      </c>
      <c r="E1441" s="2" t="s">
        <v>369</v>
      </c>
      <c r="F1441" s="2" t="s">
        <v>23</v>
      </c>
      <c r="G1441" s="3">
        <v>775000</v>
      </c>
      <c r="H1441" s="8">
        <v>5</v>
      </c>
      <c r="I1441" s="3">
        <v>2325000</v>
      </c>
      <c r="J1441" s="3">
        <v>2325000</v>
      </c>
    </row>
    <row r="1442" spans="1:10" x14ac:dyDescent="0.25">
      <c r="A1442" s="2">
        <v>1442</v>
      </c>
      <c r="B1442" s="18">
        <v>45510.708287037036</v>
      </c>
      <c r="C1442" s="2" t="s">
        <v>347</v>
      </c>
      <c r="D1442" s="2" t="s">
        <v>263</v>
      </c>
      <c r="E1442" s="2" t="s">
        <v>369</v>
      </c>
      <c r="F1442" s="2" t="s">
        <v>33</v>
      </c>
      <c r="G1442" s="3">
        <v>485000</v>
      </c>
      <c r="H1442" s="8">
        <v>5</v>
      </c>
      <c r="I1442" s="3">
        <v>1455000</v>
      </c>
      <c r="J1442" s="3">
        <v>1455000</v>
      </c>
    </row>
    <row r="1443" spans="1:10" x14ac:dyDescent="0.25">
      <c r="A1443" s="2">
        <v>1443</v>
      </c>
      <c r="B1443" s="18">
        <v>45510.708287037036</v>
      </c>
      <c r="C1443" s="2" t="s">
        <v>347</v>
      </c>
      <c r="D1443" s="2" t="s">
        <v>263</v>
      </c>
      <c r="E1443" s="2" t="s">
        <v>369</v>
      </c>
      <c r="F1443" s="2" t="s">
        <v>59</v>
      </c>
      <c r="G1443" s="3">
        <v>475000</v>
      </c>
      <c r="H1443" s="8">
        <v>5</v>
      </c>
      <c r="I1443" s="3">
        <v>1425000</v>
      </c>
      <c r="J1443" s="3">
        <v>1425000</v>
      </c>
    </row>
    <row r="1444" spans="1:10" x14ac:dyDescent="0.25">
      <c r="A1444" s="2">
        <v>1444</v>
      </c>
      <c r="B1444" s="18">
        <v>45510.708287037036</v>
      </c>
      <c r="C1444" s="2" t="s">
        <v>347</v>
      </c>
      <c r="D1444" s="2" t="s">
        <v>263</v>
      </c>
      <c r="E1444" s="2" t="s">
        <v>369</v>
      </c>
      <c r="F1444" s="2" t="s">
        <v>89</v>
      </c>
      <c r="G1444" s="3">
        <v>390000</v>
      </c>
      <c r="H1444" s="8">
        <v>5</v>
      </c>
      <c r="I1444" s="3">
        <v>0</v>
      </c>
      <c r="J1444" s="3">
        <v>0</v>
      </c>
    </row>
    <row r="1445" spans="1:10" x14ac:dyDescent="0.25">
      <c r="A1445" s="2">
        <v>1445</v>
      </c>
      <c r="B1445" s="18">
        <v>45510.708287037036</v>
      </c>
      <c r="C1445" s="2" t="s">
        <v>347</v>
      </c>
      <c r="D1445" s="2" t="s">
        <v>263</v>
      </c>
      <c r="E1445" s="2" t="s">
        <v>369</v>
      </c>
      <c r="F1445" s="2" t="s">
        <v>49</v>
      </c>
      <c r="G1445" s="3">
        <v>200000</v>
      </c>
      <c r="H1445" s="8">
        <v>10</v>
      </c>
      <c r="I1445" s="3">
        <v>0</v>
      </c>
      <c r="J1445" s="3">
        <v>0</v>
      </c>
    </row>
    <row r="1446" spans="1:10" x14ac:dyDescent="0.25">
      <c r="A1446" s="2">
        <v>1446</v>
      </c>
      <c r="B1446" s="18">
        <v>45511.708287037036</v>
      </c>
      <c r="C1446" s="2" t="s">
        <v>347</v>
      </c>
      <c r="D1446" s="2" t="s">
        <v>252</v>
      </c>
      <c r="E1446" s="2" t="s">
        <v>366</v>
      </c>
      <c r="F1446" s="2" t="s">
        <v>33</v>
      </c>
      <c r="G1446" s="3">
        <v>485000</v>
      </c>
      <c r="H1446" s="8">
        <v>1</v>
      </c>
      <c r="I1446" s="3">
        <v>0</v>
      </c>
      <c r="J1446" s="3">
        <v>0</v>
      </c>
    </row>
    <row r="1447" spans="1:10" x14ac:dyDescent="0.25">
      <c r="A1447" s="2">
        <v>1447</v>
      </c>
      <c r="B1447" s="18">
        <v>45511.708287037036</v>
      </c>
      <c r="C1447" s="2" t="s">
        <v>347</v>
      </c>
      <c r="D1447" s="2" t="s">
        <v>252</v>
      </c>
      <c r="E1447" s="2" t="s">
        <v>366</v>
      </c>
      <c r="F1447" s="2" t="s">
        <v>59</v>
      </c>
      <c r="G1447" s="3">
        <v>475000</v>
      </c>
      <c r="H1447" s="8">
        <v>1</v>
      </c>
      <c r="I1447" s="3">
        <v>0</v>
      </c>
      <c r="J1447" s="3">
        <v>0</v>
      </c>
    </row>
    <row r="1448" spans="1:10" x14ac:dyDescent="0.25">
      <c r="A1448" s="2">
        <v>1448</v>
      </c>
      <c r="B1448" s="18">
        <v>45511.708287037036</v>
      </c>
      <c r="C1448" s="2" t="s">
        <v>347</v>
      </c>
      <c r="D1448" s="2" t="s">
        <v>86</v>
      </c>
      <c r="E1448" s="2" t="s">
        <v>369</v>
      </c>
      <c r="F1448" s="2" t="s">
        <v>59</v>
      </c>
      <c r="G1448" s="3">
        <v>475000</v>
      </c>
      <c r="H1448" s="8">
        <v>25</v>
      </c>
      <c r="I1448" s="3">
        <v>5937500</v>
      </c>
      <c r="J1448" s="3">
        <v>5937500</v>
      </c>
    </row>
    <row r="1449" spans="1:10" x14ac:dyDescent="0.25">
      <c r="A1449" s="2">
        <v>1449</v>
      </c>
      <c r="B1449" s="18">
        <v>45511.708287037036</v>
      </c>
      <c r="C1449" s="2" t="s">
        <v>347</v>
      </c>
      <c r="D1449" s="2" t="s">
        <v>86</v>
      </c>
      <c r="E1449" s="2" t="s">
        <v>369</v>
      </c>
      <c r="F1449" s="2" t="s">
        <v>33</v>
      </c>
      <c r="G1449" s="3">
        <v>485000</v>
      </c>
      <c r="H1449" s="8">
        <v>25</v>
      </c>
      <c r="I1449" s="3">
        <v>6062500</v>
      </c>
      <c r="J1449" s="3">
        <v>6062500</v>
      </c>
    </row>
    <row r="1450" spans="1:10" x14ac:dyDescent="0.25">
      <c r="A1450" s="2">
        <v>1450</v>
      </c>
      <c r="B1450" s="18">
        <v>45511.708287037036</v>
      </c>
      <c r="C1450" s="2" t="s">
        <v>347</v>
      </c>
      <c r="D1450" s="2" t="s">
        <v>86</v>
      </c>
      <c r="E1450" s="2" t="s">
        <v>369</v>
      </c>
      <c r="F1450" s="2" t="s">
        <v>47</v>
      </c>
      <c r="G1450" s="3">
        <v>200000</v>
      </c>
      <c r="H1450" s="8">
        <v>45</v>
      </c>
      <c r="I1450" s="3">
        <v>0</v>
      </c>
      <c r="J1450" s="3">
        <v>0</v>
      </c>
    </row>
    <row r="1451" spans="1:10" x14ac:dyDescent="0.25">
      <c r="A1451" s="2">
        <v>1451</v>
      </c>
      <c r="B1451" s="18">
        <v>45512.708287037036</v>
      </c>
      <c r="C1451" s="2" t="s">
        <v>347</v>
      </c>
      <c r="D1451" s="2" t="s">
        <v>303</v>
      </c>
      <c r="E1451" s="2" t="s">
        <v>366</v>
      </c>
      <c r="F1451" s="2" t="s">
        <v>31</v>
      </c>
      <c r="G1451" s="3">
        <v>745000</v>
      </c>
      <c r="H1451" s="8">
        <v>10</v>
      </c>
      <c r="I1451" s="3">
        <v>7450000</v>
      </c>
      <c r="J1451" s="3">
        <v>7450000</v>
      </c>
    </row>
    <row r="1452" spans="1:10" x14ac:dyDescent="0.25">
      <c r="A1452" s="2">
        <v>1452</v>
      </c>
      <c r="B1452" s="18">
        <v>45512.708287037036</v>
      </c>
      <c r="C1452" s="2" t="s">
        <v>347</v>
      </c>
      <c r="D1452" s="2" t="s">
        <v>34</v>
      </c>
      <c r="E1452" s="2" t="s">
        <v>370</v>
      </c>
      <c r="F1452" s="2" t="s">
        <v>33</v>
      </c>
      <c r="G1452" s="3">
        <v>485000</v>
      </c>
      <c r="H1452" s="8">
        <v>1</v>
      </c>
      <c r="I1452" s="3">
        <v>0</v>
      </c>
      <c r="J1452" s="3">
        <v>0</v>
      </c>
    </row>
    <row r="1453" spans="1:10" x14ac:dyDescent="0.25">
      <c r="A1453" s="2">
        <v>1453</v>
      </c>
      <c r="B1453" s="18">
        <v>45512.708287037036</v>
      </c>
      <c r="C1453" s="2" t="s">
        <v>347</v>
      </c>
      <c r="D1453" s="2" t="s">
        <v>34</v>
      </c>
      <c r="E1453" s="2" t="s">
        <v>370</v>
      </c>
      <c r="F1453" s="2" t="s">
        <v>59</v>
      </c>
      <c r="G1453" s="3">
        <v>475000</v>
      </c>
      <c r="H1453" s="8">
        <v>1</v>
      </c>
      <c r="I1453" s="3">
        <v>0</v>
      </c>
      <c r="J1453" s="3">
        <v>0</v>
      </c>
    </row>
    <row r="1454" spans="1:10" x14ac:dyDescent="0.25">
      <c r="A1454" s="2">
        <v>1454</v>
      </c>
      <c r="B1454" s="18">
        <v>45512.708287037036</v>
      </c>
      <c r="C1454" s="2" t="s">
        <v>347</v>
      </c>
      <c r="D1454" s="2" t="s">
        <v>34</v>
      </c>
      <c r="E1454" s="2" t="s">
        <v>370</v>
      </c>
      <c r="F1454" s="2" t="s">
        <v>85</v>
      </c>
      <c r="G1454" s="3">
        <v>480000</v>
      </c>
      <c r="H1454" s="8">
        <v>1</v>
      </c>
      <c r="I1454" s="3">
        <v>0</v>
      </c>
      <c r="J1454" s="3">
        <v>0</v>
      </c>
    </row>
    <row r="1455" spans="1:10" x14ac:dyDescent="0.25">
      <c r="A1455" s="2">
        <v>1455</v>
      </c>
      <c r="B1455" s="18">
        <v>45512.708287037036</v>
      </c>
      <c r="C1455" s="2" t="s">
        <v>347</v>
      </c>
      <c r="D1455" s="2" t="s">
        <v>34</v>
      </c>
      <c r="E1455" s="2" t="s">
        <v>370</v>
      </c>
      <c r="F1455" s="2" t="s">
        <v>31</v>
      </c>
      <c r="G1455" s="3">
        <v>745000</v>
      </c>
      <c r="H1455" s="8">
        <v>-1</v>
      </c>
      <c r="I1455" s="3">
        <v>0</v>
      </c>
      <c r="J1455" s="3">
        <v>0</v>
      </c>
    </row>
    <row r="1456" spans="1:10" x14ac:dyDescent="0.25">
      <c r="A1456" s="2">
        <v>1456</v>
      </c>
      <c r="B1456" s="18">
        <v>45512.708287037036</v>
      </c>
      <c r="C1456" s="2" t="s">
        <v>347</v>
      </c>
      <c r="D1456" s="2" t="s">
        <v>34</v>
      </c>
      <c r="E1456" s="2" t="s">
        <v>370</v>
      </c>
      <c r="F1456" s="2" t="s">
        <v>57</v>
      </c>
      <c r="G1456" s="3">
        <v>745000</v>
      </c>
      <c r="H1456" s="8">
        <v>-1</v>
      </c>
      <c r="I1456" s="3">
        <v>0</v>
      </c>
      <c r="J1456" s="3">
        <v>0</v>
      </c>
    </row>
    <row r="1457" spans="1:10" x14ac:dyDescent="0.25">
      <c r="A1457" s="2">
        <v>1457</v>
      </c>
      <c r="B1457" s="18">
        <v>45512.708287037036</v>
      </c>
      <c r="C1457" s="2" t="s">
        <v>347</v>
      </c>
      <c r="D1457" s="2" t="s">
        <v>34</v>
      </c>
      <c r="E1457" s="2" t="s">
        <v>370</v>
      </c>
      <c r="F1457" s="2" t="s">
        <v>83</v>
      </c>
      <c r="G1457" s="3">
        <v>790000</v>
      </c>
      <c r="H1457" s="8">
        <v>-1</v>
      </c>
      <c r="I1457" s="3">
        <v>0</v>
      </c>
      <c r="J1457" s="3">
        <v>0</v>
      </c>
    </row>
    <row r="1458" spans="1:10" x14ac:dyDescent="0.25">
      <c r="A1458" s="2">
        <v>1458</v>
      </c>
      <c r="B1458" s="18">
        <v>45512.708287037036</v>
      </c>
      <c r="C1458" s="2" t="s">
        <v>347</v>
      </c>
      <c r="D1458" s="2" t="s">
        <v>305</v>
      </c>
      <c r="E1458" s="2" t="s">
        <v>366</v>
      </c>
      <c r="F1458" s="2" t="s">
        <v>59</v>
      </c>
      <c r="G1458" s="3">
        <v>475000</v>
      </c>
      <c r="H1458" s="8">
        <v>3</v>
      </c>
      <c r="I1458" s="3">
        <v>855000</v>
      </c>
      <c r="J1458" s="3">
        <v>855000</v>
      </c>
    </row>
    <row r="1459" spans="1:10" x14ac:dyDescent="0.25">
      <c r="A1459" s="2">
        <v>1459</v>
      </c>
      <c r="B1459" s="18">
        <v>45512.708287037036</v>
      </c>
      <c r="C1459" s="2" t="s">
        <v>347</v>
      </c>
      <c r="D1459" s="2" t="s">
        <v>305</v>
      </c>
      <c r="E1459" s="2" t="s">
        <v>366</v>
      </c>
      <c r="F1459" s="2" t="s">
        <v>33</v>
      </c>
      <c r="G1459" s="3">
        <v>485000</v>
      </c>
      <c r="H1459" s="8">
        <v>1</v>
      </c>
      <c r="I1459" s="3">
        <v>291000</v>
      </c>
      <c r="J1459" s="3">
        <v>291000</v>
      </c>
    </row>
    <row r="1460" spans="1:10" x14ac:dyDescent="0.25">
      <c r="A1460" s="2">
        <v>1460</v>
      </c>
      <c r="B1460" s="18">
        <v>45512.708287037036</v>
      </c>
      <c r="C1460" s="2" t="s">
        <v>347</v>
      </c>
      <c r="D1460" s="2" t="s">
        <v>305</v>
      </c>
      <c r="E1460" s="2" t="s">
        <v>366</v>
      </c>
      <c r="F1460" s="2" t="s">
        <v>23</v>
      </c>
      <c r="G1460" s="3">
        <v>775000</v>
      </c>
      <c r="H1460" s="8">
        <v>0</v>
      </c>
      <c r="I1460" s="3">
        <v>0</v>
      </c>
      <c r="J1460" s="3">
        <v>0</v>
      </c>
    </row>
    <row r="1461" spans="1:10" x14ac:dyDescent="0.25">
      <c r="A1461" s="2">
        <v>1461</v>
      </c>
      <c r="B1461" s="18">
        <v>45512.708287037036</v>
      </c>
      <c r="C1461" s="2" t="s">
        <v>347</v>
      </c>
      <c r="D1461" s="2" t="s">
        <v>305</v>
      </c>
      <c r="E1461" s="2" t="s">
        <v>366</v>
      </c>
      <c r="F1461" s="2" t="s">
        <v>29</v>
      </c>
      <c r="G1461" s="3">
        <v>590000</v>
      </c>
      <c r="H1461" s="8">
        <v>1</v>
      </c>
      <c r="I1461" s="3">
        <v>354000</v>
      </c>
      <c r="J1461" s="3">
        <v>354000</v>
      </c>
    </row>
    <row r="1462" spans="1:10" x14ac:dyDescent="0.25">
      <c r="A1462" s="2">
        <v>1462</v>
      </c>
      <c r="B1462" s="18">
        <v>45512.708287037036</v>
      </c>
      <c r="C1462" s="2" t="s">
        <v>347</v>
      </c>
      <c r="D1462" s="2" t="s">
        <v>305</v>
      </c>
      <c r="E1462" s="2" t="s">
        <v>366</v>
      </c>
      <c r="F1462" s="2" t="s">
        <v>63</v>
      </c>
      <c r="G1462" s="3">
        <v>550000</v>
      </c>
      <c r="H1462" s="8">
        <v>0</v>
      </c>
      <c r="I1462" s="3">
        <v>0</v>
      </c>
      <c r="J1462" s="3">
        <v>0</v>
      </c>
    </row>
    <row r="1463" spans="1:10" x14ac:dyDescent="0.25">
      <c r="A1463" s="2">
        <v>1463</v>
      </c>
      <c r="B1463" s="18">
        <v>45512.708287037036</v>
      </c>
      <c r="C1463" s="2" t="s">
        <v>347</v>
      </c>
      <c r="D1463" s="2" t="s">
        <v>305</v>
      </c>
      <c r="E1463" s="2" t="s">
        <v>366</v>
      </c>
      <c r="F1463" s="2" t="s">
        <v>47</v>
      </c>
      <c r="G1463" s="3">
        <v>200000</v>
      </c>
      <c r="H1463" s="8">
        <v>0</v>
      </c>
      <c r="I1463" s="3">
        <v>0</v>
      </c>
      <c r="J1463" s="3">
        <v>0</v>
      </c>
    </row>
    <row r="1464" spans="1:10" x14ac:dyDescent="0.25">
      <c r="A1464" s="2">
        <v>1464</v>
      </c>
      <c r="B1464" s="18">
        <v>45512.708287037036</v>
      </c>
      <c r="C1464" s="2" t="s">
        <v>347</v>
      </c>
      <c r="D1464" s="2" t="s">
        <v>305</v>
      </c>
      <c r="E1464" s="2" t="s">
        <v>366</v>
      </c>
      <c r="F1464" s="2" t="s">
        <v>89</v>
      </c>
      <c r="G1464" s="3">
        <v>390000</v>
      </c>
      <c r="H1464" s="8">
        <v>0</v>
      </c>
      <c r="I1464" s="3">
        <v>0</v>
      </c>
      <c r="J1464" s="3">
        <v>0</v>
      </c>
    </row>
    <row r="1465" spans="1:10" x14ac:dyDescent="0.25">
      <c r="A1465" s="2">
        <v>1465</v>
      </c>
      <c r="B1465" s="18">
        <v>45512.708287037036</v>
      </c>
      <c r="C1465" s="2" t="s">
        <v>347</v>
      </c>
      <c r="D1465" s="2" t="s">
        <v>337</v>
      </c>
      <c r="E1465" s="2" t="s">
        <v>363</v>
      </c>
      <c r="F1465" s="2" t="s">
        <v>33</v>
      </c>
      <c r="G1465" s="3">
        <v>485000</v>
      </c>
      <c r="H1465" s="8">
        <v>120</v>
      </c>
      <c r="I1465" s="3">
        <v>40740000</v>
      </c>
      <c r="J1465" s="3">
        <v>40740000</v>
      </c>
    </row>
    <row r="1466" spans="1:10" x14ac:dyDescent="0.25">
      <c r="A1466" s="2">
        <v>1466</v>
      </c>
      <c r="B1466" s="18">
        <v>45512.708287037036</v>
      </c>
      <c r="C1466" s="2" t="s">
        <v>347</v>
      </c>
      <c r="D1466" s="2" t="s">
        <v>337</v>
      </c>
      <c r="E1466" s="2" t="s">
        <v>363</v>
      </c>
      <c r="F1466" s="2" t="s">
        <v>89</v>
      </c>
      <c r="G1466" s="3">
        <v>390000</v>
      </c>
      <c r="H1466" s="8">
        <v>120</v>
      </c>
      <c r="I1466" s="3">
        <v>0</v>
      </c>
      <c r="J1466" s="3">
        <v>0</v>
      </c>
    </row>
    <row r="1467" spans="1:10" x14ac:dyDescent="0.25">
      <c r="A1467" s="2">
        <v>1467</v>
      </c>
      <c r="B1467" s="18">
        <v>45512.708287037036</v>
      </c>
      <c r="C1467" s="2" t="s">
        <v>347</v>
      </c>
      <c r="D1467" s="2" t="s">
        <v>252</v>
      </c>
      <c r="E1467" s="2" t="s">
        <v>366</v>
      </c>
      <c r="F1467" s="2" t="s">
        <v>23</v>
      </c>
      <c r="G1467" s="3">
        <v>775000</v>
      </c>
      <c r="H1467" s="8">
        <v>0</v>
      </c>
      <c r="I1467" s="3">
        <v>0</v>
      </c>
      <c r="J1467" s="3">
        <v>0</v>
      </c>
    </row>
    <row r="1468" spans="1:10" x14ac:dyDescent="0.25">
      <c r="A1468" s="2">
        <v>1468</v>
      </c>
      <c r="B1468" s="18">
        <v>45512.708287037036</v>
      </c>
      <c r="C1468" s="2" t="s">
        <v>347</v>
      </c>
      <c r="D1468" s="2" t="s">
        <v>252</v>
      </c>
      <c r="E1468" s="2" t="s">
        <v>366</v>
      </c>
      <c r="F1468" s="2" t="s">
        <v>59</v>
      </c>
      <c r="G1468" s="3">
        <v>475000</v>
      </c>
      <c r="H1468" s="8">
        <v>11</v>
      </c>
      <c r="I1468" s="3">
        <v>3553000</v>
      </c>
      <c r="J1468" s="3">
        <v>3553000</v>
      </c>
    </row>
    <row r="1469" spans="1:10" x14ac:dyDescent="0.25">
      <c r="A1469" s="2">
        <v>1469</v>
      </c>
      <c r="B1469" s="18">
        <v>45512.708287037036</v>
      </c>
      <c r="C1469" s="2" t="s">
        <v>347</v>
      </c>
      <c r="D1469" s="2" t="s">
        <v>252</v>
      </c>
      <c r="E1469" s="2" t="s">
        <v>366</v>
      </c>
      <c r="F1469" s="2" t="s">
        <v>33</v>
      </c>
      <c r="G1469" s="3">
        <v>485000</v>
      </c>
      <c r="H1469" s="8">
        <v>12</v>
      </c>
      <c r="I1469" s="3">
        <v>3957600</v>
      </c>
      <c r="J1469" s="3">
        <v>3957600</v>
      </c>
    </row>
    <row r="1470" spans="1:10" x14ac:dyDescent="0.25">
      <c r="A1470" s="2">
        <v>1470</v>
      </c>
      <c r="B1470" s="18">
        <v>45512.708287037036</v>
      </c>
      <c r="C1470" s="2" t="s">
        <v>347</v>
      </c>
      <c r="D1470" s="2" t="s">
        <v>252</v>
      </c>
      <c r="E1470" s="2" t="s">
        <v>366</v>
      </c>
      <c r="F1470" s="2" t="s">
        <v>89</v>
      </c>
      <c r="G1470" s="3">
        <v>390000</v>
      </c>
      <c r="H1470" s="8">
        <v>8</v>
      </c>
      <c r="I1470" s="3">
        <v>0</v>
      </c>
      <c r="J1470" s="3">
        <v>0</v>
      </c>
    </row>
    <row r="1471" spans="1:10" x14ac:dyDescent="0.25">
      <c r="A1471" s="2">
        <v>1471</v>
      </c>
      <c r="B1471" s="18">
        <v>45512.708287037036</v>
      </c>
      <c r="C1471" s="2" t="s">
        <v>347</v>
      </c>
      <c r="D1471" s="2" t="s">
        <v>252</v>
      </c>
      <c r="E1471" s="2" t="s">
        <v>366</v>
      </c>
      <c r="F1471" s="2" t="s">
        <v>47</v>
      </c>
      <c r="G1471" s="3">
        <v>200000</v>
      </c>
      <c r="H1471" s="8">
        <v>11</v>
      </c>
      <c r="I1471" s="3">
        <v>0</v>
      </c>
      <c r="J1471" s="3">
        <v>0</v>
      </c>
    </row>
    <row r="1472" spans="1:10" x14ac:dyDescent="0.25">
      <c r="A1472" s="2">
        <v>1472</v>
      </c>
      <c r="B1472" s="18">
        <v>45513.708287037036</v>
      </c>
      <c r="C1472" s="2" t="s">
        <v>347</v>
      </c>
      <c r="D1472" s="2" t="s">
        <v>107</v>
      </c>
      <c r="E1472" s="2" t="s">
        <v>367</v>
      </c>
      <c r="F1472" s="2" t="s">
        <v>19</v>
      </c>
      <c r="G1472" s="3">
        <v>590000</v>
      </c>
      <c r="H1472" s="8">
        <v>1</v>
      </c>
      <c r="I1472" s="3">
        <v>383500</v>
      </c>
      <c r="J1472" s="3">
        <v>383500</v>
      </c>
    </row>
    <row r="1473" spans="1:10" x14ac:dyDescent="0.25">
      <c r="A1473" s="2">
        <v>1473</v>
      </c>
      <c r="B1473" s="18">
        <v>45513.708287037036</v>
      </c>
      <c r="C1473" s="2" t="s">
        <v>347</v>
      </c>
      <c r="D1473" s="2" t="s">
        <v>107</v>
      </c>
      <c r="E1473" s="2" t="s">
        <v>367</v>
      </c>
      <c r="F1473" s="2" t="s">
        <v>47</v>
      </c>
      <c r="G1473" s="3">
        <v>200000</v>
      </c>
      <c r="H1473" s="8">
        <v>1</v>
      </c>
      <c r="I1473" s="3">
        <v>0</v>
      </c>
      <c r="J1473" s="3">
        <v>0</v>
      </c>
    </row>
    <row r="1474" spans="1:10" x14ac:dyDescent="0.25">
      <c r="A1474" s="2">
        <v>1474</v>
      </c>
      <c r="B1474" s="18">
        <v>45513.708287037036</v>
      </c>
      <c r="C1474" s="2" t="s">
        <v>347</v>
      </c>
      <c r="D1474" s="2" t="s">
        <v>107</v>
      </c>
      <c r="E1474" s="2" t="s">
        <v>367</v>
      </c>
      <c r="F1474" s="2" t="s">
        <v>29</v>
      </c>
      <c r="G1474" s="3">
        <v>590000</v>
      </c>
      <c r="H1474" s="8">
        <v>1</v>
      </c>
      <c r="I1474" s="3">
        <v>383500</v>
      </c>
      <c r="J1474" s="3">
        <v>383500</v>
      </c>
    </row>
    <row r="1475" spans="1:10" x14ac:dyDescent="0.25">
      <c r="A1475" s="2">
        <v>1475</v>
      </c>
      <c r="B1475" s="18">
        <v>45515.708287037036</v>
      </c>
      <c r="C1475" s="2" t="s">
        <v>347</v>
      </c>
      <c r="D1475" s="2" t="s">
        <v>119</v>
      </c>
      <c r="E1475" s="2" t="s">
        <v>370</v>
      </c>
      <c r="F1475" s="2" t="s">
        <v>19</v>
      </c>
      <c r="G1475" s="3">
        <v>590000</v>
      </c>
      <c r="H1475" s="8">
        <v>2</v>
      </c>
      <c r="I1475" s="3">
        <v>849600</v>
      </c>
      <c r="J1475" s="3">
        <v>849600</v>
      </c>
    </row>
    <row r="1476" spans="1:10" x14ac:dyDescent="0.25">
      <c r="A1476" s="2">
        <v>1476</v>
      </c>
      <c r="B1476" s="18">
        <v>45515.708287037036</v>
      </c>
      <c r="C1476" s="2" t="s">
        <v>347</v>
      </c>
      <c r="D1476" s="2" t="s">
        <v>119</v>
      </c>
      <c r="E1476" s="2" t="s">
        <v>370</v>
      </c>
      <c r="F1476" s="2" t="s">
        <v>83</v>
      </c>
      <c r="G1476" s="3">
        <v>790000</v>
      </c>
      <c r="H1476" s="8">
        <v>3</v>
      </c>
      <c r="I1476" s="3">
        <v>1706400</v>
      </c>
      <c r="J1476" s="3">
        <v>1706400</v>
      </c>
    </row>
    <row r="1477" spans="1:10" x14ac:dyDescent="0.25">
      <c r="A1477" s="2">
        <v>1477</v>
      </c>
      <c r="B1477" s="18">
        <v>45515.708287037036</v>
      </c>
      <c r="C1477" s="2" t="s">
        <v>347</v>
      </c>
      <c r="D1477" s="2" t="s">
        <v>119</v>
      </c>
      <c r="E1477" s="2" t="s">
        <v>370</v>
      </c>
      <c r="F1477" s="2" t="s">
        <v>31</v>
      </c>
      <c r="G1477" s="3">
        <v>745000</v>
      </c>
      <c r="H1477" s="8">
        <v>2</v>
      </c>
      <c r="I1477" s="3">
        <v>1072800</v>
      </c>
      <c r="J1477" s="3">
        <v>1072800</v>
      </c>
    </row>
    <row r="1478" spans="1:10" x14ac:dyDescent="0.25">
      <c r="A1478" s="2">
        <v>1478</v>
      </c>
      <c r="B1478" s="18">
        <v>45515.708287037036</v>
      </c>
      <c r="C1478" s="2" t="s">
        <v>347</v>
      </c>
      <c r="D1478" s="2" t="s">
        <v>119</v>
      </c>
      <c r="E1478" s="2" t="s">
        <v>370</v>
      </c>
      <c r="F1478" s="2" t="s">
        <v>57</v>
      </c>
      <c r="G1478" s="3">
        <v>745000</v>
      </c>
      <c r="H1478" s="8">
        <v>2</v>
      </c>
      <c r="I1478" s="3">
        <v>1072800</v>
      </c>
      <c r="J1478" s="3">
        <v>1072800</v>
      </c>
    </row>
    <row r="1479" spans="1:10" x14ac:dyDescent="0.25">
      <c r="A1479" s="2">
        <v>1479</v>
      </c>
      <c r="B1479" s="18">
        <v>45515.708287037036</v>
      </c>
      <c r="C1479" s="2" t="s">
        <v>347</v>
      </c>
      <c r="D1479" s="2" t="s">
        <v>22</v>
      </c>
      <c r="E1479" s="2" t="s">
        <v>363</v>
      </c>
      <c r="F1479" s="2" t="s">
        <v>33</v>
      </c>
      <c r="G1479" s="3">
        <v>485000</v>
      </c>
      <c r="H1479" s="8">
        <v>90</v>
      </c>
      <c r="I1479" s="3">
        <v>30555000</v>
      </c>
      <c r="J1479" s="3">
        <v>30555000</v>
      </c>
    </row>
    <row r="1480" spans="1:10" x14ac:dyDescent="0.25">
      <c r="A1480" s="2">
        <v>1480</v>
      </c>
      <c r="B1480" s="18">
        <v>45515.708287037036</v>
      </c>
      <c r="C1480" s="2" t="s">
        <v>347</v>
      </c>
      <c r="D1480" s="2" t="s">
        <v>22</v>
      </c>
      <c r="E1480" s="2" t="s">
        <v>363</v>
      </c>
      <c r="F1480" s="2" t="s">
        <v>59</v>
      </c>
      <c r="G1480" s="3">
        <v>475000</v>
      </c>
      <c r="H1480" s="8">
        <v>90</v>
      </c>
      <c r="I1480" s="3">
        <v>29925000</v>
      </c>
      <c r="J1480" s="3">
        <v>29925000</v>
      </c>
    </row>
    <row r="1481" spans="1:10" x14ac:dyDescent="0.25">
      <c r="A1481" s="2">
        <v>1481</v>
      </c>
      <c r="B1481" s="18">
        <v>45515.708287037036</v>
      </c>
      <c r="C1481" s="2" t="s">
        <v>347</v>
      </c>
      <c r="D1481" s="2" t="s">
        <v>22</v>
      </c>
      <c r="E1481" s="2" t="s">
        <v>363</v>
      </c>
      <c r="F1481" s="2" t="s">
        <v>85</v>
      </c>
      <c r="G1481" s="3">
        <v>480000</v>
      </c>
      <c r="H1481" s="8">
        <v>90</v>
      </c>
      <c r="I1481" s="3">
        <v>30240000</v>
      </c>
      <c r="J1481" s="3">
        <v>30240000</v>
      </c>
    </row>
    <row r="1482" spans="1:10" x14ac:dyDescent="0.25">
      <c r="A1482" s="2">
        <v>1482</v>
      </c>
      <c r="B1482" s="18">
        <v>45515.708287037036</v>
      </c>
      <c r="C1482" s="2" t="s">
        <v>347</v>
      </c>
      <c r="D1482" s="2" t="s">
        <v>22</v>
      </c>
      <c r="E1482" s="2" t="s">
        <v>363</v>
      </c>
      <c r="F1482" s="2" t="s">
        <v>19</v>
      </c>
      <c r="G1482" s="3">
        <v>590000</v>
      </c>
      <c r="H1482" s="8">
        <v>40</v>
      </c>
      <c r="I1482" s="3">
        <v>16520000</v>
      </c>
      <c r="J1482" s="3">
        <v>16520000</v>
      </c>
    </row>
    <row r="1483" spans="1:10" x14ac:dyDescent="0.25">
      <c r="A1483" s="2">
        <v>1483</v>
      </c>
      <c r="B1483" s="18">
        <v>45515.708287037036</v>
      </c>
      <c r="C1483" s="2" t="s">
        <v>347</v>
      </c>
      <c r="D1483" s="2" t="s">
        <v>22</v>
      </c>
      <c r="E1483" s="2" t="s">
        <v>363</v>
      </c>
      <c r="F1483" s="2" t="s">
        <v>29</v>
      </c>
      <c r="G1483" s="3">
        <v>590000</v>
      </c>
      <c r="H1483" s="8">
        <v>40</v>
      </c>
      <c r="I1483" s="3">
        <v>16520000</v>
      </c>
      <c r="J1483" s="3">
        <v>16520000</v>
      </c>
    </row>
    <row r="1484" spans="1:10" x14ac:dyDescent="0.25">
      <c r="A1484" s="2">
        <v>1484</v>
      </c>
      <c r="B1484" s="18">
        <v>45515.708287037036</v>
      </c>
      <c r="C1484" s="2" t="s">
        <v>347</v>
      </c>
      <c r="D1484" s="2" t="s">
        <v>22</v>
      </c>
      <c r="E1484" s="2" t="s">
        <v>363</v>
      </c>
      <c r="F1484" s="2" t="s">
        <v>23</v>
      </c>
      <c r="G1484" s="3">
        <v>775000</v>
      </c>
      <c r="H1484" s="8">
        <v>44</v>
      </c>
      <c r="I1484" s="3">
        <v>23870000</v>
      </c>
      <c r="J1484" s="3">
        <v>23870000</v>
      </c>
    </row>
    <row r="1485" spans="1:10" x14ac:dyDescent="0.25">
      <c r="A1485" s="2">
        <v>1485</v>
      </c>
      <c r="B1485" s="18">
        <v>45515.708287037036</v>
      </c>
      <c r="C1485" s="2" t="s">
        <v>347</v>
      </c>
      <c r="D1485" s="2" t="s">
        <v>22</v>
      </c>
      <c r="E1485" s="2" t="s">
        <v>363</v>
      </c>
      <c r="F1485" s="2" t="s">
        <v>23</v>
      </c>
      <c r="G1485" s="3">
        <v>775000</v>
      </c>
      <c r="H1485" s="8">
        <v>2</v>
      </c>
      <c r="I1485" s="3">
        <v>0</v>
      </c>
      <c r="J1485" s="3">
        <v>0</v>
      </c>
    </row>
    <row r="1486" spans="1:10" x14ac:dyDescent="0.25">
      <c r="A1486" s="2">
        <v>1486</v>
      </c>
      <c r="B1486" s="18">
        <v>45515.708287037036</v>
      </c>
      <c r="C1486" s="2" t="s">
        <v>347</v>
      </c>
      <c r="D1486" s="2" t="s">
        <v>298</v>
      </c>
      <c r="E1486" s="2" t="s">
        <v>369</v>
      </c>
      <c r="F1486" s="2" t="s">
        <v>23</v>
      </c>
      <c r="G1486" s="3">
        <v>775000</v>
      </c>
      <c r="H1486" s="8">
        <v>3</v>
      </c>
      <c r="I1486" s="3">
        <v>1743750</v>
      </c>
      <c r="J1486" s="3">
        <v>1743750</v>
      </c>
    </row>
    <row r="1487" spans="1:10" x14ac:dyDescent="0.25">
      <c r="A1487" s="2">
        <v>1487</v>
      </c>
      <c r="B1487" s="18">
        <v>45515.708287037036</v>
      </c>
      <c r="C1487" s="2" t="s">
        <v>347</v>
      </c>
      <c r="D1487" s="2" t="s">
        <v>298</v>
      </c>
      <c r="E1487" s="2" t="s">
        <v>369</v>
      </c>
      <c r="F1487" s="2" t="s">
        <v>89</v>
      </c>
      <c r="G1487" s="3">
        <v>390000</v>
      </c>
      <c r="H1487" s="8">
        <v>3</v>
      </c>
      <c r="I1487" s="3">
        <v>0</v>
      </c>
      <c r="J1487" s="3">
        <v>0</v>
      </c>
    </row>
    <row r="1488" spans="1:10" x14ac:dyDescent="0.25">
      <c r="A1488" s="2">
        <v>1488</v>
      </c>
      <c r="B1488" s="18">
        <v>45515.708287037036</v>
      </c>
      <c r="C1488" s="2" t="s">
        <v>347</v>
      </c>
      <c r="D1488" s="2" t="s">
        <v>268</v>
      </c>
      <c r="E1488" s="2" t="s">
        <v>371</v>
      </c>
      <c r="F1488" s="2" t="s">
        <v>421</v>
      </c>
      <c r="G1488" s="3">
        <v>0</v>
      </c>
      <c r="H1488" s="8">
        <v>0</v>
      </c>
      <c r="I1488" s="3">
        <v>0</v>
      </c>
      <c r="J1488" s="3">
        <v>0</v>
      </c>
    </row>
    <row r="1489" spans="1:10" x14ac:dyDescent="0.25">
      <c r="A1489" s="2">
        <v>1489</v>
      </c>
      <c r="B1489" s="18">
        <v>45515.708287037036</v>
      </c>
      <c r="C1489" s="2" t="s">
        <v>347</v>
      </c>
      <c r="D1489" s="2" t="s">
        <v>100</v>
      </c>
      <c r="E1489" s="2" t="s">
        <v>363</v>
      </c>
      <c r="F1489" s="2" t="s">
        <v>33</v>
      </c>
      <c r="G1489" s="3">
        <v>485000</v>
      </c>
      <c r="H1489" s="8">
        <v>90</v>
      </c>
      <c r="I1489" s="3">
        <v>32737500</v>
      </c>
      <c r="J1489" s="3">
        <v>32737500</v>
      </c>
    </row>
    <row r="1490" spans="1:10" x14ac:dyDescent="0.25">
      <c r="A1490" s="2">
        <v>1490</v>
      </c>
      <c r="B1490" s="18">
        <v>45515.708287037036</v>
      </c>
      <c r="C1490" s="2" t="s">
        <v>347</v>
      </c>
      <c r="D1490" s="2" t="s">
        <v>100</v>
      </c>
      <c r="E1490" s="2" t="s">
        <v>363</v>
      </c>
      <c r="F1490" s="2" t="s">
        <v>59</v>
      </c>
      <c r="G1490" s="3">
        <v>475000</v>
      </c>
      <c r="H1490" s="8">
        <v>90</v>
      </c>
      <c r="I1490" s="3">
        <v>32062500</v>
      </c>
      <c r="J1490" s="3">
        <v>32062500</v>
      </c>
    </row>
    <row r="1491" spans="1:10" x14ac:dyDescent="0.25">
      <c r="A1491" s="2">
        <v>1491</v>
      </c>
      <c r="B1491" s="18">
        <v>45515.708287037036</v>
      </c>
      <c r="C1491" s="2" t="s">
        <v>347</v>
      </c>
      <c r="D1491" s="2" t="s">
        <v>100</v>
      </c>
      <c r="E1491" s="2" t="s">
        <v>363</v>
      </c>
      <c r="F1491" s="2" t="s">
        <v>29</v>
      </c>
      <c r="G1491" s="3">
        <v>590000</v>
      </c>
      <c r="H1491" s="8">
        <v>48</v>
      </c>
      <c r="I1491" s="3">
        <v>21240000</v>
      </c>
      <c r="J1491" s="3">
        <v>21240000</v>
      </c>
    </row>
    <row r="1492" spans="1:10" x14ac:dyDescent="0.25">
      <c r="A1492" s="2">
        <v>1492</v>
      </c>
      <c r="B1492" s="18">
        <v>45515.708287037036</v>
      </c>
      <c r="C1492" s="2" t="s">
        <v>347</v>
      </c>
      <c r="D1492" s="2" t="s">
        <v>100</v>
      </c>
      <c r="E1492" s="2" t="s">
        <v>363</v>
      </c>
      <c r="F1492" s="2" t="s">
        <v>85</v>
      </c>
      <c r="G1492" s="3">
        <v>480000</v>
      </c>
      <c r="H1492" s="8">
        <v>90</v>
      </c>
      <c r="I1492" s="3">
        <v>32400000</v>
      </c>
      <c r="J1492" s="3">
        <v>32400000</v>
      </c>
    </row>
    <row r="1493" spans="1:10" x14ac:dyDescent="0.25">
      <c r="A1493" s="2">
        <v>1493</v>
      </c>
      <c r="B1493" s="18">
        <v>45515.708287037036</v>
      </c>
      <c r="C1493" s="2" t="s">
        <v>347</v>
      </c>
      <c r="D1493" s="2" t="s">
        <v>100</v>
      </c>
      <c r="E1493" s="2" t="s">
        <v>363</v>
      </c>
      <c r="F1493" s="2" t="s">
        <v>19</v>
      </c>
      <c r="G1493" s="3">
        <v>590000</v>
      </c>
      <c r="H1493" s="8">
        <v>48</v>
      </c>
      <c r="I1493" s="3">
        <v>21240000</v>
      </c>
      <c r="J1493" s="3">
        <v>21240000</v>
      </c>
    </row>
    <row r="1494" spans="1:10" x14ac:dyDescent="0.25">
      <c r="A1494" s="2">
        <v>1494</v>
      </c>
      <c r="B1494" s="18">
        <v>45515.708287037036</v>
      </c>
      <c r="C1494" s="2" t="s">
        <v>347</v>
      </c>
      <c r="D1494" s="2" t="s">
        <v>100</v>
      </c>
      <c r="E1494" s="2" t="s">
        <v>363</v>
      </c>
      <c r="F1494" s="2" t="s">
        <v>23</v>
      </c>
      <c r="G1494" s="3">
        <v>775000</v>
      </c>
      <c r="H1494" s="8">
        <v>110</v>
      </c>
      <c r="I1494" s="3">
        <v>68200000</v>
      </c>
      <c r="J1494" s="3">
        <v>68200000</v>
      </c>
    </row>
    <row r="1495" spans="1:10" x14ac:dyDescent="0.25">
      <c r="A1495" s="2">
        <v>1495</v>
      </c>
      <c r="B1495" s="18">
        <v>45515.708287037036</v>
      </c>
      <c r="C1495" s="2" t="s">
        <v>347</v>
      </c>
      <c r="D1495" s="2" t="s">
        <v>100</v>
      </c>
      <c r="E1495" s="2" t="s">
        <v>363</v>
      </c>
      <c r="F1495" s="2" t="s">
        <v>23</v>
      </c>
      <c r="G1495" s="3">
        <v>775000</v>
      </c>
      <c r="H1495" s="8">
        <v>5</v>
      </c>
      <c r="I1495" s="3">
        <v>0</v>
      </c>
      <c r="J1495" s="3">
        <v>0</v>
      </c>
    </row>
    <row r="1496" spans="1:10" x14ac:dyDescent="0.25">
      <c r="A1496" s="2">
        <v>1496</v>
      </c>
      <c r="B1496" s="18">
        <v>45515.708287037036</v>
      </c>
      <c r="C1496" s="2" t="s">
        <v>347</v>
      </c>
      <c r="D1496" s="2" t="s">
        <v>100</v>
      </c>
      <c r="E1496" s="2" t="s">
        <v>363</v>
      </c>
      <c r="F1496" s="2" t="s">
        <v>89</v>
      </c>
      <c r="G1496" s="3">
        <v>390000</v>
      </c>
      <c r="H1496" s="8">
        <v>333</v>
      </c>
      <c r="I1496" s="3">
        <v>0</v>
      </c>
      <c r="J1496" s="3">
        <v>0</v>
      </c>
    </row>
    <row r="1497" spans="1:10" x14ac:dyDescent="0.25">
      <c r="A1497" s="2">
        <v>1497</v>
      </c>
      <c r="B1497" s="18">
        <v>45515.708287037036</v>
      </c>
      <c r="C1497" s="2" t="s">
        <v>347</v>
      </c>
      <c r="D1497" s="2" t="s">
        <v>100</v>
      </c>
      <c r="E1497" s="2" t="s">
        <v>363</v>
      </c>
      <c r="F1497" s="2" t="s">
        <v>47</v>
      </c>
      <c r="G1497" s="3">
        <v>200000</v>
      </c>
      <c r="H1497" s="8">
        <v>143</v>
      </c>
      <c r="I1497" s="3">
        <v>0</v>
      </c>
      <c r="J1497" s="3">
        <v>0</v>
      </c>
    </row>
    <row r="1498" spans="1:10" x14ac:dyDescent="0.25">
      <c r="A1498" s="2">
        <v>1498</v>
      </c>
      <c r="B1498" s="18">
        <v>45516.708287037036</v>
      </c>
      <c r="C1498" s="2" t="s">
        <v>347</v>
      </c>
      <c r="D1498" s="2" t="s">
        <v>330</v>
      </c>
      <c r="E1498" s="2" t="s">
        <v>363</v>
      </c>
      <c r="F1498" s="2" t="s">
        <v>23</v>
      </c>
      <c r="G1498" s="3">
        <v>775000</v>
      </c>
      <c r="H1498" s="8">
        <v>12</v>
      </c>
      <c r="I1498" s="3">
        <v>6743997.300000001</v>
      </c>
      <c r="J1498" s="3">
        <v>6743997.300000001</v>
      </c>
    </row>
    <row r="1499" spans="1:10" x14ac:dyDescent="0.25">
      <c r="A1499" s="2">
        <v>1499</v>
      </c>
      <c r="B1499" s="18">
        <v>45516.708287037036</v>
      </c>
      <c r="C1499" s="2" t="s">
        <v>347</v>
      </c>
      <c r="D1499" s="2" t="s">
        <v>297</v>
      </c>
      <c r="E1499" s="2" t="s">
        <v>364</v>
      </c>
      <c r="F1499" s="2" t="s">
        <v>71</v>
      </c>
      <c r="G1499" s="3">
        <v>850000</v>
      </c>
      <c r="H1499" s="8">
        <v>11</v>
      </c>
      <c r="I1499" s="3">
        <v>4675000</v>
      </c>
      <c r="J1499" s="3">
        <v>4675000</v>
      </c>
    </row>
    <row r="1500" spans="1:10" x14ac:dyDescent="0.25">
      <c r="A1500" s="2">
        <v>1500</v>
      </c>
      <c r="B1500" s="18">
        <v>45516.708287037036</v>
      </c>
      <c r="C1500" s="2" t="s">
        <v>347</v>
      </c>
      <c r="D1500" s="2" t="s">
        <v>296</v>
      </c>
      <c r="E1500" s="2" t="s">
        <v>363</v>
      </c>
      <c r="F1500" s="2" t="s">
        <v>33</v>
      </c>
      <c r="G1500" s="3">
        <v>485000</v>
      </c>
      <c r="H1500" s="8">
        <v>90</v>
      </c>
      <c r="I1500" s="3">
        <v>30555000</v>
      </c>
      <c r="J1500" s="3">
        <v>30555000</v>
      </c>
    </row>
    <row r="1501" spans="1:10" x14ac:dyDescent="0.25">
      <c r="A1501" s="2">
        <v>1501</v>
      </c>
      <c r="B1501" s="18">
        <v>45516.708287037036</v>
      </c>
      <c r="C1501" s="2" t="s">
        <v>347</v>
      </c>
      <c r="D1501" s="2" t="s">
        <v>296</v>
      </c>
      <c r="E1501" s="2" t="s">
        <v>363</v>
      </c>
      <c r="F1501" s="2" t="s">
        <v>59</v>
      </c>
      <c r="G1501" s="3">
        <v>475000</v>
      </c>
      <c r="H1501" s="8">
        <v>90</v>
      </c>
      <c r="I1501" s="3">
        <v>29925000</v>
      </c>
      <c r="J1501" s="3">
        <v>29925000</v>
      </c>
    </row>
    <row r="1502" spans="1:10" x14ac:dyDescent="0.25">
      <c r="A1502" s="2">
        <v>1502</v>
      </c>
      <c r="B1502" s="18">
        <v>45516.708287037036</v>
      </c>
      <c r="C1502" s="2" t="s">
        <v>347</v>
      </c>
      <c r="D1502" s="2" t="s">
        <v>296</v>
      </c>
      <c r="E1502" s="2" t="s">
        <v>363</v>
      </c>
      <c r="F1502" s="2" t="s">
        <v>85</v>
      </c>
      <c r="G1502" s="3">
        <v>480000</v>
      </c>
      <c r="H1502" s="8">
        <v>90</v>
      </c>
      <c r="I1502" s="3">
        <v>30240000</v>
      </c>
      <c r="J1502" s="3">
        <v>30240000</v>
      </c>
    </row>
    <row r="1503" spans="1:10" x14ac:dyDescent="0.25">
      <c r="A1503" s="2">
        <v>1503</v>
      </c>
      <c r="B1503" s="18">
        <v>45516.708287037036</v>
      </c>
      <c r="C1503" s="2" t="s">
        <v>347</v>
      </c>
      <c r="D1503" s="2" t="s">
        <v>296</v>
      </c>
      <c r="E1503" s="2" t="s">
        <v>363</v>
      </c>
      <c r="F1503" s="2" t="s">
        <v>19</v>
      </c>
      <c r="G1503" s="3">
        <v>590000</v>
      </c>
      <c r="H1503" s="8">
        <v>40</v>
      </c>
      <c r="I1503" s="3">
        <v>16520000</v>
      </c>
      <c r="J1503" s="3">
        <v>16520000</v>
      </c>
    </row>
    <row r="1504" spans="1:10" x14ac:dyDescent="0.25">
      <c r="A1504" s="2">
        <v>1504</v>
      </c>
      <c r="B1504" s="18">
        <v>45516.708287037036</v>
      </c>
      <c r="C1504" s="2" t="s">
        <v>347</v>
      </c>
      <c r="D1504" s="2" t="s">
        <v>296</v>
      </c>
      <c r="E1504" s="2" t="s">
        <v>363</v>
      </c>
      <c r="F1504" s="2" t="s">
        <v>29</v>
      </c>
      <c r="G1504" s="3">
        <v>590000</v>
      </c>
      <c r="H1504" s="8">
        <v>40</v>
      </c>
      <c r="I1504" s="3">
        <v>16520000</v>
      </c>
      <c r="J1504" s="3">
        <v>16520000</v>
      </c>
    </row>
    <row r="1505" spans="1:10" x14ac:dyDescent="0.25">
      <c r="A1505" s="2">
        <v>1505</v>
      </c>
      <c r="B1505" s="18">
        <v>45516.708287037036</v>
      </c>
      <c r="C1505" s="2" t="s">
        <v>347</v>
      </c>
      <c r="D1505" s="2" t="s">
        <v>296</v>
      </c>
      <c r="E1505" s="2" t="s">
        <v>363</v>
      </c>
      <c r="F1505" s="2" t="s">
        <v>23</v>
      </c>
      <c r="G1505" s="3">
        <v>775000</v>
      </c>
      <c r="H1505" s="8">
        <v>44</v>
      </c>
      <c r="I1505" s="3">
        <v>23870000</v>
      </c>
      <c r="J1505" s="3">
        <v>23870000</v>
      </c>
    </row>
    <row r="1506" spans="1:10" x14ac:dyDescent="0.25">
      <c r="A1506" s="2">
        <v>1506</v>
      </c>
      <c r="B1506" s="18">
        <v>45516.708287037036</v>
      </c>
      <c r="C1506" s="2" t="s">
        <v>347</v>
      </c>
      <c r="D1506" s="2" t="s">
        <v>296</v>
      </c>
      <c r="E1506" s="2" t="s">
        <v>363</v>
      </c>
      <c r="F1506" s="2" t="s">
        <v>23</v>
      </c>
      <c r="G1506" s="3">
        <v>775000</v>
      </c>
      <c r="H1506" s="8">
        <v>2</v>
      </c>
      <c r="I1506" s="3">
        <v>0</v>
      </c>
      <c r="J1506" s="3">
        <v>0</v>
      </c>
    </row>
    <row r="1507" spans="1:10" x14ac:dyDescent="0.25">
      <c r="A1507" s="2">
        <v>1507</v>
      </c>
      <c r="B1507" s="18">
        <v>45516.708287037036</v>
      </c>
      <c r="C1507" s="2" t="s">
        <v>347</v>
      </c>
      <c r="D1507" s="2" t="s">
        <v>297</v>
      </c>
      <c r="E1507" s="2" t="s">
        <v>364</v>
      </c>
      <c r="F1507" s="2" t="s">
        <v>89</v>
      </c>
      <c r="G1507" s="3">
        <v>390000</v>
      </c>
      <c r="H1507" s="8">
        <v>11</v>
      </c>
      <c r="I1507" s="3">
        <v>0</v>
      </c>
      <c r="J1507" s="3">
        <v>0</v>
      </c>
    </row>
    <row r="1508" spans="1:10" x14ac:dyDescent="0.25">
      <c r="A1508" s="2">
        <v>1508</v>
      </c>
      <c r="B1508" s="18">
        <v>45516.708287037036</v>
      </c>
      <c r="C1508" s="2" t="s">
        <v>347</v>
      </c>
      <c r="D1508" s="2" t="s">
        <v>316</v>
      </c>
      <c r="E1508" s="2" t="s">
        <v>363</v>
      </c>
      <c r="F1508" s="2" t="s">
        <v>33</v>
      </c>
      <c r="G1508" s="3">
        <v>485000</v>
      </c>
      <c r="H1508" s="8">
        <v>45</v>
      </c>
      <c r="I1508" s="3">
        <v>16368750</v>
      </c>
      <c r="J1508" s="3">
        <v>16368750</v>
      </c>
    </row>
    <row r="1509" spans="1:10" x14ac:dyDescent="0.25">
      <c r="A1509" s="2">
        <v>1509</v>
      </c>
      <c r="B1509" s="18">
        <v>45516.708287037036</v>
      </c>
      <c r="C1509" s="2" t="s">
        <v>347</v>
      </c>
      <c r="D1509" s="2" t="s">
        <v>316</v>
      </c>
      <c r="E1509" s="2" t="s">
        <v>363</v>
      </c>
      <c r="F1509" s="2" t="s">
        <v>59</v>
      </c>
      <c r="G1509" s="3">
        <v>475000</v>
      </c>
      <c r="H1509" s="8">
        <v>45</v>
      </c>
      <c r="I1509" s="3">
        <v>16031250</v>
      </c>
      <c r="J1509" s="3">
        <v>16031250</v>
      </c>
    </row>
    <row r="1510" spans="1:10" x14ac:dyDescent="0.25">
      <c r="A1510" s="2">
        <v>1510</v>
      </c>
      <c r="B1510" s="18">
        <v>45516.708287037036</v>
      </c>
      <c r="C1510" s="2" t="s">
        <v>347</v>
      </c>
      <c r="D1510" s="2" t="s">
        <v>316</v>
      </c>
      <c r="E1510" s="2" t="s">
        <v>363</v>
      </c>
      <c r="F1510" s="2" t="s">
        <v>89</v>
      </c>
      <c r="G1510" s="3">
        <v>390000</v>
      </c>
      <c r="H1510" s="8">
        <v>45</v>
      </c>
      <c r="I1510" s="3">
        <v>0</v>
      </c>
      <c r="J1510" s="3">
        <v>0</v>
      </c>
    </row>
    <row r="1511" spans="1:10" x14ac:dyDescent="0.25">
      <c r="A1511" s="2">
        <v>1511</v>
      </c>
      <c r="B1511" s="18">
        <v>45516.708287037036</v>
      </c>
      <c r="C1511" s="2" t="s">
        <v>347</v>
      </c>
      <c r="D1511" s="2" t="s">
        <v>316</v>
      </c>
      <c r="E1511" s="2" t="s">
        <v>363</v>
      </c>
      <c r="F1511" s="2" t="s">
        <v>47</v>
      </c>
      <c r="G1511" s="3">
        <v>200000</v>
      </c>
      <c r="H1511" s="8">
        <v>45</v>
      </c>
      <c r="I1511" s="3">
        <v>0</v>
      </c>
      <c r="J1511" s="3">
        <v>0</v>
      </c>
    </row>
    <row r="1512" spans="1:10" x14ac:dyDescent="0.25">
      <c r="A1512" s="2">
        <v>1512</v>
      </c>
      <c r="B1512" s="18">
        <v>45516.708287037036</v>
      </c>
      <c r="C1512" s="2" t="s">
        <v>347</v>
      </c>
      <c r="D1512" s="2" t="s">
        <v>316</v>
      </c>
      <c r="E1512" s="2" t="s">
        <v>363</v>
      </c>
      <c r="F1512" s="2" t="s">
        <v>33</v>
      </c>
      <c r="G1512" s="3">
        <v>485000</v>
      </c>
      <c r="H1512" s="8">
        <v>45</v>
      </c>
      <c r="I1512" s="3">
        <v>15277500</v>
      </c>
      <c r="J1512" s="3">
        <v>15277500</v>
      </c>
    </row>
    <row r="1513" spans="1:10" x14ac:dyDescent="0.25">
      <c r="A1513" s="2">
        <v>1513</v>
      </c>
      <c r="B1513" s="18">
        <v>45516.708287037036</v>
      </c>
      <c r="C1513" s="2" t="s">
        <v>347</v>
      </c>
      <c r="D1513" s="2" t="s">
        <v>316</v>
      </c>
      <c r="E1513" s="2" t="s">
        <v>363</v>
      </c>
      <c r="F1513" s="2" t="s">
        <v>59</v>
      </c>
      <c r="G1513" s="3">
        <v>475000</v>
      </c>
      <c r="H1513" s="8">
        <v>45</v>
      </c>
      <c r="I1513" s="3">
        <v>14962500</v>
      </c>
      <c r="J1513" s="3">
        <v>14962500</v>
      </c>
    </row>
    <row r="1514" spans="1:10" x14ac:dyDescent="0.25">
      <c r="A1514" s="2">
        <v>1514</v>
      </c>
      <c r="B1514" s="18">
        <v>45517.708287037036</v>
      </c>
      <c r="C1514" s="2" t="s">
        <v>347</v>
      </c>
      <c r="D1514" s="2" t="s">
        <v>276</v>
      </c>
      <c r="E1514" s="2" t="s">
        <v>369</v>
      </c>
      <c r="F1514" s="2" t="s">
        <v>63</v>
      </c>
      <c r="G1514" s="3">
        <v>550000</v>
      </c>
      <c r="H1514" s="8">
        <v>6</v>
      </c>
      <c r="I1514" s="3">
        <v>2475000</v>
      </c>
      <c r="J1514" s="3">
        <v>2475000</v>
      </c>
    </row>
    <row r="1515" spans="1:10" x14ac:dyDescent="0.25">
      <c r="A1515" s="2">
        <v>1515</v>
      </c>
      <c r="B1515" s="18">
        <v>45517.708287037036</v>
      </c>
      <c r="C1515" s="2" t="s">
        <v>347</v>
      </c>
      <c r="D1515" s="2" t="s">
        <v>276</v>
      </c>
      <c r="E1515" s="2" t="s">
        <v>369</v>
      </c>
      <c r="F1515" s="2" t="s">
        <v>63</v>
      </c>
      <c r="G1515" s="3">
        <v>550000</v>
      </c>
      <c r="H1515" s="8">
        <v>1</v>
      </c>
      <c r="I1515" s="3">
        <v>0</v>
      </c>
      <c r="J1515" s="3">
        <v>0</v>
      </c>
    </row>
    <row r="1516" spans="1:10" x14ac:dyDescent="0.25">
      <c r="A1516" s="2">
        <v>1516</v>
      </c>
      <c r="B1516" s="18">
        <v>45517.708287037036</v>
      </c>
      <c r="C1516" s="2" t="s">
        <v>347</v>
      </c>
      <c r="D1516" s="2" t="s">
        <v>276</v>
      </c>
      <c r="E1516" s="2" t="s">
        <v>369</v>
      </c>
      <c r="F1516" s="2" t="s">
        <v>89</v>
      </c>
      <c r="G1516" s="3">
        <v>390000</v>
      </c>
      <c r="H1516" s="8">
        <v>7</v>
      </c>
      <c r="I1516" s="3">
        <v>0</v>
      </c>
      <c r="J1516" s="3">
        <v>0</v>
      </c>
    </row>
    <row r="1517" spans="1:10" x14ac:dyDescent="0.25">
      <c r="A1517" s="2">
        <v>1517</v>
      </c>
      <c r="B1517" s="18">
        <v>45517.708287037036</v>
      </c>
      <c r="C1517" s="2" t="s">
        <v>347</v>
      </c>
      <c r="D1517" s="2" t="s">
        <v>309</v>
      </c>
      <c r="E1517" s="2" t="s">
        <v>367</v>
      </c>
      <c r="F1517" s="2" t="s">
        <v>19</v>
      </c>
      <c r="G1517" s="3">
        <v>590000</v>
      </c>
      <c r="H1517" s="8">
        <v>1</v>
      </c>
      <c r="I1517" s="3">
        <v>383500</v>
      </c>
      <c r="J1517" s="3">
        <v>383500</v>
      </c>
    </row>
    <row r="1518" spans="1:10" x14ac:dyDescent="0.25">
      <c r="A1518" s="2">
        <v>1518</v>
      </c>
      <c r="B1518" s="18">
        <v>45517.708287037036</v>
      </c>
      <c r="C1518" s="2" t="s">
        <v>347</v>
      </c>
      <c r="D1518" s="2" t="s">
        <v>72</v>
      </c>
      <c r="E1518" s="2" t="s">
        <v>364</v>
      </c>
      <c r="F1518" s="2" t="s">
        <v>421</v>
      </c>
      <c r="G1518" s="3">
        <v>0</v>
      </c>
      <c r="H1518" s="8">
        <v>0</v>
      </c>
      <c r="I1518" s="3">
        <v>0</v>
      </c>
      <c r="J1518" s="3">
        <v>0</v>
      </c>
    </row>
    <row r="1519" spans="1:10" x14ac:dyDescent="0.25">
      <c r="A1519" s="2">
        <v>1519</v>
      </c>
      <c r="B1519" s="18">
        <v>45519.708287037036</v>
      </c>
      <c r="C1519" s="2" t="s">
        <v>347</v>
      </c>
      <c r="D1519" s="2" t="s">
        <v>299</v>
      </c>
      <c r="E1519" s="2" t="s">
        <v>369</v>
      </c>
      <c r="F1519" s="2" t="s">
        <v>23</v>
      </c>
      <c r="G1519" s="3">
        <v>775000</v>
      </c>
      <c r="H1519" s="8">
        <v>22</v>
      </c>
      <c r="I1519" s="3">
        <v>12787500</v>
      </c>
      <c r="J1519" s="3">
        <v>12787500</v>
      </c>
    </row>
    <row r="1520" spans="1:10" x14ac:dyDescent="0.25">
      <c r="A1520" s="2">
        <v>1520</v>
      </c>
      <c r="B1520" s="18">
        <v>45519.708287037036</v>
      </c>
      <c r="C1520" s="2" t="s">
        <v>347</v>
      </c>
      <c r="D1520" s="2" t="s">
        <v>299</v>
      </c>
      <c r="E1520" s="2" t="s">
        <v>369</v>
      </c>
      <c r="F1520" s="2" t="s">
        <v>23</v>
      </c>
      <c r="G1520" s="3">
        <v>775000</v>
      </c>
      <c r="H1520" s="8">
        <v>1</v>
      </c>
      <c r="I1520" s="3">
        <v>0</v>
      </c>
      <c r="J1520" s="3">
        <v>0</v>
      </c>
    </row>
    <row r="1521" spans="1:10" x14ac:dyDescent="0.25">
      <c r="A1521" s="2">
        <v>1521</v>
      </c>
      <c r="B1521" s="18">
        <v>45519.708287037036</v>
      </c>
      <c r="C1521" s="2" t="s">
        <v>347</v>
      </c>
      <c r="D1521" s="2" t="s">
        <v>299</v>
      </c>
      <c r="E1521" s="2" t="s">
        <v>369</v>
      </c>
      <c r="F1521" s="2" t="s">
        <v>29</v>
      </c>
      <c r="G1521" s="3">
        <v>590000</v>
      </c>
      <c r="H1521" s="8">
        <v>48</v>
      </c>
      <c r="I1521" s="3">
        <v>16992000</v>
      </c>
      <c r="J1521" s="3">
        <v>16992000</v>
      </c>
    </row>
    <row r="1522" spans="1:10" x14ac:dyDescent="0.25">
      <c r="A1522" s="2">
        <v>1522</v>
      </c>
      <c r="B1522" s="18">
        <v>45519.708287037036</v>
      </c>
      <c r="C1522" s="2" t="s">
        <v>347</v>
      </c>
      <c r="D1522" s="2" t="s">
        <v>299</v>
      </c>
      <c r="E1522" s="2" t="s">
        <v>369</v>
      </c>
      <c r="F1522" s="2" t="s">
        <v>35</v>
      </c>
      <c r="G1522" s="3">
        <v>525000</v>
      </c>
      <c r="H1522" s="8">
        <v>5</v>
      </c>
      <c r="I1522" s="3">
        <v>1575000</v>
      </c>
      <c r="J1522" s="3">
        <v>1575000</v>
      </c>
    </row>
    <row r="1523" spans="1:10" x14ac:dyDescent="0.25">
      <c r="A1523" s="2">
        <v>1523</v>
      </c>
      <c r="B1523" s="18">
        <v>45519.708287037036</v>
      </c>
      <c r="C1523" s="2" t="s">
        <v>347</v>
      </c>
      <c r="D1523" s="2" t="s">
        <v>299</v>
      </c>
      <c r="E1523" s="2" t="s">
        <v>369</v>
      </c>
      <c r="F1523" s="2" t="s">
        <v>89</v>
      </c>
      <c r="G1523" s="3">
        <v>390000</v>
      </c>
      <c r="H1523" s="8">
        <v>76</v>
      </c>
      <c r="I1523" s="3">
        <v>0</v>
      </c>
      <c r="J1523" s="3">
        <v>0</v>
      </c>
    </row>
    <row r="1524" spans="1:10" x14ac:dyDescent="0.25">
      <c r="A1524" s="2">
        <v>1524</v>
      </c>
      <c r="B1524" s="18">
        <v>45519.708287037036</v>
      </c>
      <c r="C1524" s="2" t="s">
        <v>347</v>
      </c>
      <c r="D1524" s="2" t="s">
        <v>125</v>
      </c>
      <c r="E1524" s="2" t="s">
        <v>367</v>
      </c>
      <c r="F1524" s="2" t="s">
        <v>33</v>
      </c>
      <c r="G1524" s="3">
        <v>485000</v>
      </c>
      <c r="H1524" s="8">
        <v>1</v>
      </c>
      <c r="I1524" s="3">
        <v>0</v>
      </c>
      <c r="J1524" s="3">
        <v>0</v>
      </c>
    </row>
    <row r="1525" spans="1:10" x14ac:dyDescent="0.25">
      <c r="A1525" s="2">
        <v>1525</v>
      </c>
      <c r="B1525" s="18">
        <v>45519.708287037036</v>
      </c>
      <c r="C1525" s="2" t="s">
        <v>347</v>
      </c>
      <c r="D1525" s="2" t="s">
        <v>125</v>
      </c>
      <c r="E1525" s="2" t="s">
        <v>367</v>
      </c>
      <c r="F1525" s="2" t="s">
        <v>59</v>
      </c>
      <c r="G1525" s="3">
        <v>475000</v>
      </c>
      <c r="H1525" s="8">
        <v>1</v>
      </c>
      <c r="I1525" s="3">
        <v>0</v>
      </c>
      <c r="J1525" s="3">
        <v>0</v>
      </c>
    </row>
    <row r="1526" spans="1:10" x14ac:dyDescent="0.25">
      <c r="A1526" s="2">
        <v>1526</v>
      </c>
      <c r="B1526" s="18">
        <v>45519.708287037036</v>
      </c>
      <c r="C1526" s="2" t="s">
        <v>347</v>
      </c>
      <c r="D1526" s="2" t="s">
        <v>125</v>
      </c>
      <c r="E1526" s="2" t="s">
        <v>367</v>
      </c>
      <c r="F1526" s="2" t="s">
        <v>33</v>
      </c>
      <c r="G1526" s="3">
        <v>485000</v>
      </c>
      <c r="H1526" s="8">
        <v>1</v>
      </c>
      <c r="I1526" s="3">
        <v>0</v>
      </c>
      <c r="J1526" s="3">
        <v>0</v>
      </c>
    </row>
    <row r="1527" spans="1:10" x14ac:dyDescent="0.25">
      <c r="A1527" s="2">
        <v>1527</v>
      </c>
      <c r="B1527" s="18">
        <v>45519.708287037036</v>
      </c>
      <c r="C1527" s="2" t="s">
        <v>347</v>
      </c>
      <c r="D1527" s="2" t="s">
        <v>125</v>
      </c>
      <c r="E1527" s="2" t="s">
        <v>367</v>
      </c>
      <c r="F1527" s="2" t="s">
        <v>59</v>
      </c>
      <c r="G1527" s="3">
        <v>475000</v>
      </c>
      <c r="H1527" s="8">
        <v>1</v>
      </c>
      <c r="I1527" s="3">
        <v>0</v>
      </c>
      <c r="J1527" s="3">
        <v>0</v>
      </c>
    </row>
    <row r="1528" spans="1:10" x14ac:dyDescent="0.25">
      <c r="A1528" s="2">
        <v>1528</v>
      </c>
      <c r="B1528" s="18">
        <v>45504.708287037036</v>
      </c>
      <c r="C1528" s="2" t="s">
        <v>346</v>
      </c>
      <c r="D1528" s="2" t="s">
        <v>110</v>
      </c>
      <c r="E1528" s="2" t="s">
        <v>363</v>
      </c>
      <c r="F1528" s="2" t="s">
        <v>421</v>
      </c>
      <c r="G1528" s="3">
        <v>0</v>
      </c>
      <c r="H1528" s="8">
        <v>0</v>
      </c>
      <c r="I1528" s="3">
        <v>0</v>
      </c>
      <c r="J1528" s="3">
        <v>0</v>
      </c>
    </row>
    <row r="1529" spans="1:10" x14ac:dyDescent="0.25">
      <c r="A1529" s="2">
        <v>1529</v>
      </c>
      <c r="B1529" s="18">
        <v>45504.708287037036</v>
      </c>
      <c r="C1529" s="2" t="s">
        <v>346</v>
      </c>
      <c r="D1529" s="2" t="s">
        <v>110</v>
      </c>
      <c r="E1529" s="2" t="s">
        <v>363</v>
      </c>
      <c r="F1529" s="2" t="s">
        <v>421</v>
      </c>
      <c r="G1529" s="3">
        <v>0</v>
      </c>
      <c r="H1529" s="8">
        <v>0</v>
      </c>
      <c r="I1529" s="3">
        <v>0</v>
      </c>
      <c r="J1529" s="3">
        <v>0</v>
      </c>
    </row>
    <row r="1530" spans="1:10" x14ac:dyDescent="0.25">
      <c r="A1530" s="2">
        <v>1530</v>
      </c>
      <c r="B1530" s="18">
        <v>45504.708287037036</v>
      </c>
      <c r="C1530" s="2" t="s">
        <v>346</v>
      </c>
      <c r="D1530" s="2" t="s">
        <v>74</v>
      </c>
      <c r="E1530" s="2" t="s">
        <v>369</v>
      </c>
      <c r="F1530" s="2" t="s">
        <v>421</v>
      </c>
      <c r="G1530" s="3">
        <v>0</v>
      </c>
      <c r="H1530" s="8">
        <v>0</v>
      </c>
      <c r="I1530" s="3">
        <v>0</v>
      </c>
      <c r="J1530" s="3">
        <v>0</v>
      </c>
    </row>
    <row r="1531" spans="1:10" x14ac:dyDescent="0.25">
      <c r="A1531" s="2">
        <v>1531</v>
      </c>
      <c r="B1531" s="18">
        <v>45504.708287037036</v>
      </c>
      <c r="C1531" s="2" t="s">
        <v>346</v>
      </c>
      <c r="D1531" s="2" t="s">
        <v>74</v>
      </c>
      <c r="E1531" s="2" t="s">
        <v>369</v>
      </c>
      <c r="F1531" s="2" t="s">
        <v>421</v>
      </c>
      <c r="G1531" s="3">
        <v>0</v>
      </c>
      <c r="H1531" s="8">
        <v>0</v>
      </c>
      <c r="I1531" s="3">
        <v>0</v>
      </c>
      <c r="J1531" s="3">
        <v>0</v>
      </c>
    </row>
    <row r="1532" spans="1:10" x14ac:dyDescent="0.25">
      <c r="A1532" s="2">
        <v>1532</v>
      </c>
      <c r="B1532" s="18">
        <v>45504.708287037036</v>
      </c>
      <c r="C1532" s="2" t="s">
        <v>346</v>
      </c>
      <c r="D1532" s="2" t="s">
        <v>74</v>
      </c>
      <c r="E1532" s="2" t="s">
        <v>369</v>
      </c>
      <c r="F1532" s="2" t="s">
        <v>421</v>
      </c>
      <c r="G1532" s="3">
        <v>0</v>
      </c>
      <c r="H1532" s="8">
        <v>0</v>
      </c>
      <c r="I1532" s="3">
        <v>0</v>
      </c>
      <c r="J1532" s="3">
        <v>0</v>
      </c>
    </row>
    <row r="1533" spans="1:10" x14ac:dyDescent="0.25">
      <c r="A1533" s="2">
        <v>1534</v>
      </c>
      <c r="B1533" s="18">
        <v>45519.708287037036</v>
      </c>
      <c r="C1533" s="2" t="s">
        <v>347</v>
      </c>
      <c r="D1533" s="2" t="s">
        <v>283</v>
      </c>
      <c r="E1533" s="2" t="s">
        <v>369</v>
      </c>
      <c r="F1533" s="2" t="s">
        <v>23</v>
      </c>
      <c r="G1533" s="3">
        <v>775000</v>
      </c>
      <c r="H1533" s="8">
        <v>10</v>
      </c>
      <c r="I1533" s="3">
        <v>5812500</v>
      </c>
      <c r="J1533" s="3">
        <v>5812500</v>
      </c>
    </row>
    <row r="1534" spans="1:10" x14ac:dyDescent="0.25">
      <c r="A1534" s="2">
        <v>1535</v>
      </c>
      <c r="B1534" s="18">
        <v>45519.708287037036</v>
      </c>
      <c r="C1534" s="2" t="s">
        <v>347</v>
      </c>
      <c r="D1534" s="2" t="s">
        <v>283</v>
      </c>
      <c r="E1534" s="2" t="s">
        <v>369</v>
      </c>
      <c r="F1534" s="2" t="s">
        <v>89</v>
      </c>
      <c r="G1534" s="3">
        <v>390000</v>
      </c>
      <c r="H1534" s="8">
        <v>10</v>
      </c>
      <c r="I1534" s="3">
        <v>0</v>
      </c>
      <c r="J1534" s="3">
        <v>0</v>
      </c>
    </row>
    <row r="1535" spans="1:10" x14ac:dyDescent="0.25">
      <c r="A1535" s="2">
        <v>1536</v>
      </c>
      <c r="B1535" s="18">
        <v>45519.708287037036</v>
      </c>
      <c r="C1535" s="2" t="s">
        <v>347</v>
      </c>
      <c r="D1535" s="2" t="s">
        <v>283</v>
      </c>
      <c r="E1535" s="2" t="s">
        <v>369</v>
      </c>
      <c r="F1535" s="2" t="s">
        <v>85</v>
      </c>
      <c r="G1535" s="3">
        <v>480000</v>
      </c>
      <c r="H1535" s="8">
        <v>5</v>
      </c>
      <c r="I1535" s="3">
        <v>1200000</v>
      </c>
      <c r="J1535" s="3">
        <v>1200000</v>
      </c>
    </row>
    <row r="1536" spans="1:10" x14ac:dyDescent="0.25">
      <c r="A1536" s="2">
        <v>1537</v>
      </c>
      <c r="B1536" s="18">
        <v>45519.708287037036</v>
      </c>
      <c r="C1536" s="2" t="s">
        <v>347</v>
      </c>
      <c r="D1536" s="2" t="s">
        <v>283</v>
      </c>
      <c r="E1536" s="2" t="s">
        <v>369</v>
      </c>
      <c r="F1536" s="2" t="s">
        <v>89</v>
      </c>
      <c r="G1536" s="3">
        <v>390000</v>
      </c>
      <c r="H1536" s="8">
        <v>5</v>
      </c>
      <c r="I1536" s="3">
        <v>0</v>
      </c>
      <c r="J1536" s="3">
        <v>0</v>
      </c>
    </row>
    <row r="1537" spans="1:10" x14ac:dyDescent="0.25">
      <c r="A1537" s="2">
        <v>1538</v>
      </c>
      <c r="B1537" s="18">
        <v>45520.708287037036</v>
      </c>
      <c r="C1537" s="2" t="s">
        <v>347</v>
      </c>
      <c r="D1537" s="2" t="s">
        <v>272</v>
      </c>
      <c r="E1537" s="2" t="s">
        <v>369</v>
      </c>
      <c r="F1537" s="2" t="s">
        <v>29</v>
      </c>
      <c r="G1537" s="3">
        <v>590000</v>
      </c>
      <c r="H1537" s="8">
        <v>12</v>
      </c>
      <c r="I1537" s="3">
        <v>5310000</v>
      </c>
      <c r="J1537" s="3">
        <v>5310000</v>
      </c>
    </row>
    <row r="1538" spans="1:10" x14ac:dyDescent="0.25">
      <c r="A1538" s="2">
        <v>1539</v>
      </c>
      <c r="B1538" s="18">
        <v>45520.708287037036</v>
      </c>
      <c r="C1538" s="2" t="s">
        <v>347</v>
      </c>
      <c r="D1538" s="2" t="s">
        <v>272</v>
      </c>
      <c r="E1538" s="2" t="s">
        <v>369</v>
      </c>
      <c r="F1538" s="2" t="s">
        <v>29</v>
      </c>
      <c r="G1538" s="3">
        <v>590000</v>
      </c>
      <c r="H1538" s="8">
        <v>2</v>
      </c>
      <c r="I1538" s="3">
        <v>0</v>
      </c>
      <c r="J1538" s="3">
        <v>0</v>
      </c>
    </row>
    <row r="1539" spans="1:10" x14ac:dyDescent="0.25">
      <c r="A1539" s="2">
        <v>1540</v>
      </c>
      <c r="B1539" s="18">
        <v>45520.708287037036</v>
      </c>
      <c r="C1539" s="2" t="s">
        <v>347</v>
      </c>
      <c r="D1539" s="2" t="s">
        <v>272</v>
      </c>
      <c r="E1539" s="2" t="s">
        <v>369</v>
      </c>
      <c r="F1539" s="2" t="s">
        <v>35</v>
      </c>
      <c r="G1539" s="3">
        <v>525000</v>
      </c>
      <c r="H1539" s="8">
        <v>3</v>
      </c>
      <c r="I1539" s="3">
        <v>0</v>
      </c>
      <c r="J1539" s="3">
        <v>0</v>
      </c>
    </row>
    <row r="1540" spans="1:10" x14ac:dyDescent="0.25">
      <c r="A1540" s="2">
        <v>1541</v>
      </c>
      <c r="B1540" s="18">
        <v>45520.708287037036</v>
      </c>
      <c r="C1540" s="2" t="s">
        <v>347</v>
      </c>
      <c r="D1540" s="2" t="s">
        <v>266</v>
      </c>
      <c r="E1540" s="2" t="s">
        <v>371</v>
      </c>
      <c r="F1540" s="2" t="s">
        <v>31</v>
      </c>
      <c r="G1540" s="3">
        <v>745000</v>
      </c>
      <c r="H1540" s="8">
        <v>14</v>
      </c>
      <c r="I1540" s="3">
        <v>4693499.999999999</v>
      </c>
      <c r="J1540" s="3">
        <v>4693499.999999999</v>
      </c>
    </row>
    <row r="1541" spans="1:10" x14ac:dyDescent="0.25">
      <c r="A1541" s="2">
        <v>1542</v>
      </c>
      <c r="B1541" s="18">
        <v>45520.708287037036</v>
      </c>
      <c r="C1541" s="2" t="s">
        <v>347</v>
      </c>
      <c r="D1541" s="2" t="s">
        <v>266</v>
      </c>
      <c r="E1541" s="2" t="s">
        <v>371</v>
      </c>
      <c r="F1541" s="2" t="s">
        <v>57</v>
      </c>
      <c r="G1541" s="3">
        <v>745000</v>
      </c>
      <c r="H1541" s="8">
        <v>18</v>
      </c>
      <c r="I1541" s="3">
        <v>6034499.999999999</v>
      </c>
      <c r="J1541" s="3">
        <v>6034499.999999999</v>
      </c>
    </row>
    <row r="1542" spans="1:10" x14ac:dyDescent="0.25">
      <c r="A1542" s="2">
        <v>1543</v>
      </c>
      <c r="B1542" s="18">
        <v>45520.708287037036</v>
      </c>
      <c r="C1542" s="2" t="s">
        <v>347</v>
      </c>
      <c r="D1542" s="2" t="s">
        <v>266</v>
      </c>
      <c r="E1542" s="2" t="s">
        <v>371</v>
      </c>
      <c r="F1542" s="2" t="s">
        <v>83</v>
      </c>
      <c r="G1542" s="3">
        <v>790000</v>
      </c>
      <c r="H1542" s="8">
        <v>12</v>
      </c>
      <c r="I1542" s="3">
        <v>4265999.999999999</v>
      </c>
      <c r="J1542" s="3">
        <v>4265999.999999999</v>
      </c>
    </row>
    <row r="1543" spans="1:10" x14ac:dyDescent="0.25">
      <c r="A1543" s="2">
        <v>1544</v>
      </c>
      <c r="B1543" s="18">
        <v>45520.708287037036</v>
      </c>
      <c r="C1543" s="2" t="s">
        <v>347</v>
      </c>
      <c r="D1543" s="2" t="s">
        <v>266</v>
      </c>
      <c r="E1543" s="2" t="s">
        <v>371</v>
      </c>
      <c r="F1543" s="2" t="s">
        <v>19</v>
      </c>
      <c r="G1543" s="3">
        <v>590000</v>
      </c>
      <c r="H1543" s="8">
        <v>20</v>
      </c>
      <c r="I1543" s="3">
        <v>5310000</v>
      </c>
      <c r="J1543" s="3">
        <v>5310000</v>
      </c>
    </row>
    <row r="1544" spans="1:10" x14ac:dyDescent="0.25">
      <c r="A1544" s="2">
        <v>1545</v>
      </c>
      <c r="B1544" s="18">
        <v>45520.708287037036</v>
      </c>
      <c r="C1544" s="2" t="s">
        <v>347</v>
      </c>
      <c r="D1544" s="2" t="s">
        <v>266</v>
      </c>
      <c r="E1544" s="2" t="s">
        <v>371</v>
      </c>
      <c r="F1544" s="2" t="s">
        <v>27</v>
      </c>
      <c r="G1544" s="3">
        <v>935000</v>
      </c>
      <c r="H1544" s="8">
        <v>12</v>
      </c>
      <c r="I1544" s="3">
        <v>5048999.999999999</v>
      </c>
      <c r="J1544" s="3">
        <v>5048999.999999999</v>
      </c>
    </row>
    <row r="1545" spans="1:10" x14ac:dyDescent="0.25">
      <c r="A1545" s="2">
        <v>1546</v>
      </c>
      <c r="B1545" s="18">
        <v>45520.708287037036</v>
      </c>
      <c r="C1545" s="2" t="s">
        <v>347</v>
      </c>
      <c r="D1545" s="2" t="s">
        <v>268</v>
      </c>
      <c r="E1545" s="2" t="s">
        <v>371</v>
      </c>
      <c r="F1545" s="2" t="s">
        <v>31</v>
      </c>
      <c r="G1545" s="3">
        <v>745000</v>
      </c>
      <c r="H1545" s="8">
        <v>76</v>
      </c>
      <c r="I1545" s="3">
        <v>25478999.999999996</v>
      </c>
      <c r="J1545" s="3">
        <v>25478999.999999996</v>
      </c>
    </row>
    <row r="1546" spans="1:10" x14ac:dyDescent="0.25">
      <c r="A1546" s="2">
        <v>1547</v>
      </c>
      <c r="B1546" s="18">
        <v>45520.708287037036</v>
      </c>
      <c r="C1546" s="2" t="s">
        <v>347</v>
      </c>
      <c r="D1546" s="2" t="s">
        <v>268</v>
      </c>
      <c r="E1546" s="2" t="s">
        <v>371</v>
      </c>
      <c r="F1546" s="2" t="s">
        <v>57</v>
      </c>
      <c r="G1546" s="3">
        <v>745000</v>
      </c>
      <c r="H1546" s="8">
        <v>102</v>
      </c>
      <c r="I1546" s="3">
        <v>34195499.99999999</v>
      </c>
      <c r="J1546" s="3">
        <v>34195499.99999999</v>
      </c>
    </row>
    <row r="1547" spans="1:10" x14ac:dyDescent="0.25">
      <c r="A1547" s="2">
        <v>1548</v>
      </c>
      <c r="B1547" s="18">
        <v>45520.708287037036</v>
      </c>
      <c r="C1547" s="2" t="s">
        <v>347</v>
      </c>
      <c r="D1547" s="2" t="s">
        <v>268</v>
      </c>
      <c r="E1547" s="2" t="s">
        <v>371</v>
      </c>
      <c r="F1547" s="2" t="s">
        <v>83</v>
      </c>
      <c r="G1547" s="3">
        <v>790000</v>
      </c>
      <c r="H1547" s="8">
        <v>43</v>
      </c>
      <c r="I1547" s="3">
        <v>15286499.999999998</v>
      </c>
      <c r="J1547" s="3">
        <v>15286499.999999998</v>
      </c>
    </row>
    <row r="1548" spans="1:10" x14ac:dyDescent="0.25">
      <c r="A1548" s="2">
        <v>1549</v>
      </c>
      <c r="B1548" s="18">
        <v>45520.708287037036</v>
      </c>
      <c r="C1548" s="2" t="s">
        <v>347</v>
      </c>
      <c r="D1548" s="2" t="s">
        <v>268</v>
      </c>
      <c r="E1548" s="2" t="s">
        <v>371</v>
      </c>
      <c r="F1548" s="2" t="s">
        <v>19</v>
      </c>
      <c r="G1548" s="3">
        <v>590000</v>
      </c>
      <c r="H1548" s="8">
        <v>19</v>
      </c>
      <c r="I1548" s="3">
        <v>5044500</v>
      </c>
      <c r="J1548" s="3">
        <v>5044500</v>
      </c>
    </row>
    <row r="1549" spans="1:10" x14ac:dyDescent="0.25">
      <c r="A1549" s="2">
        <v>1550</v>
      </c>
      <c r="B1549" s="18">
        <v>45520.708287037036</v>
      </c>
      <c r="C1549" s="2" t="s">
        <v>347</v>
      </c>
      <c r="D1549" s="2" t="s">
        <v>268</v>
      </c>
      <c r="E1549" s="2" t="s">
        <v>371</v>
      </c>
      <c r="F1549" s="2" t="s">
        <v>27</v>
      </c>
      <c r="G1549" s="3">
        <v>935000</v>
      </c>
      <c r="H1549" s="8">
        <v>36</v>
      </c>
      <c r="I1549" s="3">
        <v>15146999.999999998</v>
      </c>
      <c r="J1549" s="3">
        <v>15146999.999999998</v>
      </c>
    </row>
    <row r="1550" spans="1:10" x14ac:dyDescent="0.25">
      <c r="A1550" s="2">
        <v>1551</v>
      </c>
      <c r="B1550" s="18">
        <v>45520.708287037036</v>
      </c>
      <c r="C1550" s="2" t="s">
        <v>347</v>
      </c>
      <c r="D1550" s="2" t="s">
        <v>268</v>
      </c>
      <c r="E1550" s="2" t="s">
        <v>371</v>
      </c>
      <c r="F1550" s="2" t="s">
        <v>31</v>
      </c>
      <c r="G1550" s="3">
        <v>745000</v>
      </c>
      <c r="H1550" s="8">
        <v>11</v>
      </c>
      <c r="I1550" s="3">
        <v>3687749.9999999995</v>
      </c>
      <c r="J1550" s="3">
        <v>3687749.9999999995</v>
      </c>
    </row>
    <row r="1551" spans="1:10" x14ac:dyDescent="0.25">
      <c r="A1551" s="2">
        <v>1552</v>
      </c>
      <c r="B1551" s="18">
        <v>45520.708287037036</v>
      </c>
      <c r="C1551" s="2" t="s">
        <v>347</v>
      </c>
      <c r="D1551" s="2" t="s">
        <v>268</v>
      </c>
      <c r="E1551" s="2" t="s">
        <v>371</v>
      </c>
      <c r="F1551" s="2" t="s">
        <v>19</v>
      </c>
      <c r="G1551" s="3">
        <v>590000</v>
      </c>
      <c r="H1551" s="8">
        <v>3</v>
      </c>
      <c r="I1551" s="3">
        <v>796500</v>
      </c>
      <c r="J1551" s="3">
        <v>796500</v>
      </c>
    </row>
    <row r="1552" spans="1:10" x14ac:dyDescent="0.25">
      <c r="A1552" s="2">
        <v>1553</v>
      </c>
      <c r="B1552" s="18">
        <v>45520.708287037036</v>
      </c>
      <c r="C1552" s="2" t="s">
        <v>347</v>
      </c>
      <c r="D1552" s="2" t="s">
        <v>268</v>
      </c>
      <c r="E1552" s="2" t="s">
        <v>371</v>
      </c>
      <c r="F1552" s="2" t="s">
        <v>27</v>
      </c>
      <c r="G1552" s="3">
        <v>935000</v>
      </c>
      <c r="H1552" s="8">
        <v>4</v>
      </c>
      <c r="I1552" s="3">
        <v>1682999.9999999998</v>
      </c>
      <c r="J1552" s="3">
        <v>1682999.9999999998</v>
      </c>
    </row>
    <row r="1553" spans="1:10" x14ac:dyDescent="0.25">
      <c r="A1553" s="2">
        <v>1554</v>
      </c>
      <c r="B1553" s="18">
        <v>45522.708287037036</v>
      </c>
      <c r="C1553" s="2" t="s">
        <v>347</v>
      </c>
      <c r="D1553" s="2" t="s">
        <v>274</v>
      </c>
      <c r="E1553" s="2" t="s">
        <v>369</v>
      </c>
      <c r="F1553" s="2" t="s">
        <v>19</v>
      </c>
      <c r="G1553" s="3">
        <v>590000</v>
      </c>
      <c r="H1553" s="8">
        <v>5</v>
      </c>
      <c r="I1553" s="3">
        <v>2212500</v>
      </c>
      <c r="J1553" s="3">
        <v>2212500</v>
      </c>
    </row>
    <row r="1554" spans="1:10" x14ac:dyDescent="0.25">
      <c r="A1554" s="2">
        <v>1555</v>
      </c>
      <c r="B1554" s="18">
        <v>45522.708287037036</v>
      </c>
      <c r="C1554" s="2" t="s">
        <v>347</v>
      </c>
      <c r="D1554" s="2" t="s">
        <v>274</v>
      </c>
      <c r="E1554" s="2" t="s">
        <v>369</v>
      </c>
      <c r="F1554" s="2" t="s">
        <v>19</v>
      </c>
      <c r="G1554" s="3">
        <v>590000</v>
      </c>
      <c r="H1554" s="8">
        <v>1</v>
      </c>
      <c r="I1554" s="3">
        <v>0</v>
      </c>
      <c r="J1554" s="3">
        <v>0</v>
      </c>
    </row>
    <row r="1555" spans="1:10" x14ac:dyDescent="0.25">
      <c r="A1555" s="2">
        <v>1556</v>
      </c>
      <c r="B1555" s="18">
        <v>45522.708287037036</v>
      </c>
      <c r="C1555" s="2" t="s">
        <v>347</v>
      </c>
      <c r="D1555" s="2" t="s">
        <v>274</v>
      </c>
      <c r="E1555" s="2" t="s">
        <v>369</v>
      </c>
      <c r="F1555" s="2" t="s">
        <v>29</v>
      </c>
      <c r="G1555" s="3">
        <v>590000</v>
      </c>
      <c r="H1555" s="8">
        <v>6</v>
      </c>
      <c r="I1555" s="3">
        <v>2655000</v>
      </c>
      <c r="J1555" s="3">
        <v>2655000</v>
      </c>
    </row>
    <row r="1556" spans="1:10" x14ac:dyDescent="0.25">
      <c r="A1556" s="2">
        <v>1557</v>
      </c>
      <c r="B1556" s="18">
        <v>45522.708287037036</v>
      </c>
      <c r="C1556" s="2" t="s">
        <v>347</v>
      </c>
      <c r="D1556" s="2" t="s">
        <v>274</v>
      </c>
      <c r="E1556" s="2" t="s">
        <v>369</v>
      </c>
      <c r="F1556" s="2" t="s">
        <v>29</v>
      </c>
      <c r="G1556" s="3">
        <v>590000</v>
      </c>
      <c r="H1556" s="8">
        <v>1</v>
      </c>
      <c r="I1556" s="3">
        <v>0</v>
      </c>
      <c r="J1556" s="3">
        <v>0</v>
      </c>
    </row>
    <row r="1557" spans="1:10" x14ac:dyDescent="0.25">
      <c r="A1557" s="2">
        <v>1558</v>
      </c>
      <c r="B1557" s="18">
        <v>45522.708287037036</v>
      </c>
      <c r="C1557" s="2" t="s">
        <v>347</v>
      </c>
      <c r="D1557" s="2" t="s">
        <v>323</v>
      </c>
      <c r="E1557" s="2" t="s">
        <v>364</v>
      </c>
      <c r="F1557" s="2" t="s">
        <v>23</v>
      </c>
      <c r="G1557" s="3">
        <v>775000</v>
      </c>
      <c r="H1557" s="8">
        <v>1</v>
      </c>
      <c r="I1557" s="3">
        <v>0</v>
      </c>
      <c r="J1557" s="3">
        <v>0</v>
      </c>
    </row>
    <row r="1558" spans="1:10" x14ac:dyDescent="0.25">
      <c r="A1558" s="2">
        <v>1559</v>
      </c>
      <c r="B1558" s="18">
        <v>45522.708287037036</v>
      </c>
      <c r="C1558" s="2" t="s">
        <v>347</v>
      </c>
      <c r="D1558" s="2" t="s">
        <v>323</v>
      </c>
      <c r="E1558" s="2" t="s">
        <v>364</v>
      </c>
      <c r="F1558" s="2" t="s">
        <v>33</v>
      </c>
      <c r="G1558" s="3">
        <v>485000</v>
      </c>
      <c r="H1558" s="8">
        <v>1</v>
      </c>
      <c r="I1558" s="3">
        <v>0</v>
      </c>
      <c r="J1558" s="3">
        <v>0</v>
      </c>
    </row>
    <row r="1559" spans="1:10" x14ac:dyDescent="0.25">
      <c r="A1559" s="2">
        <v>1560</v>
      </c>
      <c r="B1559" s="18">
        <v>45522.708287037036</v>
      </c>
      <c r="C1559" s="2" t="s">
        <v>347</v>
      </c>
      <c r="D1559" s="2" t="s">
        <v>323</v>
      </c>
      <c r="E1559" s="2" t="s">
        <v>364</v>
      </c>
      <c r="F1559" s="2" t="s">
        <v>59</v>
      </c>
      <c r="G1559" s="3">
        <v>475000</v>
      </c>
      <c r="H1559" s="8">
        <v>1</v>
      </c>
      <c r="I1559" s="3">
        <v>0</v>
      </c>
      <c r="J1559" s="3">
        <v>0</v>
      </c>
    </row>
    <row r="1560" spans="1:10" x14ac:dyDescent="0.25">
      <c r="A1560" s="2">
        <v>1561</v>
      </c>
      <c r="B1560" s="18">
        <v>45522.708287037036</v>
      </c>
      <c r="C1560" s="2" t="s">
        <v>347</v>
      </c>
      <c r="D1560" s="2" t="s">
        <v>323</v>
      </c>
      <c r="E1560" s="2" t="s">
        <v>364</v>
      </c>
      <c r="F1560" s="2" t="s">
        <v>85</v>
      </c>
      <c r="G1560" s="3">
        <v>480000</v>
      </c>
      <c r="H1560" s="8">
        <v>1</v>
      </c>
      <c r="I1560" s="3">
        <v>0</v>
      </c>
      <c r="J1560" s="3">
        <v>0</v>
      </c>
    </row>
    <row r="1561" spans="1:10" x14ac:dyDescent="0.25">
      <c r="A1561" s="2">
        <v>1562</v>
      </c>
      <c r="B1561" s="18">
        <v>45522.708287037036</v>
      </c>
      <c r="C1561" s="2" t="s">
        <v>347</v>
      </c>
      <c r="D1561" s="2" t="s">
        <v>323</v>
      </c>
      <c r="E1561" s="2" t="s">
        <v>364</v>
      </c>
      <c r="F1561" s="2" t="s">
        <v>63</v>
      </c>
      <c r="G1561" s="3">
        <v>550000</v>
      </c>
      <c r="H1561" s="8">
        <v>1</v>
      </c>
      <c r="I1561" s="3">
        <v>0</v>
      </c>
      <c r="J1561" s="3">
        <v>0</v>
      </c>
    </row>
    <row r="1562" spans="1:10" x14ac:dyDescent="0.25">
      <c r="A1562" s="2">
        <v>1563</v>
      </c>
      <c r="B1562" s="18">
        <v>45522.708287037036</v>
      </c>
      <c r="C1562" s="2" t="s">
        <v>347</v>
      </c>
      <c r="D1562" s="2" t="s">
        <v>250</v>
      </c>
      <c r="E1562" s="2" t="s">
        <v>368</v>
      </c>
      <c r="F1562" s="2" t="s">
        <v>83</v>
      </c>
      <c r="G1562" s="3">
        <v>790000</v>
      </c>
      <c r="H1562" s="8">
        <v>10</v>
      </c>
      <c r="I1562" s="3">
        <v>3554999.9999999995</v>
      </c>
      <c r="J1562" s="3">
        <v>3554999.9999999995</v>
      </c>
    </row>
    <row r="1563" spans="1:10" x14ac:dyDescent="0.25">
      <c r="A1563" s="2">
        <v>1564</v>
      </c>
      <c r="B1563" s="18">
        <v>45522.708287037036</v>
      </c>
      <c r="C1563" s="2" t="s">
        <v>347</v>
      </c>
      <c r="D1563" s="2" t="s">
        <v>70</v>
      </c>
      <c r="E1563" s="2" t="s">
        <v>363</v>
      </c>
      <c r="F1563" s="2" t="s">
        <v>59</v>
      </c>
      <c r="G1563" s="3">
        <v>475000</v>
      </c>
      <c r="H1563" s="8">
        <v>1</v>
      </c>
      <c r="I1563" s="3">
        <v>0</v>
      </c>
      <c r="J1563" s="3">
        <v>0</v>
      </c>
    </row>
    <row r="1564" spans="1:10" x14ac:dyDescent="0.25">
      <c r="A1564" s="2">
        <v>1565</v>
      </c>
      <c r="B1564" s="18">
        <v>45522.708287037036</v>
      </c>
      <c r="C1564" s="2" t="s">
        <v>347</v>
      </c>
      <c r="D1564" s="2" t="s">
        <v>70</v>
      </c>
      <c r="E1564" s="2" t="s">
        <v>363</v>
      </c>
      <c r="F1564" s="2" t="s">
        <v>23</v>
      </c>
      <c r="G1564" s="3">
        <v>775000</v>
      </c>
      <c r="H1564" s="8">
        <v>1</v>
      </c>
      <c r="I1564" s="3">
        <v>503750</v>
      </c>
      <c r="J1564" s="3">
        <v>503750</v>
      </c>
    </row>
    <row r="1565" spans="1:10" x14ac:dyDescent="0.25">
      <c r="A1565" s="2">
        <v>1566</v>
      </c>
      <c r="B1565" s="18">
        <v>45523.708287037036</v>
      </c>
      <c r="C1565" s="2" t="s">
        <v>347</v>
      </c>
      <c r="D1565" s="2" t="s">
        <v>119</v>
      </c>
      <c r="E1565" s="2" t="s">
        <v>370</v>
      </c>
      <c r="F1565" s="2" t="s">
        <v>29</v>
      </c>
      <c r="G1565" s="3">
        <v>590000</v>
      </c>
      <c r="H1565" s="8">
        <v>1</v>
      </c>
      <c r="I1565" s="3">
        <v>424800</v>
      </c>
      <c r="J1565" s="3">
        <v>424800</v>
      </c>
    </row>
    <row r="1566" spans="1:10" x14ac:dyDescent="0.25">
      <c r="A1566" s="2">
        <v>1567</v>
      </c>
      <c r="B1566" s="18">
        <v>45523.708287037036</v>
      </c>
      <c r="C1566" s="2" t="s">
        <v>347</v>
      </c>
      <c r="D1566" s="2" t="s">
        <v>119</v>
      </c>
      <c r="E1566" s="2" t="s">
        <v>370</v>
      </c>
      <c r="F1566" s="2" t="s">
        <v>19</v>
      </c>
      <c r="G1566" s="3">
        <v>590000</v>
      </c>
      <c r="H1566" s="8">
        <v>2</v>
      </c>
      <c r="I1566" s="3">
        <v>849600</v>
      </c>
      <c r="J1566" s="3">
        <v>849600</v>
      </c>
    </row>
    <row r="1567" spans="1:10" x14ac:dyDescent="0.25">
      <c r="A1567" s="2">
        <v>1568</v>
      </c>
      <c r="B1567" s="18">
        <v>45523.708287037036</v>
      </c>
      <c r="C1567" s="2" t="s">
        <v>347</v>
      </c>
      <c r="D1567" s="2" t="s">
        <v>119</v>
      </c>
      <c r="E1567" s="2" t="s">
        <v>370</v>
      </c>
      <c r="F1567" s="2" t="s">
        <v>61</v>
      </c>
      <c r="G1567" s="3">
        <v>890000</v>
      </c>
      <c r="H1567" s="8">
        <v>3</v>
      </c>
      <c r="I1567" s="3">
        <v>1922400</v>
      </c>
      <c r="J1567" s="3">
        <v>1922400</v>
      </c>
    </row>
    <row r="1568" spans="1:10" x14ac:dyDescent="0.25">
      <c r="A1568" s="2">
        <v>1569</v>
      </c>
      <c r="B1568" s="18">
        <v>45523.708287037036</v>
      </c>
      <c r="C1568" s="2" t="s">
        <v>347</v>
      </c>
      <c r="D1568" s="2" t="s">
        <v>119</v>
      </c>
      <c r="E1568" s="2" t="s">
        <v>370</v>
      </c>
      <c r="F1568" s="2" t="s">
        <v>83</v>
      </c>
      <c r="G1568" s="3">
        <v>790000</v>
      </c>
      <c r="H1568" s="8">
        <v>3</v>
      </c>
      <c r="I1568" s="3">
        <v>1706400</v>
      </c>
      <c r="J1568" s="3">
        <v>1706400</v>
      </c>
    </row>
    <row r="1569" spans="1:10" x14ac:dyDescent="0.25">
      <c r="A1569" s="2">
        <v>1570</v>
      </c>
      <c r="B1569" s="18">
        <v>45523.708287037036</v>
      </c>
      <c r="C1569" s="2" t="s">
        <v>347</v>
      </c>
      <c r="D1569" s="2" t="s">
        <v>119</v>
      </c>
      <c r="E1569" s="2" t="s">
        <v>370</v>
      </c>
      <c r="F1569" s="2" t="s">
        <v>35</v>
      </c>
      <c r="G1569" s="3">
        <v>525000</v>
      </c>
      <c r="H1569" s="8">
        <v>1</v>
      </c>
      <c r="I1569" s="3">
        <v>378000</v>
      </c>
      <c r="J1569" s="3">
        <v>378000</v>
      </c>
    </row>
    <row r="1570" spans="1:10" x14ac:dyDescent="0.25">
      <c r="A1570" s="2">
        <v>1571</v>
      </c>
      <c r="B1570" s="18">
        <v>45523.708287037036</v>
      </c>
      <c r="C1570" s="2" t="s">
        <v>347</v>
      </c>
      <c r="D1570" s="2" t="s">
        <v>119</v>
      </c>
      <c r="E1570" s="2" t="s">
        <v>370</v>
      </c>
      <c r="F1570" s="2" t="s">
        <v>31</v>
      </c>
      <c r="G1570" s="3">
        <v>745000</v>
      </c>
      <c r="H1570" s="8">
        <v>1</v>
      </c>
      <c r="I1570" s="3">
        <v>536400</v>
      </c>
      <c r="J1570" s="3">
        <v>536400</v>
      </c>
    </row>
    <row r="1571" spans="1:10" x14ac:dyDescent="0.25">
      <c r="A1571" s="2">
        <v>1572</v>
      </c>
      <c r="B1571" s="18">
        <v>45523.708287037036</v>
      </c>
      <c r="C1571" s="2" t="s">
        <v>347</v>
      </c>
      <c r="D1571" s="2" t="s">
        <v>119</v>
      </c>
      <c r="E1571" s="2" t="s">
        <v>370</v>
      </c>
      <c r="F1571" s="2" t="s">
        <v>57</v>
      </c>
      <c r="G1571" s="3">
        <v>745000</v>
      </c>
      <c r="H1571" s="8">
        <v>1</v>
      </c>
      <c r="I1571" s="3">
        <v>536400</v>
      </c>
      <c r="J1571" s="3">
        <v>536400</v>
      </c>
    </row>
    <row r="1572" spans="1:10" x14ac:dyDescent="0.25">
      <c r="A1572" s="2">
        <v>1573</v>
      </c>
      <c r="B1572" s="18">
        <v>45523.708287037036</v>
      </c>
      <c r="C1572" s="2" t="s">
        <v>347</v>
      </c>
      <c r="D1572" s="2" t="s">
        <v>323</v>
      </c>
      <c r="E1572" s="2" t="s">
        <v>364</v>
      </c>
      <c r="F1572" s="2" t="s">
        <v>33</v>
      </c>
      <c r="G1572" s="3">
        <v>485000</v>
      </c>
      <c r="H1572" s="8">
        <v>5</v>
      </c>
      <c r="I1572" s="3">
        <v>0</v>
      </c>
      <c r="J1572" s="3">
        <v>0</v>
      </c>
    </row>
    <row r="1573" spans="1:10" x14ac:dyDescent="0.25">
      <c r="A1573" s="2">
        <v>1574</v>
      </c>
      <c r="B1573" s="18">
        <v>45523.708287037036</v>
      </c>
      <c r="C1573" s="2" t="s">
        <v>347</v>
      </c>
      <c r="D1573" s="2" t="s">
        <v>323</v>
      </c>
      <c r="E1573" s="2" t="s">
        <v>364</v>
      </c>
      <c r="F1573" s="2" t="s">
        <v>59</v>
      </c>
      <c r="G1573" s="3">
        <v>475000</v>
      </c>
      <c r="H1573" s="8">
        <v>5</v>
      </c>
      <c r="I1573" s="3">
        <v>0</v>
      </c>
      <c r="J1573" s="3">
        <v>0</v>
      </c>
    </row>
    <row r="1574" spans="1:10" x14ac:dyDescent="0.25">
      <c r="A1574" s="2">
        <v>1575</v>
      </c>
      <c r="B1574" s="18">
        <v>45523.708287037036</v>
      </c>
      <c r="C1574" s="2" t="s">
        <v>347</v>
      </c>
      <c r="D1574" s="2" t="s">
        <v>323</v>
      </c>
      <c r="E1574" s="2" t="s">
        <v>364</v>
      </c>
      <c r="F1574" s="2" t="s">
        <v>63</v>
      </c>
      <c r="G1574" s="3">
        <v>550000</v>
      </c>
      <c r="H1574" s="8">
        <v>5</v>
      </c>
      <c r="I1574" s="3">
        <v>0</v>
      </c>
      <c r="J1574" s="3">
        <v>0</v>
      </c>
    </row>
    <row r="1575" spans="1:10" x14ac:dyDescent="0.25">
      <c r="A1575" s="2">
        <v>1576</v>
      </c>
      <c r="B1575" s="18">
        <v>45523.708287037036</v>
      </c>
      <c r="C1575" s="2" t="s">
        <v>347</v>
      </c>
      <c r="D1575" s="2" t="s">
        <v>323</v>
      </c>
      <c r="E1575" s="2" t="s">
        <v>364</v>
      </c>
      <c r="F1575" s="2" t="s">
        <v>85</v>
      </c>
      <c r="G1575" s="3">
        <v>480000</v>
      </c>
      <c r="H1575" s="8">
        <v>5</v>
      </c>
      <c r="I1575" s="3">
        <v>0</v>
      </c>
      <c r="J1575" s="3">
        <v>0</v>
      </c>
    </row>
    <row r="1576" spans="1:10" x14ac:dyDescent="0.25">
      <c r="A1576" s="2">
        <v>1577</v>
      </c>
      <c r="B1576" s="18">
        <v>45523.708287037036</v>
      </c>
      <c r="C1576" s="2" t="s">
        <v>347</v>
      </c>
      <c r="D1576" s="2" t="s">
        <v>323</v>
      </c>
      <c r="E1576" s="2" t="s">
        <v>364</v>
      </c>
      <c r="F1576" s="2" t="s">
        <v>71</v>
      </c>
      <c r="G1576" s="3">
        <v>850000</v>
      </c>
      <c r="H1576" s="8">
        <v>5</v>
      </c>
      <c r="I1576" s="3">
        <v>0</v>
      </c>
      <c r="J1576" s="3">
        <v>0</v>
      </c>
    </row>
    <row r="1577" spans="1:10" x14ac:dyDescent="0.25">
      <c r="A1577" s="2">
        <v>1578</v>
      </c>
      <c r="B1577" s="18">
        <v>45523.708287037036</v>
      </c>
      <c r="C1577" s="2" t="s">
        <v>347</v>
      </c>
      <c r="D1577" s="2" t="s">
        <v>323</v>
      </c>
      <c r="E1577" s="2" t="s">
        <v>364</v>
      </c>
      <c r="F1577" s="2" t="s">
        <v>89</v>
      </c>
      <c r="G1577" s="3">
        <v>390000</v>
      </c>
      <c r="H1577" s="8">
        <v>20</v>
      </c>
      <c r="I1577" s="3">
        <v>0</v>
      </c>
      <c r="J1577" s="3">
        <v>0</v>
      </c>
    </row>
    <row r="1578" spans="1:10" x14ac:dyDescent="0.25">
      <c r="A1578" s="2">
        <v>1579</v>
      </c>
      <c r="B1578" s="18">
        <v>45524.708287037036</v>
      </c>
      <c r="C1578" s="2" t="s">
        <v>347</v>
      </c>
      <c r="D1578" s="2" t="s">
        <v>272</v>
      </c>
      <c r="E1578" s="2" t="s">
        <v>369</v>
      </c>
      <c r="F1578" s="2" t="s">
        <v>19</v>
      </c>
      <c r="G1578" s="3">
        <v>590000</v>
      </c>
      <c r="H1578" s="8">
        <v>12</v>
      </c>
      <c r="I1578" s="3">
        <v>5310000</v>
      </c>
      <c r="J1578" s="3">
        <v>5310000</v>
      </c>
    </row>
    <row r="1579" spans="1:10" x14ac:dyDescent="0.25">
      <c r="A1579" s="2">
        <v>1580</v>
      </c>
      <c r="B1579" s="18">
        <v>45524.708287037036</v>
      </c>
      <c r="C1579" s="2" t="s">
        <v>347</v>
      </c>
      <c r="D1579" s="2" t="s">
        <v>272</v>
      </c>
      <c r="E1579" s="2" t="s">
        <v>369</v>
      </c>
      <c r="F1579" s="2" t="s">
        <v>19</v>
      </c>
      <c r="G1579" s="3">
        <v>590000</v>
      </c>
      <c r="H1579" s="8">
        <v>2</v>
      </c>
      <c r="I1579" s="3">
        <v>0</v>
      </c>
      <c r="J1579" s="3">
        <v>0</v>
      </c>
    </row>
    <row r="1580" spans="1:10" x14ac:dyDescent="0.25">
      <c r="A1580" s="2">
        <v>1581</v>
      </c>
      <c r="B1580" s="18">
        <v>45524.708287037036</v>
      </c>
      <c r="C1580" s="2" t="s">
        <v>347</v>
      </c>
      <c r="D1580" s="2" t="s">
        <v>272</v>
      </c>
      <c r="E1580" s="2" t="s">
        <v>369</v>
      </c>
      <c r="F1580" s="2" t="s">
        <v>89</v>
      </c>
      <c r="G1580" s="3">
        <v>390000</v>
      </c>
      <c r="H1580" s="8">
        <v>12</v>
      </c>
      <c r="I1580" s="3">
        <v>0</v>
      </c>
      <c r="J1580" s="3">
        <v>0</v>
      </c>
    </row>
    <row r="1581" spans="1:10" x14ac:dyDescent="0.25">
      <c r="A1581" s="2">
        <v>1582</v>
      </c>
      <c r="B1581" s="18">
        <v>45524.708287037036</v>
      </c>
      <c r="C1581" s="2" t="s">
        <v>347</v>
      </c>
      <c r="D1581" s="2" t="s">
        <v>311</v>
      </c>
      <c r="E1581" s="2" t="s">
        <v>369</v>
      </c>
      <c r="F1581" s="2" t="s">
        <v>27</v>
      </c>
      <c r="G1581" s="3">
        <v>935000</v>
      </c>
      <c r="H1581" s="8">
        <v>12</v>
      </c>
      <c r="I1581" s="3">
        <v>8415000</v>
      </c>
      <c r="J1581" s="3">
        <v>8415000</v>
      </c>
    </row>
    <row r="1582" spans="1:10" x14ac:dyDescent="0.25">
      <c r="A1582" s="2">
        <v>1583</v>
      </c>
      <c r="B1582" s="18">
        <v>45524.708287037036</v>
      </c>
      <c r="C1582" s="2" t="s">
        <v>347</v>
      </c>
      <c r="D1582" s="2" t="s">
        <v>311</v>
      </c>
      <c r="E1582" s="2" t="s">
        <v>369</v>
      </c>
      <c r="F1582" s="2" t="s">
        <v>27</v>
      </c>
      <c r="G1582" s="3">
        <v>935000</v>
      </c>
      <c r="H1582" s="8">
        <v>2</v>
      </c>
      <c r="I1582" s="3">
        <v>0</v>
      </c>
      <c r="J1582" s="3">
        <v>0</v>
      </c>
    </row>
    <row r="1583" spans="1:10" x14ac:dyDescent="0.25">
      <c r="A1583" s="2">
        <v>1584</v>
      </c>
      <c r="B1583" s="18">
        <v>45524.708287037036</v>
      </c>
      <c r="C1583" s="2" t="s">
        <v>347</v>
      </c>
      <c r="D1583" s="2" t="s">
        <v>311</v>
      </c>
      <c r="E1583" s="2" t="s">
        <v>369</v>
      </c>
      <c r="F1583" s="2" t="s">
        <v>89</v>
      </c>
      <c r="G1583" s="3">
        <v>390000</v>
      </c>
      <c r="H1583" s="8">
        <v>12</v>
      </c>
      <c r="I1583" s="3">
        <v>0</v>
      </c>
      <c r="J1583" s="3">
        <v>0</v>
      </c>
    </row>
    <row r="1584" spans="1:10" x14ac:dyDescent="0.25">
      <c r="A1584" s="2">
        <v>1585</v>
      </c>
      <c r="B1584" s="18">
        <v>45524.708287037036</v>
      </c>
      <c r="C1584" s="2" t="s">
        <v>347</v>
      </c>
      <c r="D1584" s="2" t="s">
        <v>268</v>
      </c>
      <c r="E1584" s="2" t="s">
        <v>371</v>
      </c>
      <c r="F1584" s="2" t="s">
        <v>31</v>
      </c>
      <c r="G1584" s="3">
        <v>745000</v>
      </c>
      <c r="H1584" s="8">
        <v>13</v>
      </c>
      <c r="I1584" s="3">
        <v>4358249.999999999</v>
      </c>
      <c r="J1584" s="3">
        <v>4358249.999999999</v>
      </c>
    </row>
    <row r="1585" spans="1:10" x14ac:dyDescent="0.25">
      <c r="A1585" s="2">
        <v>1586</v>
      </c>
      <c r="B1585" s="18">
        <v>45524.708287037036</v>
      </c>
      <c r="C1585" s="2" t="s">
        <v>347</v>
      </c>
      <c r="D1585" s="2" t="s">
        <v>268</v>
      </c>
      <c r="E1585" s="2" t="s">
        <v>371</v>
      </c>
      <c r="F1585" s="2" t="s">
        <v>27</v>
      </c>
      <c r="G1585" s="3">
        <v>935000</v>
      </c>
      <c r="H1585" s="8">
        <v>10</v>
      </c>
      <c r="I1585" s="3">
        <v>4207499.999999999</v>
      </c>
      <c r="J1585" s="3">
        <v>4207499.999999999</v>
      </c>
    </row>
    <row r="1586" spans="1:10" x14ac:dyDescent="0.25">
      <c r="A1586" s="2">
        <v>1587</v>
      </c>
      <c r="B1586" s="18">
        <v>45524.708287037036</v>
      </c>
      <c r="C1586" s="2" t="s">
        <v>347</v>
      </c>
      <c r="D1586" s="2" t="s">
        <v>280</v>
      </c>
      <c r="E1586" s="2" t="s">
        <v>369</v>
      </c>
      <c r="F1586" s="2" t="s">
        <v>19</v>
      </c>
      <c r="G1586" s="3">
        <v>590000</v>
      </c>
      <c r="H1586" s="8">
        <v>12</v>
      </c>
      <c r="I1586" s="3">
        <v>5310000</v>
      </c>
      <c r="J1586" s="3">
        <v>5310000</v>
      </c>
    </row>
    <row r="1587" spans="1:10" x14ac:dyDescent="0.25">
      <c r="A1587" s="2">
        <v>1588</v>
      </c>
      <c r="B1587" s="18">
        <v>45524.708287037036</v>
      </c>
      <c r="C1587" s="2" t="s">
        <v>347</v>
      </c>
      <c r="D1587" s="2" t="s">
        <v>280</v>
      </c>
      <c r="E1587" s="2" t="s">
        <v>369</v>
      </c>
      <c r="F1587" s="2" t="s">
        <v>19</v>
      </c>
      <c r="G1587" s="3">
        <v>590000</v>
      </c>
      <c r="H1587" s="8">
        <v>2</v>
      </c>
      <c r="I1587" s="3">
        <v>0</v>
      </c>
      <c r="J1587" s="3">
        <v>0</v>
      </c>
    </row>
    <row r="1588" spans="1:10" x14ac:dyDescent="0.25">
      <c r="A1588" s="2">
        <v>1589</v>
      </c>
      <c r="B1588" s="18">
        <v>45524.708287037036</v>
      </c>
      <c r="C1588" s="2" t="s">
        <v>347</v>
      </c>
      <c r="D1588" s="2" t="s">
        <v>280</v>
      </c>
      <c r="E1588" s="2" t="s">
        <v>369</v>
      </c>
      <c r="F1588" s="2" t="s">
        <v>89</v>
      </c>
      <c r="G1588" s="3">
        <v>390000</v>
      </c>
      <c r="H1588" s="8">
        <v>12</v>
      </c>
      <c r="I1588" s="3">
        <v>0</v>
      </c>
      <c r="J1588" s="3">
        <v>0</v>
      </c>
    </row>
    <row r="1589" spans="1:10" x14ac:dyDescent="0.25">
      <c r="A1589" s="2">
        <v>1590</v>
      </c>
      <c r="B1589" s="18">
        <v>45524.708287037036</v>
      </c>
      <c r="C1589" s="2" t="s">
        <v>347</v>
      </c>
      <c r="D1589" s="2" t="s">
        <v>303</v>
      </c>
      <c r="E1589" s="2" t="s">
        <v>366</v>
      </c>
      <c r="F1589" s="2" t="s">
        <v>31</v>
      </c>
      <c r="G1589" s="3">
        <v>745000</v>
      </c>
      <c r="H1589" s="8">
        <v>10</v>
      </c>
      <c r="I1589" s="3">
        <v>7450000</v>
      </c>
      <c r="J1589" s="3">
        <v>7450000</v>
      </c>
    </row>
    <row r="1590" spans="1:10" x14ac:dyDescent="0.25">
      <c r="A1590" s="2">
        <v>1591</v>
      </c>
      <c r="B1590" s="18">
        <v>45524.708287037036</v>
      </c>
      <c r="C1590" s="2" t="s">
        <v>347</v>
      </c>
      <c r="D1590" s="2" t="s">
        <v>68</v>
      </c>
      <c r="E1590" s="2" t="s">
        <v>363</v>
      </c>
      <c r="F1590" s="2" t="s">
        <v>19</v>
      </c>
      <c r="G1590" s="3">
        <v>590000</v>
      </c>
      <c r="H1590" s="8">
        <v>1</v>
      </c>
      <c r="I1590" s="3">
        <v>0</v>
      </c>
      <c r="J1590" s="3">
        <v>0</v>
      </c>
    </row>
    <row r="1591" spans="1:10" x14ac:dyDescent="0.25">
      <c r="A1591" s="2">
        <v>1592</v>
      </c>
      <c r="B1591" s="18">
        <v>45525.708287037036</v>
      </c>
      <c r="C1591" s="2" t="s">
        <v>347</v>
      </c>
      <c r="D1591" s="2" t="s">
        <v>68</v>
      </c>
      <c r="E1591" s="2" t="s">
        <v>363</v>
      </c>
      <c r="F1591" s="2" t="s">
        <v>33</v>
      </c>
      <c r="G1591" s="3">
        <v>485000</v>
      </c>
      <c r="H1591" s="8">
        <v>128</v>
      </c>
      <c r="I1591" s="3">
        <v>40352000</v>
      </c>
      <c r="J1591" s="3">
        <v>40352000</v>
      </c>
    </row>
    <row r="1592" spans="1:10" x14ac:dyDescent="0.25">
      <c r="A1592" s="2">
        <v>1593</v>
      </c>
      <c r="B1592" s="18">
        <v>45525.708287037036</v>
      </c>
      <c r="C1592" s="2" t="s">
        <v>347</v>
      </c>
      <c r="D1592" s="2" t="s">
        <v>68</v>
      </c>
      <c r="E1592" s="2" t="s">
        <v>363</v>
      </c>
      <c r="F1592" s="2" t="s">
        <v>59</v>
      </c>
      <c r="G1592" s="3">
        <v>475000</v>
      </c>
      <c r="H1592" s="8">
        <v>128</v>
      </c>
      <c r="I1592" s="3">
        <v>39520000</v>
      </c>
      <c r="J1592" s="3">
        <v>39520000</v>
      </c>
    </row>
    <row r="1593" spans="1:10" x14ac:dyDescent="0.25">
      <c r="A1593" s="2">
        <v>1594</v>
      </c>
      <c r="B1593" s="18">
        <v>45526.708287037036</v>
      </c>
      <c r="C1593" s="2" t="s">
        <v>347</v>
      </c>
      <c r="D1593" s="2" t="s">
        <v>68</v>
      </c>
      <c r="E1593" s="2" t="s">
        <v>363</v>
      </c>
      <c r="F1593" s="2" t="s">
        <v>89</v>
      </c>
      <c r="G1593" s="3">
        <v>390000</v>
      </c>
      <c r="H1593" s="8">
        <v>30</v>
      </c>
      <c r="I1593" s="3">
        <v>0</v>
      </c>
      <c r="J1593" s="3">
        <v>0</v>
      </c>
    </row>
    <row r="1594" spans="1:10" x14ac:dyDescent="0.25">
      <c r="A1594" s="2">
        <v>1595</v>
      </c>
      <c r="B1594" s="18">
        <v>45526.708287037036</v>
      </c>
      <c r="C1594" s="2" t="s">
        <v>347</v>
      </c>
      <c r="D1594" s="2" t="s">
        <v>68</v>
      </c>
      <c r="E1594" s="2" t="s">
        <v>363</v>
      </c>
      <c r="F1594" s="2" t="s">
        <v>49</v>
      </c>
      <c r="G1594" s="3">
        <v>200000</v>
      </c>
      <c r="H1594" s="8">
        <v>100</v>
      </c>
      <c r="I1594" s="3">
        <v>0</v>
      </c>
      <c r="J1594" s="3">
        <v>0</v>
      </c>
    </row>
    <row r="1595" spans="1:10" x14ac:dyDescent="0.25">
      <c r="A1595" s="2">
        <v>1596</v>
      </c>
      <c r="B1595" s="18">
        <v>45526.708287037036</v>
      </c>
      <c r="C1595" s="2" t="s">
        <v>347</v>
      </c>
      <c r="D1595" s="2" t="s">
        <v>68</v>
      </c>
      <c r="E1595" s="2" t="s">
        <v>363</v>
      </c>
      <c r="F1595" s="2" t="s">
        <v>47</v>
      </c>
      <c r="G1595" s="3">
        <v>200000</v>
      </c>
      <c r="H1595" s="8">
        <v>156</v>
      </c>
      <c r="I1595" s="3">
        <v>0</v>
      </c>
      <c r="J1595" s="3">
        <v>0</v>
      </c>
    </row>
    <row r="1596" spans="1:10" x14ac:dyDescent="0.25">
      <c r="A1596" s="2">
        <v>1597</v>
      </c>
      <c r="B1596" s="18">
        <v>45525.708287037036</v>
      </c>
      <c r="C1596" s="2" t="s">
        <v>347</v>
      </c>
      <c r="D1596" s="2" t="s">
        <v>258</v>
      </c>
      <c r="E1596" s="2" t="s">
        <v>364</v>
      </c>
      <c r="F1596" s="2" t="s">
        <v>59</v>
      </c>
      <c r="G1596" s="3">
        <v>475000</v>
      </c>
      <c r="H1596" s="8">
        <v>1</v>
      </c>
      <c r="I1596" s="3">
        <v>0</v>
      </c>
      <c r="J1596" s="3">
        <v>0</v>
      </c>
    </row>
    <row r="1597" spans="1:10" x14ac:dyDescent="0.25">
      <c r="A1597" s="2">
        <v>1598</v>
      </c>
      <c r="B1597" s="18">
        <v>45525.708287037036</v>
      </c>
      <c r="C1597" s="2" t="s">
        <v>347</v>
      </c>
      <c r="D1597" s="2" t="s">
        <v>258</v>
      </c>
      <c r="E1597" s="2" t="s">
        <v>364</v>
      </c>
      <c r="F1597" s="2" t="s">
        <v>33</v>
      </c>
      <c r="G1597" s="3">
        <v>485000</v>
      </c>
      <c r="H1597" s="8">
        <v>1</v>
      </c>
      <c r="I1597" s="3">
        <v>0</v>
      </c>
      <c r="J1597" s="3">
        <v>0</v>
      </c>
    </row>
    <row r="1598" spans="1:10" x14ac:dyDescent="0.25">
      <c r="A1598" s="2">
        <v>1599</v>
      </c>
      <c r="B1598" s="18">
        <v>45525.708287037036</v>
      </c>
      <c r="C1598" s="2" t="s">
        <v>347</v>
      </c>
      <c r="D1598" s="2" t="s">
        <v>258</v>
      </c>
      <c r="E1598" s="2" t="s">
        <v>364</v>
      </c>
      <c r="F1598" s="2" t="s">
        <v>89</v>
      </c>
      <c r="G1598" s="3">
        <v>390000</v>
      </c>
      <c r="H1598" s="8">
        <v>1</v>
      </c>
      <c r="I1598" s="3">
        <v>0</v>
      </c>
      <c r="J1598" s="3">
        <v>0</v>
      </c>
    </row>
    <row r="1599" spans="1:10" x14ac:dyDescent="0.25">
      <c r="A1599" s="2">
        <v>1600</v>
      </c>
      <c r="B1599" s="18">
        <v>45525.708287037036</v>
      </c>
      <c r="C1599" s="2" t="s">
        <v>347</v>
      </c>
      <c r="D1599" s="2" t="s">
        <v>258</v>
      </c>
      <c r="E1599" s="2" t="s">
        <v>364</v>
      </c>
      <c r="F1599" s="2" t="s">
        <v>23</v>
      </c>
      <c r="G1599" s="3">
        <v>775000</v>
      </c>
      <c r="H1599" s="8">
        <v>1</v>
      </c>
      <c r="I1599" s="3">
        <v>0</v>
      </c>
      <c r="J1599" s="3">
        <v>0</v>
      </c>
    </row>
    <row r="1600" spans="1:10" x14ac:dyDescent="0.25">
      <c r="A1600" s="2">
        <v>1601</v>
      </c>
      <c r="B1600" s="18">
        <v>45525.708287037036</v>
      </c>
      <c r="C1600" s="2" t="s">
        <v>347</v>
      </c>
      <c r="D1600" s="2" t="s">
        <v>72</v>
      </c>
      <c r="E1600" s="2" t="s">
        <v>364</v>
      </c>
      <c r="F1600" s="2" t="s">
        <v>63</v>
      </c>
      <c r="G1600" s="3">
        <v>550000</v>
      </c>
      <c r="H1600" s="8">
        <v>50</v>
      </c>
      <c r="I1600" s="3">
        <v>13750000</v>
      </c>
      <c r="J1600" s="3">
        <v>13750000</v>
      </c>
    </row>
    <row r="1601" spans="1:10" x14ac:dyDescent="0.25">
      <c r="A1601" s="2">
        <v>1602</v>
      </c>
      <c r="B1601" s="18">
        <v>45525.708287037036</v>
      </c>
      <c r="C1601" s="2" t="s">
        <v>347</v>
      </c>
      <c r="D1601" s="2" t="s">
        <v>268</v>
      </c>
      <c r="E1601" s="2" t="s">
        <v>371</v>
      </c>
      <c r="F1601" s="2" t="s">
        <v>31</v>
      </c>
      <c r="G1601" s="3">
        <v>745000</v>
      </c>
      <c r="H1601" s="8">
        <v>271</v>
      </c>
      <c r="I1601" s="3">
        <v>90852749.99999999</v>
      </c>
      <c r="J1601" s="3">
        <v>90852749.99999999</v>
      </c>
    </row>
    <row r="1602" spans="1:10" x14ac:dyDescent="0.25">
      <c r="A1602" s="2">
        <v>1603</v>
      </c>
      <c r="B1602" s="18">
        <v>45525.708287037036</v>
      </c>
      <c r="C1602" s="2" t="s">
        <v>347</v>
      </c>
      <c r="D1602" s="2" t="s">
        <v>268</v>
      </c>
      <c r="E1602" s="2" t="s">
        <v>371</v>
      </c>
      <c r="F1602" s="2" t="s">
        <v>57</v>
      </c>
      <c r="G1602" s="3">
        <v>745000</v>
      </c>
      <c r="H1602" s="8">
        <v>330</v>
      </c>
      <c r="I1602" s="3">
        <v>110632499.99999999</v>
      </c>
      <c r="J1602" s="3">
        <v>110632499.99999999</v>
      </c>
    </row>
    <row r="1603" spans="1:10" x14ac:dyDescent="0.25">
      <c r="A1603" s="2">
        <v>1604</v>
      </c>
      <c r="B1603" s="18">
        <v>45525.708287037036</v>
      </c>
      <c r="C1603" s="2" t="s">
        <v>347</v>
      </c>
      <c r="D1603" s="2" t="s">
        <v>268</v>
      </c>
      <c r="E1603" s="2" t="s">
        <v>371</v>
      </c>
      <c r="F1603" s="2" t="s">
        <v>83</v>
      </c>
      <c r="G1603" s="3">
        <v>790000</v>
      </c>
      <c r="H1603" s="8">
        <v>147</v>
      </c>
      <c r="I1603" s="3">
        <v>52258499.99999999</v>
      </c>
      <c r="J1603" s="3">
        <v>52258499.99999999</v>
      </c>
    </row>
    <row r="1604" spans="1:10" x14ac:dyDescent="0.25">
      <c r="A1604" s="2">
        <v>1605</v>
      </c>
      <c r="B1604" s="18">
        <v>45525.708287037036</v>
      </c>
      <c r="C1604" s="2" t="s">
        <v>347</v>
      </c>
      <c r="D1604" s="2" t="s">
        <v>268</v>
      </c>
      <c r="E1604" s="2" t="s">
        <v>371</v>
      </c>
      <c r="F1604" s="2" t="s">
        <v>19</v>
      </c>
      <c r="G1604" s="3">
        <v>590000</v>
      </c>
      <c r="H1604" s="8">
        <v>90</v>
      </c>
      <c r="I1604" s="3">
        <v>23895000</v>
      </c>
      <c r="J1604" s="3">
        <v>23895000</v>
      </c>
    </row>
    <row r="1605" spans="1:10" x14ac:dyDescent="0.25">
      <c r="A1605" s="2">
        <v>1606</v>
      </c>
      <c r="B1605" s="18">
        <v>45525.708287037036</v>
      </c>
      <c r="C1605" s="2" t="s">
        <v>347</v>
      </c>
      <c r="D1605" s="2" t="s">
        <v>268</v>
      </c>
      <c r="E1605" s="2" t="s">
        <v>371</v>
      </c>
      <c r="F1605" s="2" t="s">
        <v>27</v>
      </c>
      <c r="G1605" s="3">
        <v>935000</v>
      </c>
      <c r="H1605" s="8">
        <v>93</v>
      </c>
      <c r="I1605" s="3">
        <v>39129749.99999999</v>
      </c>
      <c r="J1605" s="3">
        <v>39129749.99999999</v>
      </c>
    </row>
    <row r="1606" spans="1:10" x14ac:dyDescent="0.25">
      <c r="A1606" s="2">
        <v>1607</v>
      </c>
      <c r="B1606" s="18">
        <v>45525.708287037036</v>
      </c>
      <c r="C1606" s="2" t="s">
        <v>347</v>
      </c>
      <c r="D1606" s="2" t="s">
        <v>268</v>
      </c>
      <c r="E1606" s="2" t="s">
        <v>371</v>
      </c>
      <c r="F1606" s="2" t="s">
        <v>31</v>
      </c>
      <c r="G1606" s="3">
        <v>745000</v>
      </c>
      <c r="H1606" s="8">
        <v>21</v>
      </c>
      <c r="I1606" s="3">
        <v>7040249.999999999</v>
      </c>
      <c r="J1606" s="3">
        <v>7040249.999999999</v>
      </c>
    </row>
    <row r="1607" spans="1:10" x14ac:dyDescent="0.25">
      <c r="A1607" s="2">
        <v>1608</v>
      </c>
      <c r="B1607" s="18">
        <v>45525.708287037036</v>
      </c>
      <c r="C1607" s="2" t="s">
        <v>347</v>
      </c>
      <c r="D1607" s="2" t="s">
        <v>268</v>
      </c>
      <c r="E1607" s="2" t="s">
        <v>371</v>
      </c>
      <c r="F1607" s="2" t="s">
        <v>83</v>
      </c>
      <c r="G1607" s="3">
        <v>790000</v>
      </c>
      <c r="H1607" s="8">
        <v>11</v>
      </c>
      <c r="I1607" s="3">
        <v>3910499.9999999995</v>
      </c>
      <c r="J1607" s="3">
        <v>3910499.9999999995</v>
      </c>
    </row>
    <row r="1608" spans="1:10" x14ac:dyDescent="0.25">
      <c r="A1608" s="2">
        <v>1609</v>
      </c>
      <c r="B1608" s="18">
        <v>45525.708287037036</v>
      </c>
      <c r="C1608" s="2" t="s">
        <v>347</v>
      </c>
      <c r="D1608" s="2" t="s">
        <v>268</v>
      </c>
      <c r="E1608" s="2" t="s">
        <v>371</v>
      </c>
      <c r="F1608" s="2" t="s">
        <v>19</v>
      </c>
      <c r="G1608" s="3">
        <v>590000</v>
      </c>
      <c r="H1608" s="8">
        <v>9</v>
      </c>
      <c r="I1608" s="3">
        <v>2389500</v>
      </c>
      <c r="J1608" s="3">
        <v>2389500</v>
      </c>
    </row>
    <row r="1609" spans="1:10" x14ac:dyDescent="0.25">
      <c r="A1609" s="2">
        <v>1610</v>
      </c>
      <c r="B1609" s="18">
        <v>45525.708287037036</v>
      </c>
      <c r="C1609" s="2" t="s">
        <v>347</v>
      </c>
      <c r="D1609" s="2" t="s">
        <v>268</v>
      </c>
      <c r="E1609" s="2" t="s">
        <v>371</v>
      </c>
      <c r="F1609" s="2" t="s">
        <v>27</v>
      </c>
      <c r="G1609" s="3">
        <v>935000</v>
      </c>
      <c r="H1609" s="8">
        <v>19</v>
      </c>
      <c r="I1609" s="3">
        <v>7994249.999999999</v>
      </c>
      <c r="J1609" s="3">
        <v>7994249.999999999</v>
      </c>
    </row>
    <row r="1610" spans="1:10" x14ac:dyDescent="0.25">
      <c r="A1610" s="2">
        <v>1611</v>
      </c>
      <c r="B1610" s="18">
        <v>45525.708287037036</v>
      </c>
      <c r="C1610" s="2" t="s">
        <v>347</v>
      </c>
      <c r="D1610" s="2" t="s">
        <v>268</v>
      </c>
      <c r="E1610" s="2" t="s">
        <v>371</v>
      </c>
      <c r="F1610" s="2" t="s">
        <v>31</v>
      </c>
      <c r="G1610" s="3">
        <v>745000</v>
      </c>
      <c r="H1610" s="8">
        <v>35</v>
      </c>
      <c r="I1610" s="3">
        <v>11733749.999999998</v>
      </c>
      <c r="J1610" s="3">
        <v>11733749.999999998</v>
      </c>
    </row>
    <row r="1611" spans="1:10" x14ac:dyDescent="0.25">
      <c r="A1611" s="2">
        <v>1612</v>
      </c>
      <c r="B1611" s="18">
        <v>45525.708287037036</v>
      </c>
      <c r="C1611" s="2" t="s">
        <v>347</v>
      </c>
      <c r="D1611" s="2" t="s">
        <v>268</v>
      </c>
      <c r="E1611" s="2" t="s">
        <v>371</v>
      </c>
      <c r="F1611" s="2" t="s">
        <v>19</v>
      </c>
      <c r="G1611" s="3">
        <v>590000</v>
      </c>
      <c r="H1611" s="8">
        <v>8</v>
      </c>
      <c r="I1611" s="3">
        <v>2124000</v>
      </c>
      <c r="J1611" s="3">
        <v>2124000</v>
      </c>
    </row>
    <row r="1612" spans="1:10" x14ac:dyDescent="0.25">
      <c r="A1612" s="2">
        <v>1613</v>
      </c>
      <c r="B1612" s="18">
        <v>45525.708287037036</v>
      </c>
      <c r="C1612" s="2" t="s">
        <v>347</v>
      </c>
      <c r="D1612" s="2" t="s">
        <v>268</v>
      </c>
      <c r="E1612" s="2" t="s">
        <v>371</v>
      </c>
      <c r="F1612" s="2" t="s">
        <v>27</v>
      </c>
      <c r="G1612" s="3">
        <v>935000</v>
      </c>
      <c r="H1612" s="8">
        <v>18</v>
      </c>
      <c r="I1612" s="3">
        <v>7573499.999999999</v>
      </c>
      <c r="J1612" s="3">
        <v>7573499.999999999</v>
      </c>
    </row>
    <row r="1613" spans="1:10" x14ac:dyDescent="0.25">
      <c r="A1613" s="2">
        <v>1614</v>
      </c>
      <c r="B1613" s="18">
        <v>45525.708287037036</v>
      </c>
      <c r="C1613" s="2" t="s">
        <v>347</v>
      </c>
      <c r="D1613" s="2" t="s">
        <v>96</v>
      </c>
      <c r="E1613" s="2" t="s">
        <v>369</v>
      </c>
      <c r="F1613" s="2" t="s">
        <v>29</v>
      </c>
      <c r="G1613" s="3">
        <v>590000</v>
      </c>
      <c r="H1613" s="8">
        <v>20</v>
      </c>
      <c r="I1613" s="3">
        <v>8850000</v>
      </c>
      <c r="J1613" s="3">
        <v>8850000</v>
      </c>
    </row>
    <row r="1614" spans="1:10" x14ac:dyDescent="0.25">
      <c r="A1614" s="2">
        <v>1615</v>
      </c>
      <c r="B1614" s="18">
        <v>45525.708287037036</v>
      </c>
      <c r="C1614" s="2" t="s">
        <v>347</v>
      </c>
      <c r="D1614" s="2" t="s">
        <v>96</v>
      </c>
      <c r="E1614" s="2" t="s">
        <v>369</v>
      </c>
      <c r="F1614" s="2" t="s">
        <v>29</v>
      </c>
      <c r="G1614" s="3">
        <v>590000</v>
      </c>
      <c r="H1614" s="8">
        <v>4</v>
      </c>
      <c r="I1614" s="3">
        <v>0</v>
      </c>
      <c r="J1614" s="3">
        <v>0</v>
      </c>
    </row>
    <row r="1615" spans="1:10" x14ac:dyDescent="0.25">
      <c r="A1615" s="2">
        <v>1616</v>
      </c>
      <c r="B1615" s="18">
        <v>45525.708287037036</v>
      </c>
      <c r="C1615" s="2" t="s">
        <v>347</v>
      </c>
      <c r="D1615" s="2" t="s">
        <v>336</v>
      </c>
      <c r="E1615" s="2" t="s">
        <v>367</v>
      </c>
      <c r="F1615" s="2" t="s">
        <v>83</v>
      </c>
      <c r="G1615" s="3">
        <v>790000</v>
      </c>
      <c r="H1615" s="8">
        <v>1</v>
      </c>
      <c r="I1615" s="3">
        <v>359999.83999999997</v>
      </c>
      <c r="J1615" s="3">
        <v>359999.83999999997</v>
      </c>
    </row>
    <row r="1616" spans="1:10" x14ac:dyDescent="0.25">
      <c r="A1616" s="2">
        <v>1617</v>
      </c>
      <c r="B1616" s="18">
        <v>45525.708287037036</v>
      </c>
      <c r="C1616" s="2" t="s">
        <v>347</v>
      </c>
      <c r="D1616" s="2" t="s">
        <v>108</v>
      </c>
      <c r="E1616" s="2" t="s">
        <v>367</v>
      </c>
      <c r="F1616" s="2" t="s">
        <v>31</v>
      </c>
      <c r="G1616" s="3">
        <v>745000</v>
      </c>
      <c r="H1616" s="8">
        <v>1</v>
      </c>
      <c r="I1616" s="3">
        <v>484250</v>
      </c>
      <c r="J1616" s="3">
        <v>484250</v>
      </c>
    </row>
    <row r="1617" spans="1:10" x14ac:dyDescent="0.25">
      <c r="A1617" s="2">
        <v>1618</v>
      </c>
      <c r="B1617" s="18">
        <v>45525.708287037036</v>
      </c>
      <c r="C1617" s="2" t="s">
        <v>347</v>
      </c>
      <c r="D1617" s="2" t="s">
        <v>108</v>
      </c>
      <c r="E1617" s="2" t="s">
        <v>367</v>
      </c>
      <c r="F1617" s="2" t="s">
        <v>57</v>
      </c>
      <c r="G1617" s="3">
        <v>745000</v>
      </c>
      <c r="H1617" s="8">
        <v>1</v>
      </c>
      <c r="I1617" s="3">
        <v>484250</v>
      </c>
      <c r="J1617" s="3">
        <v>484250</v>
      </c>
    </row>
    <row r="1618" spans="1:10" x14ac:dyDescent="0.25">
      <c r="A1618" s="2">
        <v>1619</v>
      </c>
      <c r="B1618" s="18">
        <v>45525.708287037036</v>
      </c>
      <c r="C1618" s="2" t="s">
        <v>347</v>
      </c>
      <c r="D1618" s="2" t="s">
        <v>108</v>
      </c>
      <c r="E1618" s="2" t="s">
        <v>367</v>
      </c>
      <c r="F1618" s="2" t="s">
        <v>89</v>
      </c>
      <c r="G1618" s="3">
        <v>390000</v>
      </c>
      <c r="H1618" s="8">
        <v>1</v>
      </c>
      <c r="I1618" s="3">
        <v>0</v>
      </c>
      <c r="J1618" s="3">
        <v>0</v>
      </c>
    </row>
    <row r="1619" spans="1:10" x14ac:dyDescent="0.25">
      <c r="A1619" s="2">
        <v>1620</v>
      </c>
      <c r="B1619" s="18">
        <v>45525.708287037036</v>
      </c>
      <c r="C1619" s="2" t="s">
        <v>347</v>
      </c>
      <c r="D1619" s="2" t="s">
        <v>108</v>
      </c>
      <c r="E1619" s="2" t="s">
        <v>367</v>
      </c>
      <c r="F1619" s="2" t="s">
        <v>79</v>
      </c>
      <c r="G1619" s="3">
        <v>150000</v>
      </c>
      <c r="H1619" s="8">
        <v>1</v>
      </c>
      <c r="I1619" s="3">
        <v>0</v>
      </c>
      <c r="J1619" s="3">
        <v>0</v>
      </c>
    </row>
    <row r="1620" spans="1:10" x14ac:dyDescent="0.25">
      <c r="A1620" s="2">
        <v>1621</v>
      </c>
      <c r="B1620" s="18">
        <v>45526.708287037036</v>
      </c>
      <c r="C1620" s="2" t="s">
        <v>347</v>
      </c>
      <c r="D1620" s="2" t="s">
        <v>2</v>
      </c>
      <c r="E1620" s="2" t="s">
        <v>370</v>
      </c>
      <c r="F1620" s="2" t="s">
        <v>19</v>
      </c>
      <c r="G1620" s="3">
        <v>590000</v>
      </c>
      <c r="H1620" s="8">
        <v>22</v>
      </c>
      <c r="I1620" s="3">
        <v>7434022.42</v>
      </c>
      <c r="J1620" s="3">
        <v>8177424.6620000005</v>
      </c>
    </row>
    <row r="1621" spans="1:10" x14ac:dyDescent="0.25">
      <c r="A1621" s="2">
        <v>1622</v>
      </c>
      <c r="B1621" s="18">
        <v>45526.708287037036</v>
      </c>
      <c r="C1621" s="2" t="s">
        <v>347</v>
      </c>
      <c r="D1621" s="2" t="s">
        <v>2</v>
      </c>
      <c r="E1621" s="2" t="s">
        <v>370</v>
      </c>
      <c r="F1621" s="2" t="s">
        <v>29</v>
      </c>
      <c r="G1621" s="3">
        <v>590000</v>
      </c>
      <c r="H1621" s="8">
        <v>22</v>
      </c>
      <c r="I1621" s="3">
        <v>7434022.42</v>
      </c>
      <c r="J1621" s="3">
        <v>8177424.6620000005</v>
      </c>
    </row>
    <row r="1622" spans="1:10" x14ac:dyDescent="0.25">
      <c r="A1622" s="2">
        <v>1623</v>
      </c>
      <c r="B1622" s="18">
        <v>45526.708287037036</v>
      </c>
      <c r="C1622" s="2" t="s">
        <v>347</v>
      </c>
      <c r="D1622" s="2" t="s">
        <v>2</v>
      </c>
      <c r="E1622" s="2" t="s">
        <v>370</v>
      </c>
      <c r="F1622" s="2" t="s">
        <v>61</v>
      </c>
      <c r="G1622" s="3">
        <v>890000</v>
      </c>
      <c r="H1622" s="8">
        <v>18</v>
      </c>
      <c r="I1622" s="3">
        <v>9175118.58</v>
      </c>
      <c r="J1622" s="3">
        <v>10092630.438000001</v>
      </c>
    </row>
    <row r="1623" spans="1:10" x14ac:dyDescent="0.25">
      <c r="A1623" s="2">
        <v>1624</v>
      </c>
      <c r="B1623" s="18">
        <v>45526.708287037036</v>
      </c>
      <c r="C1623" s="2" t="s">
        <v>347</v>
      </c>
      <c r="D1623" s="2" t="s">
        <v>2</v>
      </c>
      <c r="E1623" s="2" t="s">
        <v>370</v>
      </c>
      <c r="F1623" s="2" t="s">
        <v>19</v>
      </c>
      <c r="G1623" s="3">
        <v>590000</v>
      </c>
      <c r="H1623" s="8">
        <v>38</v>
      </c>
      <c r="I1623" s="3">
        <v>12840584.18</v>
      </c>
      <c r="J1623" s="3">
        <v>14124642.598</v>
      </c>
    </row>
    <row r="1624" spans="1:10" x14ac:dyDescent="0.25">
      <c r="A1624" s="2">
        <v>1625</v>
      </c>
      <c r="B1624" s="18">
        <v>45526.708287037036</v>
      </c>
      <c r="C1624" s="2" t="s">
        <v>347</v>
      </c>
      <c r="D1624" s="2" t="s">
        <v>2</v>
      </c>
      <c r="E1624" s="2" t="s">
        <v>370</v>
      </c>
      <c r="F1624" s="2" t="s">
        <v>29</v>
      </c>
      <c r="G1624" s="3">
        <v>590000</v>
      </c>
      <c r="H1624" s="8">
        <v>38</v>
      </c>
      <c r="I1624" s="3">
        <v>12840584.18</v>
      </c>
      <c r="J1624" s="3">
        <v>14124642.598</v>
      </c>
    </row>
    <row r="1625" spans="1:10" x14ac:dyDescent="0.25">
      <c r="A1625" s="2">
        <v>1626</v>
      </c>
      <c r="B1625" s="18">
        <v>45526.708287037036</v>
      </c>
      <c r="C1625" s="2" t="s">
        <v>347</v>
      </c>
      <c r="D1625" s="2" t="s">
        <v>2</v>
      </c>
      <c r="E1625" s="2" t="s">
        <v>370</v>
      </c>
      <c r="F1625" s="2" t="s">
        <v>61</v>
      </c>
      <c r="G1625" s="3">
        <v>890000</v>
      </c>
      <c r="H1625" s="8">
        <v>32</v>
      </c>
      <c r="I1625" s="3">
        <v>16311321.92</v>
      </c>
      <c r="J1625" s="3">
        <v>17942454.112</v>
      </c>
    </row>
    <row r="1626" spans="1:10" x14ac:dyDescent="0.25">
      <c r="A1626" s="2">
        <v>1627</v>
      </c>
      <c r="B1626" s="18">
        <v>45526.708287037036</v>
      </c>
      <c r="C1626" s="2" t="s">
        <v>347</v>
      </c>
      <c r="D1626" s="2" t="s">
        <v>250</v>
      </c>
      <c r="E1626" s="2" t="s">
        <v>368</v>
      </c>
      <c r="F1626" s="2" t="s">
        <v>31</v>
      </c>
      <c r="G1626" s="3">
        <v>745000</v>
      </c>
      <c r="H1626" s="8">
        <v>2</v>
      </c>
      <c r="I1626" s="3">
        <v>670499.9999999999</v>
      </c>
      <c r="J1626" s="3">
        <v>670499.9999999999</v>
      </c>
    </row>
    <row r="1627" spans="1:10" x14ac:dyDescent="0.25">
      <c r="A1627" s="2">
        <v>1628</v>
      </c>
      <c r="B1627" s="18">
        <v>45504.708287037036</v>
      </c>
      <c r="C1627" s="2" t="s">
        <v>346</v>
      </c>
      <c r="D1627" s="2" t="s">
        <v>110</v>
      </c>
      <c r="E1627" s="2" t="s">
        <v>363</v>
      </c>
      <c r="F1627" s="2" t="s">
        <v>421</v>
      </c>
      <c r="G1627" s="3">
        <v>0</v>
      </c>
      <c r="H1627" s="8">
        <v>0</v>
      </c>
      <c r="I1627" s="3">
        <v>0</v>
      </c>
      <c r="J1627" s="3">
        <v>0</v>
      </c>
    </row>
    <row r="1628" spans="1:10" x14ac:dyDescent="0.25">
      <c r="A1628" s="2">
        <v>1629</v>
      </c>
      <c r="B1628" s="18">
        <v>45504.708287037036</v>
      </c>
      <c r="C1628" s="2" t="s">
        <v>346</v>
      </c>
      <c r="D1628" s="2" t="s">
        <v>110</v>
      </c>
      <c r="E1628" s="2" t="s">
        <v>363</v>
      </c>
      <c r="F1628" s="2" t="s">
        <v>421</v>
      </c>
      <c r="G1628" s="3">
        <v>0</v>
      </c>
      <c r="H1628" s="8">
        <v>0</v>
      </c>
      <c r="I1628" s="3">
        <v>0</v>
      </c>
      <c r="J1628" s="3">
        <v>0</v>
      </c>
    </row>
    <row r="1629" spans="1:10" x14ac:dyDescent="0.25">
      <c r="A1629" s="2">
        <v>1630</v>
      </c>
      <c r="B1629" s="18">
        <v>45504.708287037036</v>
      </c>
      <c r="C1629" s="2" t="s">
        <v>346</v>
      </c>
      <c r="D1629" s="2" t="s">
        <v>74</v>
      </c>
      <c r="E1629" s="2" t="s">
        <v>369</v>
      </c>
      <c r="F1629" s="2" t="s">
        <v>421</v>
      </c>
      <c r="G1629" s="3">
        <v>0</v>
      </c>
      <c r="H1629" s="8">
        <v>0</v>
      </c>
      <c r="I1629" s="3">
        <v>0</v>
      </c>
      <c r="J1629" s="3">
        <v>0</v>
      </c>
    </row>
    <row r="1630" spans="1:10" x14ac:dyDescent="0.25">
      <c r="A1630" s="2">
        <v>1631</v>
      </c>
      <c r="B1630" s="18">
        <v>45504.708287037036</v>
      </c>
      <c r="C1630" s="2" t="s">
        <v>346</v>
      </c>
      <c r="D1630" s="2" t="s">
        <v>74</v>
      </c>
      <c r="E1630" s="2" t="s">
        <v>369</v>
      </c>
      <c r="F1630" s="2" t="s">
        <v>421</v>
      </c>
      <c r="G1630" s="3">
        <v>0</v>
      </c>
      <c r="H1630" s="8">
        <v>0</v>
      </c>
      <c r="I1630" s="3">
        <v>0</v>
      </c>
      <c r="J1630" s="3">
        <v>0</v>
      </c>
    </row>
    <row r="1631" spans="1:10" x14ac:dyDescent="0.25">
      <c r="A1631" s="2">
        <v>1632</v>
      </c>
      <c r="B1631" s="18">
        <v>45528.708287037036</v>
      </c>
      <c r="C1631" s="2" t="s">
        <v>347</v>
      </c>
      <c r="D1631" s="2" t="s">
        <v>258</v>
      </c>
      <c r="E1631" s="2" t="s">
        <v>364</v>
      </c>
      <c r="F1631" s="2" t="s">
        <v>85</v>
      </c>
      <c r="G1631" s="3">
        <v>480000</v>
      </c>
      <c r="H1631" s="8">
        <v>30</v>
      </c>
      <c r="I1631" s="3">
        <v>8784000</v>
      </c>
      <c r="J1631" s="3">
        <v>8081280</v>
      </c>
    </row>
    <row r="1632" spans="1:10" x14ac:dyDescent="0.25">
      <c r="A1632" s="2">
        <v>1633</v>
      </c>
      <c r="B1632" s="18">
        <v>45528.708287037036</v>
      </c>
      <c r="C1632" s="2" t="s">
        <v>347</v>
      </c>
      <c r="D1632" s="2" t="s">
        <v>258</v>
      </c>
      <c r="E1632" s="2" t="s">
        <v>364</v>
      </c>
      <c r="F1632" s="2" t="s">
        <v>59</v>
      </c>
      <c r="G1632" s="3">
        <v>475000</v>
      </c>
      <c r="H1632" s="8">
        <v>30</v>
      </c>
      <c r="I1632" s="3">
        <v>8692500</v>
      </c>
      <c r="J1632" s="3">
        <v>7997100</v>
      </c>
    </row>
    <row r="1633" spans="1:10" x14ac:dyDescent="0.25">
      <c r="A1633" s="2">
        <v>1634</v>
      </c>
      <c r="B1633" s="18">
        <v>45528.708287037036</v>
      </c>
      <c r="C1633" s="2" t="s">
        <v>347</v>
      </c>
      <c r="D1633" s="2" t="s">
        <v>258</v>
      </c>
      <c r="E1633" s="2" t="s">
        <v>364</v>
      </c>
      <c r="F1633" s="2" t="s">
        <v>33</v>
      </c>
      <c r="G1633" s="3">
        <v>485000</v>
      </c>
      <c r="H1633" s="8">
        <v>30</v>
      </c>
      <c r="I1633" s="3">
        <v>8875500</v>
      </c>
      <c r="J1633" s="3">
        <v>8165460</v>
      </c>
    </row>
    <row r="1634" spans="1:10" x14ac:dyDescent="0.25">
      <c r="A1634" s="2">
        <v>1635</v>
      </c>
      <c r="B1634" s="18">
        <v>45528.708287037036</v>
      </c>
      <c r="C1634" s="2" t="s">
        <v>347</v>
      </c>
      <c r="D1634" s="2" t="s">
        <v>258</v>
      </c>
      <c r="E1634" s="2" t="s">
        <v>364</v>
      </c>
      <c r="F1634" s="2" t="s">
        <v>23</v>
      </c>
      <c r="G1634" s="3">
        <v>775000</v>
      </c>
      <c r="H1634" s="8">
        <v>44</v>
      </c>
      <c r="I1634" s="3">
        <v>21824000</v>
      </c>
      <c r="J1634" s="3">
        <v>20078080</v>
      </c>
    </row>
    <row r="1635" spans="1:10" x14ac:dyDescent="0.25">
      <c r="A1635" s="2">
        <v>1636</v>
      </c>
      <c r="B1635" s="18">
        <v>45528.708287037036</v>
      </c>
      <c r="C1635" s="2" t="s">
        <v>347</v>
      </c>
      <c r="D1635" s="2" t="s">
        <v>258</v>
      </c>
      <c r="E1635" s="2" t="s">
        <v>364</v>
      </c>
      <c r="F1635" s="2" t="s">
        <v>19</v>
      </c>
      <c r="G1635" s="3">
        <v>590000</v>
      </c>
      <c r="H1635" s="8">
        <v>30</v>
      </c>
      <c r="I1635" s="3">
        <v>10797000</v>
      </c>
      <c r="J1635" s="3">
        <v>9933240</v>
      </c>
    </row>
    <row r="1636" spans="1:10" x14ac:dyDescent="0.25">
      <c r="A1636" s="2">
        <v>1637</v>
      </c>
      <c r="B1636" s="18">
        <v>45528.708287037036</v>
      </c>
      <c r="C1636" s="2" t="s">
        <v>347</v>
      </c>
      <c r="D1636" s="2" t="s">
        <v>258</v>
      </c>
      <c r="E1636" s="2" t="s">
        <v>364</v>
      </c>
      <c r="F1636" s="2" t="s">
        <v>29</v>
      </c>
      <c r="G1636" s="3">
        <v>590000</v>
      </c>
      <c r="H1636" s="8">
        <v>30</v>
      </c>
      <c r="I1636" s="3">
        <v>10797000</v>
      </c>
      <c r="J1636" s="3">
        <v>9933240</v>
      </c>
    </row>
    <row r="1637" spans="1:10" x14ac:dyDescent="0.25">
      <c r="A1637" s="2">
        <v>1638</v>
      </c>
      <c r="B1637" s="18">
        <v>45529.708287037036</v>
      </c>
      <c r="C1637" s="2" t="s">
        <v>347</v>
      </c>
      <c r="D1637" s="2" t="s">
        <v>122</v>
      </c>
      <c r="E1637" s="2" t="s">
        <v>370</v>
      </c>
      <c r="F1637" s="2" t="s">
        <v>27</v>
      </c>
      <c r="G1637" s="3">
        <v>935000</v>
      </c>
      <c r="H1637" s="8">
        <v>99</v>
      </c>
      <c r="I1637" s="3">
        <v>65721150</v>
      </c>
      <c r="J1637" s="3">
        <v>65721150</v>
      </c>
    </row>
    <row r="1638" spans="1:10" x14ac:dyDescent="0.25">
      <c r="A1638" s="2">
        <v>1639</v>
      </c>
      <c r="B1638" s="18">
        <v>45529.708287037036</v>
      </c>
      <c r="C1638" s="2" t="s">
        <v>347</v>
      </c>
      <c r="D1638" s="2" t="s">
        <v>122</v>
      </c>
      <c r="E1638" s="2" t="s">
        <v>370</v>
      </c>
      <c r="F1638" s="2" t="s">
        <v>19</v>
      </c>
      <c r="G1638" s="3">
        <v>590000</v>
      </c>
      <c r="H1638" s="8">
        <v>99</v>
      </c>
      <c r="I1638" s="3">
        <v>41471100</v>
      </c>
      <c r="J1638" s="3">
        <v>41471100</v>
      </c>
    </row>
    <row r="1639" spans="1:10" x14ac:dyDescent="0.25">
      <c r="A1639" s="2">
        <v>1640</v>
      </c>
      <c r="B1639" s="18">
        <v>45529.708287037036</v>
      </c>
      <c r="C1639" s="2" t="s">
        <v>347</v>
      </c>
      <c r="D1639" s="2" t="s">
        <v>122</v>
      </c>
      <c r="E1639" s="2" t="s">
        <v>370</v>
      </c>
      <c r="F1639" s="2" t="s">
        <v>31</v>
      </c>
      <c r="G1639" s="3">
        <v>745000</v>
      </c>
      <c r="H1639" s="8">
        <v>186</v>
      </c>
      <c r="I1639" s="3">
        <v>98384700</v>
      </c>
      <c r="J1639" s="3">
        <v>98384700</v>
      </c>
    </row>
    <row r="1640" spans="1:10" x14ac:dyDescent="0.25">
      <c r="A1640" s="2">
        <v>1641</v>
      </c>
      <c r="B1640" s="18">
        <v>45529.708287037036</v>
      </c>
      <c r="C1640" s="2" t="s">
        <v>347</v>
      </c>
      <c r="D1640" s="2" t="s">
        <v>122</v>
      </c>
      <c r="E1640" s="2" t="s">
        <v>370</v>
      </c>
      <c r="F1640" s="2" t="s">
        <v>57</v>
      </c>
      <c r="G1640" s="3">
        <v>745000</v>
      </c>
      <c r="H1640" s="8">
        <v>95</v>
      </c>
      <c r="I1640" s="3">
        <v>50250250</v>
      </c>
      <c r="J1640" s="3">
        <v>50250250</v>
      </c>
    </row>
    <row r="1641" spans="1:10" x14ac:dyDescent="0.25">
      <c r="A1641" s="2">
        <v>1642</v>
      </c>
      <c r="B1641" s="18">
        <v>45529.708287037036</v>
      </c>
      <c r="C1641" s="2" t="s">
        <v>347</v>
      </c>
      <c r="D1641" s="2" t="s">
        <v>78</v>
      </c>
      <c r="E1641" s="2" t="s">
        <v>365</v>
      </c>
      <c r="F1641" s="2" t="s">
        <v>59</v>
      </c>
      <c r="G1641" s="3">
        <v>475000</v>
      </c>
      <c r="H1641" s="8">
        <v>1</v>
      </c>
      <c r="I1641" s="3">
        <v>0</v>
      </c>
      <c r="J1641" s="3">
        <v>0</v>
      </c>
    </row>
    <row r="1642" spans="1:10" x14ac:dyDescent="0.25">
      <c r="A1642" s="2">
        <v>1643</v>
      </c>
      <c r="B1642" s="18">
        <v>45529.708287037036</v>
      </c>
      <c r="C1642" s="2" t="s">
        <v>347</v>
      </c>
      <c r="D1642" s="2" t="s">
        <v>78</v>
      </c>
      <c r="E1642" s="2" t="s">
        <v>365</v>
      </c>
      <c r="F1642" s="2" t="s">
        <v>33</v>
      </c>
      <c r="G1642" s="3">
        <v>485000</v>
      </c>
      <c r="H1642" s="8">
        <v>1</v>
      </c>
      <c r="I1642" s="3">
        <v>0</v>
      </c>
      <c r="J1642" s="3">
        <v>0</v>
      </c>
    </row>
    <row r="1643" spans="1:10" x14ac:dyDescent="0.25">
      <c r="A1643" s="2">
        <v>1644</v>
      </c>
      <c r="B1643" s="18">
        <v>45529.708287037036</v>
      </c>
      <c r="C1643" s="2" t="s">
        <v>347</v>
      </c>
      <c r="D1643" s="2" t="s">
        <v>78</v>
      </c>
      <c r="E1643" s="2" t="s">
        <v>365</v>
      </c>
      <c r="F1643" s="2" t="s">
        <v>19</v>
      </c>
      <c r="G1643" s="3">
        <v>590000</v>
      </c>
      <c r="H1643" s="8">
        <v>1</v>
      </c>
      <c r="I1643" s="3">
        <v>0</v>
      </c>
      <c r="J1643" s="3">
        <v>0</v>
      </c>
    </row>
    <row r="1644" spans="1:10" x14ac:dyDescent="0.25">
      <c r="A1644" s="2">
        <v>1645</v>
      </c>
      <c r="B1644" s="18">
        <v>45529.708287037036</v>
      </c>
      <c r="C1644" s="2" t="s">
        <v>347</v>
      </c>
      <c r="D1644" s="2" t="s">
        <v>235</v>
      </c>
      <c r="E1644" s="2" t="s">
        <v>367</v>
      </c>
      <c r="F1644" s="2" t="s">
        <v>29</v>
      </c>
      <c r="G1644" s="3">
        <v>590000</v>
      </c>
      <c r="H1644" s="8">
        <v>1</v>
      </c>
      <c r="I1644" s="3">
        <v>467280</v>
      </c>
      <c r="J1644" s="3">
        <v>467280</v>
      </c>
    </row>
    <row r="1645" spans="1:10" x14ac:dyDescent="0.25">
      <c r="A1645" s="2">
        <v>1646</v>
      </c>
      <c r="B1645" s="18">
        <v>45529.708287037036</v>
      </c>
      <c r="C1645" s="2" t="s">
        <v>347</v>
      </c>
      <c r="D1645" s="2" t="s">
        <v>305</v>
      </c>
      <c r="E1645" s="2" t="s">
        <v>366</v>
      </c>
      <c r="F1645" s="2" t="s">
        <v>19</v>
      </c>
      <c r="G1645" s="3">
        <v>590000</v>
      </c>
      <c r="H1645" s="8">
        <v>0</v>
      </c>
      <c r="I1645" s="3">
        <v>0</v>
      </c>
      <c r="J1645" s="3">
        <v>0</v>
      </c>
    </row>
    <row r="1646" spans="1:10" x14ac:dyDescent="0.25">
      <c r="A1646" s="2">
        <v>1647</v>
      </c>
      <c r="B1646" s="18">
        <v>45529.708287037036</v>
      </c>
      <c r="C1646" s="2" t="s">
        <v>347</v>
      </c>
      <c r="D1646" s="2" t="s">
        <v>305</v>
      </c>
      <c r="E1646" s="2" t="s">
        <v>366</v>
      </c>
      <c r="F1646" s="2" t="s">
        <v>89</v>
      </c>
      <c r="G1646" s="3">
        <v>390000</v>
      </c>
      <c r="H1646" s="8">
        <v>0</v>
      </c>
      <c r="I1646" s="3">
        <v>0</v>
      </c>
      <c r="J1646" s="3">
        <v>0</v>
      </c>
    </row>
    <row r="1647" spans="1:10" x14ac:dyDescent="0.25">
      <c r="A1647" s="2">
        <v>1648</v>
      </c>
      <c r="B1647" s="18">
        <v>45529.708287037036</v>
      </c>
      <c r="C1647" s="2" t="s">
        <v>347</v>
      </c>
      <c r="D1647" s="2" t="s">
        <v>283</v>
      </c>
      <c r="E1647" s="2" t="s">
        <v>369</v>
      </c>
      <c r="F1647" s="2" t="s">
        <v>23</v>
      </c>
      <c r="G1647" s="3">
        <v>775000</v>
      </c>
      <c r="H1647" s="8">
        <v>10</v>
      </c>
      <c r="I1647" s="3">
        <v>5812500</v>
      </c>
      <c r="J1647" s="3">
        <v>5812500</v>
      </c>
    </row>
    <row r="1648" spans="1:10" x14ac:dyDescent="0.25">
      <c r="A1648" s="2">
        <v>1649</v>
      </c>
      <c r="B1648" s="18">
        <v>45529.708287037036</v>
      </c>
      <c r="C1648" s="2" t="s">
        <v>347</v>
      </c>
      <c r="D1648" s="2" t="s">
        <v>283</v>
      </c>
      <c r="E1648" s="2" t="s">
        <v>369</v>
      </c>
      <c r="F1648" s="2" t="s">
        <v>85</v>
      </c>
      <c r="G1648" s="3">
        <v>480000</v>
      </c>
      <c r="H1648" s="8">
        <v>10</v>
      </c>
      <c r="I1648" s="3">
        <v>2400000</v>
      </c>
      <c r="J1648" s="3">
        <v>2400000</v>
      </c>
    </row>
    <row r="1649" spans="1:10" x14ac:dyDescent="0.25">
      <c r="A1649" s="2">
        <v>1650</v>
      </c>
      <c r="B1649" s="18">
        <v>45529.708287037036</v>
      </c>
      <c r="C1649" s="2" t="s">
        <v>347</v>
      </c>
      <c r="D1649" s="2" t="s">
        <v>283</v>
      </c>
      <c r="E1649" s="2" t="s">
        <v>369</v>
      </c>
      <c r="F1649" s="2" t="s">
        <v>33</v>
      </c>
      <c r="G1649" s="3">
        <v>485000</v>
      </c>
      <c r="H1649" s="8">
        <v>5</v>
      </c>
      <c r="I1649" s="3">
        <v>1212500</v>
      </c>
      <c r="J1649" s="3">
        <v>1212500</v>
      </c>
    </row>
    <row r="1650" spans="1:10" x14ac:dyDescent="0.25">
      <c r="A1650" s="2">
        <v>1651</v>
      </c>
      <c r="B1650" s="18">
        <v>45529.708287037036</v>
      </c>
      <c r="C1650" s="2" t="s">
        <v>347</v>
      </c>
      <c r="D1650" s="2" t="s">
        <v>283</v>
      </c>
      <c r="E1650" s="2" t="s">
        <v>369</v>
      </c>
      <c r="F1650" s="2" t="s">
        <v>89</v>
      </c>
      <c r="G1650" s="3">
        <v>390000</v>
      </c>
      <c r="H1650" s="8">
        <v>20</v>
      </c>
      <c r="I1650" s="3">
        <v>0</v>
      </c>
      <c r="J1650" s="3">
        <v>0</v>
      </c>
    </row>
    <row r="1651" spans="1:10" x14ac:dyDescent="0.25">
      <c r="A1651" s="2">
        <v>1652</v>
      </c>
      <c r="B1651" s="18">
        <v>45529.708287037036</v>
      </c>
      <c r="C1651" s="2" t="s">
        <v>347</v>
      </c>
      <c r="D1651" s="2" t="s">
        <v>283</v>
      </c>
      <c r="E1651" s="2" t="s">
        <v>369</v>
      </c>
      <c r="F1651" s="2" t="s">
        <v>47</v>
      </c>
      <c r="G1651" s="3">
        <v>200000</v>
      </c>
      <c r="H1651" s="8">
        <v>5</v>
      </c>
      <c r="I1651" s="3">
        <v>0</v>
      </c>
      <c r="J1651" s="3">
        <v>0</v>
      </c>
    </row>
    <row r="1652" spans="1:10" x14ac:dyDescent="0.25">
      <c r="A1652" s="2">
        <v>1653</v>
      </c>
      <c r="B1652" s="18">
        <v>45529.708287037036</v>
      </c>
      <c r="C1652" s="2" t="s">
        <v>347</v>
      </c>
      <c r="D1652" s="2" t="s">
        <v>237</v>
      </c>
      <c r="E1652" s="2" t="s">
        <v>363</v>
      </c>
      <c r="F1652" s="2" t="s">
        <v>29</v>
      </c>
      <c r="G1652" s="3">
        <v>590000</v>
      </c>
      <c r="H1652" s="8">
        <v>1</v>
      </c>
      <c r="I1652" s="3">
        <v>467280</v>
      </c>
      <c r="J1652" s="3">
        <v>467280</v>
      </c>
    </row>
    <row r="1653" spans="1:10" x14ac:dyDescent="0.25">
      <c r="A1653" s="2">
        <v>1654</v>
      </c>
      <c r="B1653" s="18">
        <v>45529.708287037036</v>
      </c>
      <c r="C1653" s="2" t="s">
        <v>347</v>
      </c>
      <c r="D1653" s="2" t="s">
        <v>106</v>
      </c>
      <c r="E1653" s="2" t="s">
        <v>367</v>
      </c>
      <c r="F1653" s="2" t="s">
        <v>61</v>
      </c>
      <c r="G1653" s="3">
        <v>890000</v>
      </c>
      <c r="H1653" s="8">
        <v>2</v>
      </c>
      <c r="I1653" s="3">
        <v>1157000</v>
      </c>
      <c r="J1653" s="3">
        <v>1157000</v>
      </c>
    </row>
    <row r="1654" spans="1:10" x14ac:dyDescent="0.25">
      <c r="A1654" s="2">
        <v>1655</v>
      </c>
      <c r="B1654" s="18">
        <v>45530.708287037036</v>
      </c>
      <c r="C1654" s="2" t="s">
        <v>347</v>
      </c>
      <c r="D1654" s="2" t="s">
        <v>122</v>
      </c>
      <c r="E1654" s="2" t="s">
        <v>370</v>
      </c>
      <c r="F1654" s="2" t="s">
        <v>27</v>
      </c>
      <c r="G1654" s="3">
        <v>935000</v>
      </c>
      <c r="H1654" s="8">
        <v>6</v>
      </c>
      <c r="I1654" s="3">
        <v>3983100</v>
      </c>
      <c r="J1654" s="3">
        <v>3983100</v>
      </c>
    </row>
    <row r="1655" spans="1:10" x14ac:dyDescent="0.25">
      <c r="A1655" s="2">
        <v>1656</v>
      </c>
      <c r="B1655" s="18">
        <v>45530.708287037036</v>
      </c>
      <c r="C1655" s="2" t="s">
        <v>347</v>
      </c>
      <c r="D1655" s="2" t="s">
        <v>122</v>
      </c>
      <c r="E1655" s="2" t="s">
        <v>370</v>
      </c>
      <c r="F1655" s="2" t="s">
        <v>19</v>
      </c>
      <c r="G1655" s="3">
        <v>590000</v>
      </c>
      <c r="H1655" s="8">
        <v>6</v>
      </c>
      <c r="I1655" s="3">
        <v>2513400</v>
      </c>
      <c r="J1655" s="3">
        <v>2513400</v>
      </c>
    </row>
    <row r="1656" spans="1:10" x14ac:dyDescent="0.25">
      <c r="A1656" s="2">
        <v>1657</v>
      </c>
      <c r="B1656" s="18">
        <v>45531.708287037036</v>
      </c>
      <c r="C1656" s="2" t="s">
        <v>347</v>
      </c>
      <c r="D1656" s="2" t="s">
        <v>253</v>
      </c>
      <c r="E1656" s="2" t="s">
        <v>370</v>
      </c>
      <c r="F1656" s="2" t="s">
        <v>61</v>
      </c>
      <c r="G1656" s="3">
        <v>890000</v>
      </c>
      <c r="H1656" s="8">
        <v>3</v>
      </c>
      <c r="I1656" s="3">
        <v>1922400</v>
      </c>
      <c r="J1656" s="3">
        <v>1922400</v>
      </c>
    </row>
    <row r="1657" spans="1:10" x14ac:dyDescent="0.25">
      <c r="A1657" s="2">
        <v>1658</v>
      </c>
      <c r="B1657" s="18">
        <v>45531.708287037036</v>
      </c>
      <c r="C1657" s="2" t="s">
        <v>347</v>
      </c>
      <c r="D1657" s="2" t="s">
        <v>253</v>
      </c>
      <c r="E1657" s="2" t="s">
        <v>370</v>
      </c>
      <c r="F1657" s="2" t="s">
        <v>83</v>
      </c>
      <c r="G1657" s="3">
        <v>790000</v>
      </c>
      <c r="H1657" s="8">
        <v>9</v>
      </c>
      <c r="I1657" s="3">
        <v>5119200</v>
      </c>
      <c r="J1657" s="3">
        <v>5119200</v>
      </c>
    </row>
    <row r="1658" spans="1:10" x14ac:dyDescent="0.25">
      <c r="A1658" s="2">
        <v>1659</v>
      </c>
      <c r="B1658" s="18">
        <v>45531.708287037036</v>
      </c>
      <c r="C1658" s="2" t="s">
        <v>347</v>
      </c>
      <c r="D1658" s="2" t="s">
        <v>253</v>
      </c>
      <c r="E1658" s="2" t="s">
        <v>370</v>
      </c>
      <c r="F1658" s="2" t="s">
        <v>57</v>
      </c>
      <c r="G1658" s="3">
        <v>745000</v>
      </c>
      <c r="H1658" s="8">
        <v>4</v>
      </c>
      <c r="I1658" s="3">
        <v>2145600</v>
      </c>
      <c r="J1658" s="3">
        <v>2145600</v>
      </c>
    </row>
    <row r="1659" spans="1:10" x14ac:dyDescent="0.25">
      <c r="A1659" s="2">
        <v>1660</v>
      </c>
      <c r="B1659" s="18">
        <v>45531.708287037036</v>
      </c>
      <c r="C1659" s="2" t="s">
        <v>347</v>
      </c>
      <c r="D1659" s="2" t="s">
        <v>253</v>
      </c>
      <c r="E1659" s="2" t="s">
        <v>370</v>
      </c>
      <c r="F1659" s="2" t="s">
        <v>31</v>
      </c>
      <c r="G1659" s="3">
        <v>745000</v>
      </c>
      <c r="H1659" s="8">
        <v>4</v>
      </c>
      <c r="I1659" s="3">
        <v>2145600</v>
      </c>
      <c r="J1659" s="3">
        <v>2145600</v>
      </c>
    </row>
    <row r="1660" spans="1:10" x14ac:dyDescent="0.25">
      <c r="A1660" s="2">
        <v>1661</v>
      </c>
      <c r="B1660" s="18">
        <v>45531.708287037036</v>
      </c>
      <c r="C1660" s="2" t="s">
        <v>347</v>
      </c>
      <c r="D1660" s="2" t="s">
        <v>253</v>
      </c>
      <c r="E1660" s="2" t="s">
        <v>370</v>
      </c>
      <c r="F1660" s="2" t="s">
        <v>19</v>
      </c>
      <c r="G1660" s="3">
        <v>590000</v>
      </c>
      <c r="H1660" s="8">
        <v>14</v>
      </c>
      <c r="I1660" s="3">
        <v>5947200</v>
      </c>
      <c r="J1660" s="3">
        <v>5947200</v>
      </c>
    </row>
    <row r="1661" spans="1:10" x14ac:dyDescent="0.25">
      <c r="A1661" s="2">
        <v>1662</v>
      </c>
      <c r="B1661" s="18">
        <v>45531.708287037036</v>
      </c>
      <c r="C1661" s="2" t="s">
        <v>347</v>
      </c>
      <c r="D1661" s="2" t="s">
        <v>253</v>
      </c>
      <c r="E1661" s="2" t="s">
        <v>370</v>
      </c>
      <c r="F1661" s="2" t="s">
        <v>35</v>
      </c>
      <c r="G1661" s="3">
        <v>525000</v>
      </c>
      <c r="H1661" s="8">
        <v>1</v>
      </c>
      <c r="I1661" s="3">
        <v>378000</v>
      </c>
      <c r="J1661" s="3">
        <v>378000</v>
      </c>
    </row>
    <row r="1662" spans="1:10" x14ac:dyDescent="0.25">
      <c r="A1662" s="2">
        <v>1663</v>
      </c>
      <c r="B1662" s="18">
        <v>45531.708287037036</v>
      </c>
      <c r="C1662" s="2" t="s">
        <v>347</v>
      </c>
      <c r="D1662" s="2" t="s">
        <v>253</v>
      </c>
      <c r="E1662" s="2" t="s">
        <v>370</v>
      </c>
      <c r="F1662" s="2" t="s">
        <v>27</v>
      </c>
      <c r="G1662" s="3">
        <v>935000</v>
      </c>
      <c r="H1662" s="8">
        <v>9</v>
      </c>
      <c r="I1662" s="3">
        <v>6058800</v>
      </c>
      <c r="J1662" s="3">
        <v>6058800</v>
      </c>
    </row>
    <row r="1663" spans="1:10" x14ac:dyDescent="0.25">
      <c r="A1663" s="2">
        <v>1664</v>
      </c>
      <c r="B1663" s="18">
        <v>45531.708287037036</v>
      </c>
      <c r="C1663" s="2" t="s">
        <v>347</v>
      </c>
      <c r="D1663" s="2" t="s">
        <v>329</v>
      </c>
      <c r="E1663" s="2" t="s">
        <v>363</v>
      </c>
      <c r="F1663" s="2" t="s">
        <v>33</v>
      </c>
      <c r="G1663" s="3">
        <v>485000</v>
      </c>
      <c r="H1663" s="8">
        <v>6</v>
      </c>
      <c r="I1663" s="3">
        <v>2182500</v>
      </c>
      <c r="J1663" s="3">
        <v>2182500</v>
      </c>
    </row>
    <row r="1664" spans="1:10" x14ac:dyDescent="0.25">
      <c r="A1664" s="2">
        <v>1665</v>
      </c>
      <c r="B1664" s="18">
        <v>45531.708287037036</v>
      </c>
      <c r="C1664" s="2" t="s">
        <v>347</v>
      </c>
      <c r="D1664" s="2" t="s">
        <v>329</v>
      </c>
      <c r="E1664" s="2" t="s">
        <v>363</v>
      </c>
      <c r="F1664" s="2" t="s">
        <v>33</v>
      </c>
      <c r="G1664" s="3">
        <v>485000</v>
      </c>
      <c r="H1664" s="8">
        <v>1</v>
      </c>
      <c r="I1664" s="3">
        <v>0</v>
      </c>
      <c r="J1664" s="3">
        <v>0</v>
      </c>
    </row>
    <row r="1665" spans="1:10" x14ac:dyDescent="0.25">
      <c r="A1665" s="2">
        <v>1666</v>
      </c>
      <c r="B1665" s="18">
        <v>45531.708287037036</v>
      </c>
      <c r="C1665" s="2" t="s">
        <v>347</v>
      </c>
      <c r="D1665" s="2" t="s">
        <v>329</v>
      </c>
      <c r="E1665" s="2" t="s">
        <v>363</v>
      </c>
      <c r="F1665" s="2" t="s">
        <v>59</v>
      </c>
      <c r="G1665" s="3">
        <v>475000</v>
      </c>
      <c r="H1665" s="8">
        <v>6</v>
      </c>
      <c r="I1665" s="3">
        <v>2137500</v>
      </c>
      <c r="J1665" s="3">
        <v>2137500</v>
      </c>
    </row>
    <row r="1666" spans="1:10" x14ac:dyDescent="0.25">
      <c r="A1666" s="2">
        <v>1667</v>
      </c>
      <c r="B1666" s="18">
        <v>45531.708287037036</v>
      </c>
      <c r="C1666" s="2" t="s">
        <v>347</v>
      </c>
      <c r="D1666" s="2" t="s">
        <v>329</v>
      </c>
      <c r="E1666" s="2" t="s">
        <v>363</v>
      </c>
      <c r="F1666" s="2" t="s">
        <v>59</v>
      </c>
      <c r="G1666" s="3">
        <v>475000</v>
      </c>
      <c r="H1666" s="8">
        <v>1</v>
      </c>
      <c r="I1666" s="3">
        <v>0</v>
      </c>
      <c r="J1666" s="3">
        <v>0</v>
      </c>
    </row>
    <row r="1667" spans="1:10" x14ac:dyDescent="0.25">
      <c r="A1667" s="2">
        <v>1668</v>
      </c>
      <c r="B1667" s="18">
        <v>45531.708287037036</v>
      </c>
      <c r="C1667" s="2" t="s">
        <v>347</v>
      </c>
      <c r="D1667" s="2" t="s">
        <v>329</v>
      </c>
      <c r="E1667" s="2" t="s">
        <v>363</v>
      </c>
      <c r="F1667" s="2" t="s">
        <v>19</v>
      </c>
      <c r="G1667" s="3">
        <v>590000</v>
      </c>
      <c r="H1667" s="8">
        <v>5</v>
      </c>
      <c r="I1667" s="3">
        <v>2212500</v>
      </c>
      <c r="J1667" s="3">
        <v>2212500</v>
      </c>
    </row>
    <row r="1668" spans="1:10" x14ac:dyDescent="0.25">
      <c r="A1668" s="2">
        <v>1669</v>
      </c>
      <c r="B1668" s="18">
        <v>45531.708287037036</v>
      </c>
      <c r="C1668" s="2" t="s">
        <v>347</v>
      </c>
      <c r="D1668" s="2" t="s">
        <v>329</v>
      </c>
      <c r="E1668" s="2" t="s">
        <v>363</v>
      </c>
      <c r="F1668" s="2" t="s">
        <v>19</v>
      </c>
      <c r="G1668" s="3">
        <v>590000</v>
      </c>
      <c r="H1668" s="8">
        <v>1</v>
      </c>
      <c r="I1668" s="3">
        <v>0</v>
      </c>
      <c r="J1668" s="3">
        <v>0</v>
      </c>
    </row>
    <row r="1669" spans="1:10" x14ac:dyDescent="0.25">
      <c r="A1669" s="2">
        <v>1670</v>
      </c>
      <c r="B1669" s="18">
        <v>45531.708287037036</v>
      </c>
      <c r="C1669" s="2" t="s">
        <v>347</v>
      </c>
      <c r="D1669" s="2" t="s">
        <v>329</v>
      </c>
      <c r="E1669" s="2" t="s">
        <v>363</v>
      </c>
      <c r="F1669" s="2" t="s">
        <v>29</v>
      </c>
      <c r="G1669" s="3">
        <v>590000</v>
      </c>
      <c r="H1669" s="8">
        <v>6</v>
      </c>
      <c r="I1669" s="3">
        <v>2655000</v>
      </c>
      <c r="J1669" s="3">
        <v>2655000</v>
      </c>
    </row>
    <row r="1670" spans="1:10" x14ac:dyDescent="0.25">
      <c r="A1670" s="2">
        <v>1671</v>
      </c>
      <c r="B1670" s="18">
        <v>45531.708287037036</v>
      </c>
      <c r="C1670" s="2" t="s">
        <v>347</v>
      </c>
      <c r="D1670" s="2" t="s">
        <v>329</v>
      </c>
      <c r="E1670" s="2" t="s">
        <v>363</v>
      </c>
      <c r="F1670" s="2" t="s">
        <v>29</v>
      </c>
      <c r="G1670" s="3">
        <v>590000</v>
      </c>
      <c r="H1670" s="8">
        <v>1</v>
      </c>
      <c r="I1670" s="3">
        <v>0</v>
      </c>
      <c r="J1670" s="3">
        <v>0</v>
      </c>
    </row>
    <row r="1671" spans="1:10" x14ac:dyDescent="0.25">
      <c r="A1671" s="2">
        <v>1672</v>
      </c>
      <c r="B1671" s="18">
        <v>45531.708287037036</v>
      </c>
      <c r="C1671" s="2" t="s">
        <v>347</v>
      </c>
      <c r="D1671" s="2" t="s">
        <v>329</v>
      </c>
      <c r="E1671" s="2" t="s">
        <v>363</v>
      </c>
      <c r="F1671" s="2" t="s">
        <v>89</v>
      </c>
      <c r="G1671" s="3">
        <v>390000</v>
      </c>
      <c r="H1671" s="8">
        <v>27</v>
      </c>
      <c r="I1671" s="3">
        <v>0</v>
      </c>
      <c r="J1671" s="3">
        <v>0</v>
      </c>
    </row>
    <row r="1672" spans="1:10" x14ac:dyDescent="0.25">
      <c r="A1672" s="2">
        <v>1673</v>
      </c>
      <c r="B1672" s="18">
        <v>45531.708287037036</v>
      </c>
      <c r="C1672" s="2" t="s">
        <v>347</v>
      </c>
      <c r="D1672" s="2" t="s">
        <v>247</v>
      </c>
      <c r="E1672" s="2" t="s">
        <v>367</v>
      </c>
      <c r="F1672" s="2" t="s">
        <v>61</v>
      </c>
      <c r="G1672" s="3">
        <v>890000</v>
      </c>
      <c r="H1672" s="8">
        <v>1</v>
      </c>
      <c r="I1672" s="3">
        <v>665720</v>
      </c>
      <c r="J1672" s="3">
        <v>665720</v>
      </c>
    </row>
    <row r="1673" spans="1:10" x14ac:dyDescent="0.25">
      <c r="A1673" s="2">
        <v>1674</v>
      </c>
      <c r="B1673" s="18">
        <v>45532.708287037036</v>
      </c>
      <c r="C1673" s="2" t="s">
        <v>347</v>
      </c>
      <c r="D1673" s="2" t="s">
        <v>122</v>
      </c>
      <c r="E1673" s="2" t="s">
        <v>370</v>
      </c>
      <c r="F1673" s="2" t="s">
        <v>57</v>
      </c>
      <c r="G1673" s="3">
        <v>745000</v>
      </c>
      <c r="H1673" s="8">
        <v>10</v>
      </c>
      <c r="I1673" s="3">
        <v>5289500</v>
      </c>
      <c r="J1673" s="3">
        <v>5289500</v>
      </c>
    </row>
    <row r="1674" spans="1:10" x14ac:dyDescent="0.25">
      <c r="A1674" s="2">
        <v>1675</v>
      </c>
      <c r="B1674" s="18">
        <v>45532.708287037036</v>
      </c>
      <c r="C1674" s="2" t="s">
        <v>347</v>
      </c>
      <c r="D1674" s="2" t="s">
        <v>310</v>
      </c>
      <c r="E1674" s="2" t="s">
        <v>369</v>
      </c>
      <c r="F1674" s="2" t="s">
        <v>57</v>
      </c>
      <c r="G1674" s="3">
        <v>745000</v>
      </c>
      <c r="H1674" s="8">
        <v>-25</v>
      </c>
      <c r="I1674" s="3">
        <v>-12106250</v>
      </c>
      <c r="J1674" s="3">
        <v>-12106250</v>
      </c>
    </row>
    <row r="1675" spans="1:10" x14ac:dyDescent="0.25">
      <c r="A1675" s="2">
        <v>1676</v>
      </c>
      <c r="B1675" s="18">
        <v>45532.708287037036</v>
      </c>
      <c r="C1675" s="2" t="s">
        <v>347</v>
      </c>
      <c r="D1675" s="2" t="s">
        <v>310</v>
      </c>
      <c r="E1675" s="2" t="s">
        <v>369</v>
      </c>
      <c r="F1675" s="2" t="s">
        <v>59</v>
      </c>
      <c r="G1675" s="3">
        <v>475000</v>
      </c>
      <c r="H1675" s="8">
        <v>25</v>
      </c>
      <c r="I1675" s="3">
        <v>7718750</v>
      </c>
      <c r="J1675" s="3">
        <v>7718750</v>
      </c>
    </row>
    <row r="1676" spans="1:10" x14ac:dyDescent="0.25">
      <c r="A1676" s="2">
        <v>1677</v>
      </c>
      <c r="B1676" s="18">
        <v>45532.708287037036</v>
      </c>
      <c r="C1676" s="2" t="s">
        <v>347</v>
      </c>
      <c r="D1676" s="2" t="s">
        <v>310</v>
      </c>
      <c r="E1676" s="2" t="s">
        <v>369</v>
      </c>
      <c r="F1676" s="2" t="s">
        <v>31</v>
      </c>
      <c r="G1676" s="3">
        <v>745000</v>
      </c>
      <c r="H1676" s="8">
        <v>-25</v>
      </c>
      <c r="I1676" s="3">
        <v>-12106250</v>
      </c>
      <c r="J1676" s="3">
        <v>-12106250</v>
      </c>
    </row>
    <row r="1677" spans="1:10" x14ac:dyDescent="0.25">
      <c r="A1677" s="2">
        <v>1678</v>
      </c>
      <c r="B1677" s="18">
        <v>45532.708287037036</v>
      </c>
      <c r="C1677" s="2" t="s">
        <v>347</v>
      </c>
      <c r="D1677" s="2" t="s">
        <v>310</v>
      </c>
      <c r="E1677" s="2" t="s">
        <v>369</v>
      </c>
      <c r="F1677" s="2" t="s">
        <v>33</v>
      </c>
      <c r="G1677" s="3">
        <v>485000</v>
      </c>
      <c r="H1677" s="8">
        <v>25</v>
      </c>
      <c r="I1677" s="3">
        <v>7881250</v>
      </c>
      <c r="J1677" s="3">
        <v>7881250</v>
      </c>
    </row>
    <row r="1678" spans="1:10" x14ac:dyDescent="0.25">
      <c r="A1678" s="2">
        <v>1679</v>
      </c>
      <c r="B1678" s="18">
        <v>45532.708287037036</v>
      </c>
      <c r="C1678" s="2" t="s">
        <v>347</v>
      </c>
      <c r="D1678" s="2" t="s">
        <v>66</v>
      </c>
      <c r="E1678" s="2" t="s">
        <v>365</v>
      </c>
      <c r="F1678" s="2" t="s">
        <v>35</v>
      </c>
      <c r="G1678" s="3">
        <v>525000</v>
      </c>
      <c r="H1678" s="8">
        <v>1</v>
      </c>
      <c r="I1678" s="3">
        <v>341250</v>
      </c>
      <c r="J1678" s="3">
        <v>341250</v>
      </c>
    </row>
    <row r="1679" spans="1:10" x14ac:dyDescent="0.25">
      <c r="A1679" s="2">
        <v>1680</v>
      </c>
      <c r="B1679" s="18">
        <v>45532.708287037036</v>
      </c>
      <c r="C1679" s="2" t="s">
        <v>347</v>
      </c>
      <c r="D1679" s="2" t="s">
        <v>338</v>
      </c>
      <c r="E1679" s="2" t="s">
        <v>370</v>
      </c>
      <c r="F1679" s="2" t="s">
        <v>89</v>
      </c>
      <c r="G1679" s="3">
        <v>390000</v>
      </c>
      <c r="H1679" s="8">
        <v>1</v>
      </c>
      <c r="I1679" s="3">
        <v>0</v>
      </c>
      <c r="J1679" s="3">
        <v>0</v>
      </c>
    </row>
    <row r="1680" spans="1:10" x14ac:dyDescent="0.25">
      <c r="A1680" s="2">
        <v>1681</v>
      </c>
      <c r="B1680" s="18">
        <v>45532.708287037036</v>
      </c>
      <c r="C1680" s="2" t="s">
        <v>347</v>
      </c>
      <c r="D1680" s="2" t="s">
        <v>338</v>
      </c>
      <c r="E1680" s="2" t="s">
        <v>370</v>
      </c>
      <c r="F1680" s="2" t="s">
        <v>47</v>
      </c>
      <c r="G1680" s="3">
        <v>200000</v>
      </c>
      <c r="H1680" s="8">
        <v>1</v>
      </c>
      <c r="I1680" s="3">
        <v>0</v>
      </c>
      <c r="J1680" s="3">
        <v>0</v>
      </c>
    </row>
    <row r="1681" spans="1:10" x14ac:dyDescent="0.25">
      <c r="A1681" s="2">
        <v>1682</v>
      </c>
      <c r="B1681" s="18">
        <v>45532.708287037036</v>
      </c>
      <c r="C1681" s="2" t="s">
        <v>347</v>
      </c>
      <c r="D1681" s="2" t="s">
        <v>338</v>
      </c>
      <c r="E1681" s="2" t="s">
        <v>370</v>
      </c>
      <c r="F1681" s="2" t="s">
        <v>79</v>
      </c>
      <c r="G1681" s="3">
        <v>150000</v>
      </c>
      <c r="H1681" s="8">
        <v>1</v>
      </c>
      <c r="I1681" s="3">
        <v>0</v>
      </c>
      <c r="J1681" s="3">
        <v>0</v>
      </c>
    </row>
    <row r="1682" spans="1:10" x14ac:dyDescent="0.25">
      <c r="A1682" s="2">
        <v>1683</v>
      </c>
      <c r="B1682" s="18">
        <v>45532.708287037036</v>
      </c>
      <c r="C1682" s="2" t="s">
        <v>347</v>
      </c>
      <c r="D1682" s="2" t="s">
        <v>303</v>
      </c>
      <c r="E1682" s="2" t="s">
        <v>366</v>
      </c>
      <c r="F1682" s="2" t="s">
        <v>31</v>
      </c>
      <c r="G1682" s="3">
        <v>745000</v>
      </c>
      <c r="H1682" s="8">
        <v>10</v>
      </c>
      <c r="I1682" s="3">
        <v>4470000</v>
      </c>
      <c r="J1682" s="3">
        <v>4470000</v>
      </c>
    </row>
    <row r="1683" spans="1:10" x14ac:dyDescent="0.25">
      <c r="A1683" s="2">
        <v>1684</v>
      </c>
      <c r="B1683" s="18">
        <v>45533.708287037036</v>
      </c>
      <c r="C1683" s="2" t="s">
        <v>347</v>
      </c>
      <c r="D1683" s="2" t="s">
        <v>258</v>
      </c>
      <c r="E1683" s="2" t="s">
        <v>364</v>
      </c>
      <c r="F1683" s="2" t="s">
        <v>59</v>
      </c>
      <c r="G1683" s="3">
        <v>475000</v>
      </c>
      <c r="H1683" s="8">
        <v>60</v>
      </c>
      <c r="I1683" s="3">
        <v>21375000</v>
      </c>
      <c r="J1683" s="3">
        <v>18596250</v>
      </c>
    </row>
    <row r="1684" spans="1:10" x14ac:dyDescent="0.25">
      <c r="A1684" s="2">
        <v>1685</v>
      </c>
      <c r="B1684" s="18">
        <v>45533.708287037036</v>
      </c>
      <c r="C1684" s="2" t="s">
        <v>347</v>
      </c>
      <c r="D1684" s="2" t="s">
        <v>258</v>
      </c>
      <c r="E1684" s="2" t="s">
        <v>364</v>
      </c>
      <c r="F1684" s="2" t="s">
        <v>33</v>
      </c>
      <c r="G1684" s="3">
        <v>485000</v>
      </c>
      <c r="H1684" s="8">
        <v>60</v>
      </c>
      <c r="I1684" s="3">
        <v>21825000</v>
      </c>
      <c r="J1684" s="3">
        <v>18987750</v>
      </c>
    </row>
    <row r="1685" spans="1:10" x14ac:dyDescent="0.25">
      <c r="A1685" s="2">
        <v>1686</v>
      </c>
      <c r="B1685" s="18">
        <v>45533.708287037036</v>
      </c>
      <c r="C1685" s="2" t="s">
        <v>347</v>
      </c>
      <c r="D1685" s="2" t="s">
        <v>258</v>
      </c>
      <c r="E1685" s="2" t="s">
        <v>364</v>
      </c>
      <c r="F1685" s="2" t="s">
        <v>23</v>
      </c>
      <c r="G1685" s="3">
        <v>775000</v>
      </c>
      <c r="H1685" s="8">
        <v>88</v>
      </c>
      <c r="I1685" s="3">
        <v>54560000</v>
      </c>
      <c r="J1685" s="3">
        <v>47467200</v>
      </c>
    </row>
    <row r="1686" spans="1:10" x14ac:dyDescent="0.25">
      <c r="A1686" s="2">
        <v>1687</v>
      </c>
      <c r="B1686" s="18">
        <v>45533.708287037036</v>
      </c>
      <c r="C1686" s="2" t="s">
        <v>347</v>
      </c>
      <c r="D1686" s="2" t="s">
        <v>258</v>
      </c>
      <c r="E1686" s="2" t="s">
        <v>364</v>
      </c>
      <c r="F1686" s="2" t="s">
        <v>19</v>
      </c>
      <c r="G1686" s="3">
        <v>590000</v>
      </c>
      <c r="H1686" s="8">
        <v>30</v>
      </c>
      <c r="I1686" s="3">
        <v>13275000</v>
      </c>
      <c r="J1686" s="3">
        <v>11549250</v>
      </c>
    </row>
    <row r="1687" spans="1:10" x14ac:dyDescent="0.25">
      <c r="A1687" s="2">
        <v>1688</v>
      </c>
      <c r="B1687" s="18">
        <v>45533.708287037036</v>
      </c>
      <c r="C1687" s="2" t="s">
        <v>347</v>
      </c>
      <c r="D1687" s="2" t="s">
        <v>258</v>
      </c>
      <c r="E1687" s="2" t="s">
        <v>364</v>
      </c>
      <c r="F1687" s="2" t="s">
        <v>29</v>
      </c>
      <c r="G1687" s="3">
        <v>590000</v>
      </c>
      <c r="H1687" s="8">
        <v>30</v>
      </c>
      <c r="I1687" s="3">
        <v>13275000</v>
      </c>
      <c r="J1687" s="3">
        <v>11549250</v>
      </c>
    </row>
    <row r="1688" spans="1:10" x14ac:dyDescent="0.25">
      <c r="A1688" s="2">
        <v>1689</v>
      </c>
      <c r="B1688" s="18">
        <v>45533.708287037036</v>
      </c>
      <c r="C1688" s="2" t="s">
        <v>347</v>
      </c>
      <c r="D1688" s="2" t="s">
        <v>258</v>
      </c>
      <c r="E1688" s="2" t="s">
        <v>364</v>
      </c>
      <c r="F1688" s="2" t="s">
        <v>59</v>
      </c>
      <c r="G1688" s="3">
        <v>475000</v>
      </c>
      <c r="H1688" s="8">
        <v>6</v>
      </c>
      <c r="I1688" s="3">
        <v>0</v>
      </c>
      <c r="J1688" s="3">
        <v>0</v>
      </c>
    </row>
    <row r="1689" spans="1:10" x14ac:dyDescent="0.25">
      <c r="A1689" s="2">
        <v>1690</v>
      </c>
      <c r="B1689" s="18">
        <v>45533.708287037036</v>
      </c>
      <c r="C1689" s="2" t="s">
        <v>347</v>
      </c>
      <c r="D1689" s="2" t="s">
        <v>258</v>
      </c>
      <c r="E1689" s="2" t="s">
        <v>364</v>
      </c>
      <c r="F1689" s="2" t="s">
        <v>19</v>
      </c>
      <c r="G1689" s="3">
        <v>590000</v>
      </c>
      <c r="H1689" s="8">
        <v>3</v>
      </c>
      <c r="I1689" s="3">
        <v>0</v>
      </c>
      <c r="J1689" s="3">
        <v>0</v>
      </c>
    </row>
    <row r="1690" spans="1:10" x14ac:dyDescent="0.25">
      <c r="A1690" s="2">
        <v>1691</v>
      </c>
      <c r="B1690" s="18">
        <v>45533.708287037036</v>
      </c>
      <c r="C1690" s="2" t="s">
        <v>347</v>
      </c>
      <c r="D1690" s="2" t="s">
        <v>258</v>
      </c>
      <c r="E1690" s="2" t="s">
        <v>364</v>
      </c>
      <c r="F1690" s="2" t="s">
        <v>29</v>
      </c>
      <c r="G1690" s="3">
        <v>590000</v>
      </c>
      <c r="H1690" s="8">
        <v>3</v>
      </c>
      <c r="I1690" s="3">
        <v>0</v>
      </c>
      <c r="J1690" s="3">
        <v>0</v>
      </c>
    </row>
    <row r="1691" spans="1:10" x14ac:dyDescent="0.25">
      <c r="A1691" s="2">
        <v>1692</v>
      </c>
      <c r="B1691" s="18">
        <v>45533.708287037036</v>
      </c>
      <c r="C1691" s="2" t="s">
        <v>347</v>
      </c>
      <c r="D1691" s="2" t="s">
        <v>258</v>
      </c>
      <c r="E1691" s="2" t="s">
        <v>364</v>
      </c>
      <c r="F1691" s="2" t="s">
        <v>33</v>
      </c>
      <c r="G1691" s="3">
        <v>485000</v>
      </c>
      <c r="H1691" s="8">
        <v>6</v>
      </c>
      <c r="I1691" s="3">
        <v>0</v>
      </c>
      <c r="J1691" s="3">
        <v>0</v>
      </c>
    </row>
    <row r="1692" spans="1:10" x14ac:dyDescent="0.25">
      <c r="A1692" s="2">
        <v>1693</v>
      </c>
      <c r="B1692" s="18">
        <v>45533.708287037036</v>
      </c>
      <c r="C1692" s="2" t="s">
        <v>347</v>
      </c>
      <c r="D1692" s="2" t="s">
        <v>258</v>
      </c>
      <c r="E1692" s="2" t="s">
        <v>364</v>
      </c>
      <c r="F1692" s="2" t="s">
        <v>23</v>
      </c>
      <c r="G1692" s="3">
        <v>775000</v>
      </c>
      <c r="H1692" s="8">
        <v>4</v>
      </c>
      <c r="I1692" s="3">
        <v>0</v>
      </c>
      <c r="J1692" s="3">
        <v>0</v>
      </c>
    </row>
    <row r="1693" spans="1:10" x14ac:dyDescent="0.25">
      <c r="A1693" s="2">
        <v>1694</v>
      </c>
      <c r="B1693" s="18">
        <v>45533.708287037036</v>
      </c>
      <c r="C1693" s="2" t="s">
        <v>347</v>
      </c>
      <c r="D1693" s="2" t="s">
        <v>258</v>
      </c>
      <c r="E1693" s="2" t="s">
        <v>364</v>
      </c>
      <c r="F1693" s="2" t="s">
        <v>47</v>
      </c>
      <c r="G1693" s="3">
        <v>200000</v>
      </c>
      <c r="H1693" s="8">
        <v>100</v>
      </c>
      <c r="I1693" s="3">
        <v>0</v>
      </c>
      <c r="J1693" s="3">
        <v>0</v>
      </c>
    </row>
    <row r="1694" spans="1:10" x14ac:dyDescent="0.25">
      <c r="A1694" s="2">
        <v>1695</v>
      </c>
      <c r="B1694" s="18">
        <v>45533.708287037036</v>
      </c>
      <c r="C1694" s="2" t="s">
        <v>347</v>
      </c>
      <c r="D1694" s="2" t="s">
        <v>258</v>
      </c>
      <c r="E1694" s="2" t="s">
        <v>364</v>
      </c>
      <c r="F1694" s="2" t="s">
        <v>89</v>
      </c>
      <c r="G1694" s="3">
        <v>390000</v>
      </c>
      <c r="H1694" s="8">
        <v>68</v>
      </c>
      <c r="I1694" s="3">
        <v>0</v>
      </c>
      <c r="J1694" s="3">
        <v>0</v>
      </c>
    </row>
    <row r="1695" spans="1:10" x14ac:dyDescent="0.25">
      <c r="A1695" s="2">
        <v>1696</v>
      </c>
      <c r="B1695" s="18">
        <v>45533.708287037036</v>
      </c>
      <c r="C1695" s="2" t="s">
        <v>347</v>
      </c>
      <c r="D1695" s="2" t="s">
        <v>74</v>
      </c>
      <c r="E1695" s="2" t="s">
        <v>369</v>
      </c>
      <c r="F1695" s="2" t="s">
        <v>59</v>
      </c>
      <c r="G1695" s="3">
        <v>475000</v>
      </c>
      <c r="H1695" s="8">
        <v>7</v>
      </c>
      <c r="I1695" s="3">
        <v>1662500</v>
      </c>
      <c r="J1695" s="3">
        <v>1662500</v>
      </c>
    </row>
    <row r="1696" spans="1:10" x14ac:dyDescent="0.25">
      <c r="A1696" s="2">
        <v>1697</v>
      </c>
      <c r="B1696" s="18">
        <v>45533.708287037036</v>
      </c>
      <c r="C1696" s="2" t="s">
        <v>347</v>
      </c>
      <c r="D1696" s="2" t="s">
        <v>74</v>
      </c>
      <c r="E1696" s="2" t="s">
        <v>369</v>
      </c>
      <c r="F1696" s="2" t="s">
        <v>63</v>
      </c>
      <c r="G1696" s="3">
        <v>550000</v>
      </c>
      <c r="H1696" s="8">
        <v>3</v>
      </c>
      <c r="I1696" s="3">
        <v>825000</v>
      </c>
      <c r="J1696" s="3">
        <v>825000</v>
      </c>
    </row>
    <row r="1697" spans="1:10" x14ac:dyDescent="0.25">
      <c r="A1697" s="2">
        <v>1698</v>
      </c>
      <c r="B1697" s="18">
        <v>45533.708287037036</v>
      </c>
      <c r="C1697" s="2" t="s">
        <v>347</v>
      </c>
      <c r="D1697" s="2" t="s">
        <v>74</v>
      </c>
      <c r="E1697" s="2" t="s">
        <v>369</v>
      </c>
      <c r="F1697" s="2" t="s">
        <v>33</v>
      </c>
      <c r="G1697" s="3">
        <v>485000</v>
      </c>
      <c r="H1697" s="8">
        <v>4</v>
      </c>
      <c r="I1697" s="3">
        <v>970000</v>
      </c>
      <c r="J1697" s="3">
        <v>970000</v>
      </c>
    </row>
    <row r="1698" spans="1:10" x14ac:dyDescent="0.25">
      <c r="A1698" s="2">
        <v>1699</v>
      </c>
      <c r="B1698" s="18">
        <v>45533.708287037036</v>
      </c>
      <c r="C1698" s="2" t="s">
        <v>347</v>
      </c>
      <c r="D1698" s="2" t="s">
        <v>74</v>
      </c>
      <c r="E1698" s="2" t="s">
        <v>369</v>
      </c>
      <c r="F1698" s="2" t="s">
        <v>85</v>
      </c>
      <c r="G1698" s="3">
        <v>480000</v>
      </c>
      <c r="H1698" s="8">
        <v>4</v>
      </c>
      <c r="I1698" s="3">
        <v>960000</v>
      </c>
      <c r="J1698" s="3">
        <v>960000</v>
      </c>
    </row>
    <row r="1699" spans="1:10" x14ac:dyDescent="0.25">
      <c r="A1699" s="2">
        <v>1700</v>
      </c>
      <c r="B1699" s="18">
        <v>45533.708287037036</v>
      </c>
      <c r="C1699" s="2" t="s">
        <v>347</v>
      </c>
      <c r="D1699" s="2" t="s">
        <v>74</v>
      </c>
      <c r="E1699" s="2" t="s">
        <v>369</v>
      </c>
      <c r="F1699" s="2" t="s">
        <v>29</v>
      </c>
      <c r="G1699" s="3">
        <v>590000</v>
      </c>
      <c r="H1699" s="8">
        <v>3</v>
      </c>
      <c r="I1699" s="3">
        <v>885000</v>
      </c>
      <c r="J1699" s="3">
        <v>885000</v>
      </c>
    </row>
    <row r="1700" spans="1:10" x14ac:dyDescent="0.25">
      <c r="A1700" s="2">
        <v>1701</v>
      </c>
      <c r="B1700" s="18">
        <v>45533.708287037036</v>
      </c>
      <c r="C1700" s="2" t="s">
        <v>347</v>
      </c>
      <c r="D1700" s="2" t="s">
        <v>74</v>
      </c>
      <c r="E1700" s="2" t="s">
        <v>369</v>
      </c>
      <c r="F1700" s="2" t="s">
        <v>19</v>
      </c>
      <c r="G1700" s="3">
        <v>590000</v>
      </c>
      <c r="H1700" s="8">
        <v>2</v>
      </c>
      <c r="I1700" s="3">
        <v>590000</v>
      </c>
      <c r="J1700" s="3">
        <v>590000</v>
      </c>
    </row>
    <row r="1701" spans="1:10" x14ac:dyDescent="0.25">
      <c r="A1701" s="2">
        <v>1702</v>
      </c>
      <c r="B1701" s="18">
        <v>45533.708287037036</v>
      </c>
      <c r="C1701" s="2" t="s">
        <v>347</v>
      </c>
      <c r="D1701" s="2" t="s">
        <v>74</v>
      </c>
      <c r="E1701" s="2" t="s">
        <v>369</v>
      </c>
      <c r="F1701" s="2" t="s">
        <v>89</v>
      </c>
      <c r="G1701" s="3">
        <v>390000</v>
      </c>
      <c r="H1701" s="8">
        <v>11</v>
      </c>
      <c r="I1701" s="3">
        <v>0</v>
      </c>
      <c r="J1701" s="3">
        <v>0</v>
      </c>
    </row>
    <row r="1702" spans="1:10" x14ac:dyDescent="0.25">
      <c r="A1702" s="2">
        <v>1703</v>
      </c>
      <c r="B1702" s="18">
        <v>45533.708287037036</v>
      </c>
      <c r="C1702" s="2" t="s">
        <v>347</v>
      </c>
      <c r="D1702" s="2" t="s">
        <v>74</v>
      </c>
      <c r="E1702" s="2" t="s">
        <v>369</v>
      </c>
      <c r="F1702" s="2" t="s">
        <v>49</v>
      </c>
      <c r="G1702" s="3">
        <v>200000</v>
      </c>
      <c r="H1702" s="8">
        <v>11</v>
      </c>
      <c r="I1702" s="3">
        <v>0</v>
      </c>
      <c r="J1702" s="3">
        <v>0</v>
      </c>
    </row>
    <row r="1703" spans="1:10" x14ac:dyDescent="0.25">
      <c r="A1703" s="2">
        <v>1704</v>
      </c>
      <c r="B1703" s="18">
        <v>45533.708287037036</v>
      </c>
      <c r="C1703" s="2" t="s">
        <v>347</v>
      </c>
      <c r="D1703" s="2" t="s">
        <v>338</v>
      </c>
      <c r="E1703" s="2" t="s">
        <v>370</v>
      </c>
      <c r="F1703" s="2" t="s">
        <v>27</v>
      </c>
      <c r="G1703" s="3">
        <v>935000</v>
      </c>
      <c r="H1703" s="8">
        <v>1</v>
      </c>
      <c r="I1703" s="3">
        <v>516588.435</v>
      </c>
      <c r="J1703" s="3">
        <v>516588.435</v>
      </c>
    </row>
    <row r="1704" spans="1:10" x14ac:dyDescent="0.25">
      <c r="A1704" s="2">
        <v>1705</v>
      </c>
      <c r="B1704" s="18">
        <v>45533.708287037036</v>
      </c>
      <c r="C1704" s="2" t="s">
        <v>347</v>
      </c>
      <c r="D1704" s="2" t="s">
        <v>338</v>
      </c>
      <c r="E1704" s="2" t="s">
        <v>370</v>
      </c>
      <c r="F1704" s="2" t="s">
        <v>19</v>
      </c>
      <c r="G1704" s="3">
        <v>590000</v>
      </c>
      <c r="H1704" s="8">
        <v>2</v>
      </c>
      <c r="I1704" s="3">
        <v>651950</v>
      </c>
      <c r="J1704" s="3">
        <v>651950</v>
      </c>
    </row>
    <row r="1705" spans="1:10" x14ac:dyDescent="0.25">
      <c r="A1705" s="2">
        <v>1706</v>
      </c>
      <c r="B1705" s="18">
        <v>45533.708287037036</v>
      </c>
      <c r="C1705" s="2" t="s">
        <v>347</v>
      </c>
      <c r="D1705" s="2" t="s">
        <v>338</v>
      </c>
      <c r="E1705" s="2" t="s">
        <v>370</v>
      </c>
      <c r="F1705" s="2" t="s">
        <v>33</v>
      </c>
      <c r="G1705" s="3">
        <v>485000</v>
      </c>
      <c r="H1705" s="8">
        <v>2</v>
      </c>
      <c r="I1705" s="3">
        <v>567450</v>
      </c>
      <c r="J1705" s="3">
        <v>567450</v>
      </c>
    </row>
    <row r="1706" spans="1:10" x14ac:dyDescent="0.25">
      <c r="A1706" s="2">
        <v>1707</v>
      </c>
      <c r="B1706" s="18">
        <v>45533.708287037036</v>
      </c>
      <c r="C1706" s="2" t="s">
        <v>347</v>
      </c>
      <c r="D1706" s="2" t="s">
        <v>338</v>
      </c>
      <c r="E1706" s="2" t="s">
        <v>370</v>
      </c>
      <c r="F1706" s="2" t="s">
        <v>61</v>
      </c>
      <c r="G1706" s="3">
        <v>890000</v>
      </c>
      <c r="H1706" s="8">
        <v>1</v>
      </c>
      <c r="I1706" s="3">
        <v>491725</v>
      </c>
      <c r="J1706" s="3">
        <v>491725</v>
      </c>
    </row>
    <row r="1707" spans="1:10" x14ac:dyDescent="0.25">
      <c r="A1707" s="2">
        <v>1708</v>
      </c>
      <c r="B1707" s="18">
        <v>45533.708287037036</v>
      </c>
      <c r="C1707" s="2" t="s">
        <v>347</v>
      </c>
      <c r="D1707" s="2" t="s">
        <v>338</v>
      </c>
      <c r="E1707" s="2" t="s">
        <v>370</v>
      </c>
      <c r="F1707" s="2" t="s">
        <v>59</v>
      </c>
      <c r="G1707" s="3">
        <v>475000</v>
      </c>
      <c r="H1707" s="8">
        <v>1</v>
      </c>
      <c r="I1707" s="3">
        <v>262437.975</v>
      </c>
      <c r="J1707" s="3">
        <v>262437.975</v>
      </c>
    </row>
    <row r="1708" spans="1:10" x14ac:dyDescent="0.25">
      <c r="A1708" s="2">
        <v>1709</v>
      </c>
      <c r="B1708" s="18">
        <v>45473.708287037036</v>
      </c>
      <c r="C1708" s="2" t="s">
        <v>345</v>
      </c>
      <c r="D1708" s="2" t="s">
        <v>262</v>
      </c>
      <c r="E1708" s="2" t="s">
        <v>364</v>
      </c>
      <c r="F1708" s="2" t="s">
        <v>33</v>
      </c>
      <c r="G1708" s="3">
        <v>485000</v>
      </c>
      <c r="H1708" s="8">
        <v>90</v>
      </c>
      <c r="I1708" s="3">
        <v>21825000</v>
      </c>
      <c r="J1708" s="3">
        <v>21825000</v>
      </c>
    </row>
    <row r="1709" spans="1:10" x14ac:dyDescent="0.25">
      <c r="A1709" s="2">
        <v>1710</v>
      </c>
      <c r="B1709" s="18">
        <v>45473.708287037036</v>
      </c>
      <c r="C1709" s="2" t="s">
        <v>345</v>
      </c>
      <c r="D1709" s="2" t="s">
        <v>262</v>
      </c>
      <c r="E1709" s="2" t="s">
        <v>364</v>
      </c>
      <c r="F1709" s="2" t="s">
        <v>59</v>
      </c>
      <c r="G1709" s="3">
        <v>475000</v>
      </c>
      <c r="H1709" s="8">
        <v>90</v>
      </c>
      <c r="I1709" s="3">
        <v>21375000</v>
      </c>
      <c r="J1709" s="3">
        <v>21375000</v>
      </c>
    </row>
    <row r="1710" spans="1:10" x14ac:dyDescent="0.25">
      <c r="A1710" s="2">
        <v>1711</v>
      </c>
      <c r="B1710" s="18">
        <v>45473.708287037036</v>
      </c>
      <c r="C1710" s="2" t="s">
        <v>345</v>
      </c>
      <c r="D1710" s="2" t="s">
        <v>262</v>
      </c>
      <c r="E1710" s="2" t="s">
        <v>364</v>
      </c>
      <c r="F1710" s="2" t="s">
        <v>23</v>
      </c>
      <c r="G1710" s="3">
        <v>775000</v>
      </c>
      <c r="H1710" s="8">
        <v>44</v>
      </c>
      <c r="I1710" s="3">
        <v>17050000</v>
      </c>
      <c r="J1710" s="3">
        <v>17050000</v>
      </c>
    </row>
    <row r="1711" spans="1:10" x14ac:dyDescent="0.25">
      <c r="A1711" s="2">
        <v>1712</v>
      </c>
      <c r="B1711" s="18">
        <v>45473.708287037036</v>
      </c>
      <c r="C1711" s="2" t="s">
        <v>345</v>
      </c>
      <c r="D1711" s="2" t="s">
        <v>262</v>
      </c>
      <c r="E1711" s="2" t="s">
        <v>364</v>
      </c>
      <c r="F1711" s="2" t="s">
        <v>89</v>
      </c>
      <c r="G1711" s="3">
        <v>390000</v>
      </c>
      <c r="H1711" s="8">
        <v>144</v>
      </c>
      <c r="I1711" s="3">
        <v>0</v>
      </c>
      <c r="J1711" s="3">
        <v>0</v>
      </c>
    </row>
    <row r="1712" spans="1:10" x14ac:dyDescent="0.25">
      <c r="A1712" s="2">
        <v>1713</v>
      </c>
      <c r="B1712" s="18">
        <v>45473.708287037036</v>
      </c>
      <c r="C1712" s="2" t="s">
        <v>345</v>
      </c>
      <c r="D1712" s="2" t="s">
        <v>262</v>
      </c>
      <c r="E1712" s="2" t="s">
        <v>364</v>
      </c>
      <c r="F1712" s="2" t="s">
        <v>49</v>
      </c>
      <c r="G1712" s="3">
        <v>200000</v>
      </c>
      <c r="H1712" s="8">
        <v>80</v>
      </c>
      <c r="I1712" s="3">
        <v>0</v>
      </c>
      <c r="J1712" s="3">
        <v>0</v>
      </c>
    </row>
    <row r="1713" spans="1:10" x14ac:dyDescent="0.25">
      <c r="A1713" s="2">
        <v>1714</v>
      </c>
      <c r="B1713" s="18">
        <v>45473.708287037036</v>
      </c>
      <c r="C1713" s="2" t="s">
        <v>345</v>
      </c>
      <c r="D1713" s="2" t="s">
        <v>262</v>
      </c>
      <c r="E1713" s="2" t="s">
        <v>364</v>
      </c>
      <c r="F1713" s="2" t="s">
        <v>35</v>
      </c>
      <c r="G1713" s="3">
        <v>525000</v>
      </c>
      <c r="H1713" s="8">
        <v>1</v>
      </c>
      <c r="I1713" s="3">
        <v>0</v>
      </c>
      <c r="J1713" s="3">
        <v>0</v>
      </c>
    </row>
    <row r="1714" spans="1:10" x14ac:dyDescent="0.25">
      <c r="A1714" s="2">
        <v>1715</v>
      </c>
      <c r="B1714" s="18">
        <v>45473.708287037036</v>
      </c>
      <c r="C1714" s="2" t="s">
        <v>345</v>
      </c>
      <c r="D1714" s="2" t="s">
        <v>338</v>
      </c>
      <c r="E1714" s="2" t="s">
        <v>370</v>
      </c>
      <c r="F1714" s="2" t="s">
        <v>421</v>
      </c>
      <c r="G1714" s="3">
        <v>0</v>
      </c>
      <c r="H1714" s="8">
        <v>0</v>
      </c>
      <c r="I1714" s="3">
        <v>0</v>
      </c>
      <c r="J1714" s="3">
        <v>0</v>
      </c>
    </row>
    <row r="1715" spans="1:10" x14ac:dyDescent="0.25">
      <c r="A1715" s="2">
        <v>1716</v>
      </c>
      <c r="B1715" s="18">
        <v>45474.708287037036</v>
      </c>
      <c r="C1715" s="2" t="s">
        <v>346</v>
      </c>
      <c r="D1715" s="2" t="s">
        <v>303</v>
      </c>
      <c r="E1715" s="2" t="s">
        <v>366</v>
      </c>
      <c r="F1715" s="2" t="s">
        <v>31</v>
      </c>
      <c r="G1715" s="3">
        <v>745000</v>
      </c>
      <c r="H1715" s="8">
        <v>3</v>
      </c>
      <c r="I1715" s="3">
        <v>1341000</v>
      </c>
      <c r="J1715" s="3">
        <v>1341000</v>
      </c>
    </row>
    <row r="1716" spans="1:10" x14ac:dyDescent="0.25">
      <c r="A1716" s="2">
        <v>1717</v>
      </c>
      <c r="B1716" s="18">
        <v>45475.708287037036</v>
      </c>
      <c r="C1716" s="2" t="s">
        <v>346</v>
      </c>
      <c r="D1716" s="2" t="s">
        <v>116</v>
      </c>
      <c r="E1716" s="2" t="s">
        <v>370</v>
      </c>
      <c r="F1716" s="2" t="s">
        <v>61</v>
      </c>
      <c r="G1716" s="3">
        <v>890000</v>
      </c>
      <c r="H1716" s="8">
        <v>3</v>
      </c>
      <c r="I1716" s="3">
        <v>1747635.1500000001</v>
      </c>
      <c r="J1716" s="3">
        <v>1922398.665</v>
      </c>
    </row>
    <row r="1717" spans="1:10" x14ac:dyDescent="0.25">
      <c r="A1717" s="2">
        <v>1718</v>
      </c>
      <c r="B1717" s="18">
        <v>45475.708287037036</v>
      </c>
      <c r="C1717" s="2" t="s">
        <v>346</v>
      </c>
      <c r="D1717" s="2" t="s">
        <v>116</v>
      </c>
      <c r="E1717" s="2" t="s">
        <v>370</v>
      </c>
      <c r="F1717" s="2" t="s">
        <v>83</v>
      </c>
      <c r="G1717" s="3">
        <v>790000</v>
      </c>
      <c r="H1717" s="8">
        <v>3</v>
      </c>
      <c r="I1717" s="3">
        <v>1551271.65</v>
      </c>
      <c r="J1717" s="3">
        <v>1706398.815</v>
      </c>
    </row>
    <row r="1718" spans="1:10" x14ac:dyDescent="0.25">
      <c r="A1718" s="2">
        <v>1719</v>
      </c>
      <c r="B1718" s="18">
        <v>45475.708287037036</v>
      </c>
      <c r="C1718" s="2" t="s">
        <v>346</v>
      </c>
      <c r="D1718" s="2" t="s">
        <v>116</v>
      </c>
      <c r="E1718" s="2" t="s">
        <v>370</v>
      </c>
      <c r="F1718" s="2" t="s">
        <v>31</v>
      </c>
      <c r="G1718" s="3">
        <v>745000</v>
      </c>
      <c r="H1718" s="8">
        <v>3</v>
      </c>
      <c r="I1718" s="3">
        <v>1462908.0750000002</v>
      </c>
      <c r="J1718" s="3">
        <v>1609198.8825000003</v>
      </c>
    </row>
    <row r="1719" spans="1:10" x14ac:dyDescent="0.25">
      <c r="A1719" s="2">
        <v>1720</v>
      </c>
      <c r="B1719" s="18">
        <v>45475.708287037036</v>
      </c>
      <c r="C1719" s="2" t="s">
        <v>346</v>
      </c>
      <c r="D1719" s="2" t="s">
        <v>116</v>
      </c>
      <c r="E1719" s="2" t="s">
        <v>370</v>
      </c>
      <c r="F1719" s="2" t="s">
        <v>57</v>
      </c>
      <c r="G1719" s="3">
        <v>745000</v>
      </c>
      <c r="H1719" s="8">
        <v>2</v>
      </c>
      <c r="I1719" s="3">
        <v>975272.05</v>
      </c>
      <c r="J1719" s="3">
        <v>1072799.2550000001</v>
      </c>
    </row>
    <row r="1720" spans="1:10" x14ac:dyDescent="0.25">
      <c r="A1720" s="2">
        <v>1721</v>
      </c>
      <c r="B1720" s="18">
        <v>45475.708287037036</v>
      </c>
      <c r="C1720" s="2" t="s">
        <v>346</v>
      </c>
      <c r="D1720" s="2" t="s">
        <v>42</v>
      </c>
      <c r="E1720" s="2" t="s">
        <v>367</v>
      </c>
      <c r="F1720" s="2" t="s">
        <v>61</v>
      </c>
      <c r="G1720" s="3">
        <v>890000</v>
      </c>
      <c r="H1720" s="8">
        <v>1</v>
      </c>
      <c r="I1720" s="3">
        <v>578500</v>
      </c>
      <c r="J1720" s="3">
        <v>578500</v>
      </c>
    </row>
    <row r="1721" spans="1:10" x14ac:dyDescent="0.25">
      <c r="A1721" s="2">
        <v>1722</v>
      </c>
      <c r="B1721" s="18">
        <v>45475.708287037036</v>
      </c>
      <c r="C1721" s="2" t="s">
        <v>346</v>
      </c>
      <c r="D1721" s="2" t="s">
        <v>256</v>
      </c>
      <c r="E1721" s="2" t="s">
        <v>367</v>
      </c>
      <c r="F1721" s="2" t="s">
        <v>19</v>
      </c>
      <c r="G1721" s="3">
        <v>590000</v>
      </c>
      <c r="H1721" s="8">
        <v>1</v>
      </c>
      <c r="I1721" s="3">
        <v>0</v>
      </c>
      <c r="J1721" s="3">
        <v>0</v>
      </c>
    </row>
    <row r="1722" spans="1:10" x14ac:dyDescent="0.25">
      <c r="A1722" s="2">
        <v>1723</v>
      </c>
      <c r="B1722" s="18">
        <v>45475.708287037036</v>
      </c>
      <c r="C1722" s="2" t="s">
        <v>346</v>
      </c>
      <c r="D1722" s="2" t="s">
        <v>256</v>
      </c>
      <c r="E1722" s="2" t="s">
        <v>367</v>
      </c>
      <c r="F1722" s="2" t="s">
        <v>61</v>
      </c>
      <c r="G1722" s="3">
        <v>890000</v>
      </c>
      <c r="H1722" s="8">
        <v>1</v>
      </c>
      <c r="I1722" s="3">
        <v>0</v>
      </c>
      <c r="J1722" s="3">
        <v>0</v>
      </c>
    </row>
    <row r="1723" spans="1:10" x14ac:dyDescent="0.25">
      <c r="A1723" s="2">
        <v>1724</v>
      </c>
      <c r="B1723" s="18">
        <v>45475.708287037036</v>
      </c>
      <c r="C1723" s="2" t="s">
        <v>346</v>
      </c>
      <c r="D1723" s="2" t="s">
        <v>256</v>
      </c>
      <c r="E1723" s="2" t="s">
        <v>367</v>
      </c>
      <c r="F1723" s="2" t="s">
        <v>59</v>
      </c>
      <c r="G1723" s="3">
        <v>475000</v>
      </c>
      <c r="H1723" s="8">
        <v>1</v>
      </c>
      <c r="I1723" s="3">
        <v>0</v>
      </c>
      <c r="J1723" s="3">
        <v>0</v>
      </c>
    </row>
    <row r="1724" spans="1:10" x14ac:dyDescent="0.25">
      <c r="A1724" s="2">
        <v>1725</v>
      </c>
      <c r="B1724" s="18">
        <v>45475.708287037036</v>
      </c>
      <c r="C1724" s="2" t="s">
        <v>346</v>
      </c>
      <c r="D1724" s="2" t="s">
        <v>256</v>
      </c>
      <c r="E1724" s="2" t="s">
        <v>367</v>
      </c>
      <c r="F1724" s="2" t="s">
        <v>33</v>
      </c>
      <c r="G1724" s="3">
        <v>485000</v>
      </c>
      <c r="H1724" s="8">
        <v>1</v>
      </c>
      <c r="I1724" s="3">
        <v>0</v>
      </c>
      <c r="J1724" s="3">
        <v>0</v>
      </c>
    </row>
    <row r="1725" spans="1:10" x14ac:dyDescent="0.25">
      <c r="A1725" s="2">
        <v>1726</v>
      </c>
      <c r="B1725" s="18">
        <v>45475.708287037036</v>
      </c>
      <c r="C1725" s="2" t="s">
        <v>346</v>
      </c>
      <c r="D1725" s="2" t="s">
        <v>105</v>
      </c>
      <c r="E1725" s="2" t="s">
        <v>367</v>
      </c>
      <c r="F1725" s="2" t="s">
        <v>19</v>
      </c>
      <c r="G1725" s="3">
        <v>590000</v>
      </c>
      <c r="H1725" s="8">
        <v>1</v>
      </c>
      <c r="I1725" s="3">
        <v>0</v>
      </c>
      <c r="J1725" s="3">
        <v>0</v>
      </c>
    </row>
    <row r="1726" spans="1:10" x14ac:dyDescent="0.25">
      <c r="A1726" s="2">
        <v>1727</v>
      </c>
      <c r="B1726" s="18">
        <v>45475.708287037036</v>
      </c>
      <c r="C1726" s="2" t="s">
        <v>346</v>
      </c>
      <c r="D1726" s="2" t="s">
        <v>105</v>
      </c>
      <c r="E1726" s="2" t="s">
        <v>367</v>
      </c>
      <c r="F1726" s="2" t="s">
        <v>61</v>
      </c>
      <c r="G1726" s="3">
        <v>890000</v>
      </c>
      <c r="H1726" s="8">
        <v>1</v>
      </c>
      <c r="I1726" s="3">
        <v>0</v>
      </c>
      <c r="J1726" s="3">
        <v>0</v>
      </c>
    </row>
    <row r="1727" spans="1:10" x14ac:dyDescent="0.25">
      <c r="A1727" s="2">
        <v>1728</v>
      </c>
      <c r="B1727" s="18">
        <v>45475.708287037036</v>
      </c>
      <c r="C1727" s="2" t="s">
        <v>346</v>
      </c>
      <c r="D1727" s="2" t="s">
        <v>105</v>
      </c>
      <c r="E1727" s="2" t="s">
        <v>367</v>
      </c>
      <c r="F1727" s="2" t="s">
        <v>59</v>
      </c>
      <c r="G1727" s="3">
        <v>475000</v>
      </c>
      <c r="H1727" s="8">
        <v>1</v>
      </c>
      <c r="I1727" s="3">
        <v>0</v>
      </c>
      <c r="J1727" s="3">
        <v>0</v>
      </c>
    </row>
    <row r="1728" spans="1:10" x14ac:dyDescent="0.25">
      <c r="A1728" s="2">
        <v>1729</v>
      </c>
      <c r="B1728" s="18">
        <v>45475.708287037036</v>
      </c>
      <c r="C1728" s="2" t="s">
        <v>346</v>
      </c>
      <c r="D1728" s="2" t="s">
        <v>105</v>
      </c>
      <c r="E1728" s="2" t="s">
        <v>367</v>
      </c>
      <c r="F1728" s="2" t="s">
        <v>33</v>
      </c>
      <c r="G1728" s="3">
        <v>485000</v>
      </c>
      <c r="H1728" s="8">
        <v>1</v>
      </c>
      <c r="I1728" s="3">
        <v>0</v>
      </c>
      <c r="J1728" s="3">
        <v>0</v>
      </c>
    </row>
    <row r="1729" spans="1:10" x14ac:dyDescent="0.25">
      <c r="A1729" s="2">
        <v>1730</v>
      </c>
      <c r="B1729" s="18">
        <v>45475.708287037036</v>
      </c>
      <c r="C1729" s="2" t="s">
        <v>346</v>
      </c>
      <c r="D1729" s="2" t="s">
        <v>332</v>
      </c>
      <c r="E1729" s="2" t="s">
        <v>367</v>
      </c>
      <c r="F1729" s="2" t="s">
        <v>31</v>
      </c>
      <c r="G1729" s="3">
        <v>745000</v>
      </c>
      <c r="H1729" s="8">
        <v>2</v>
      </c>
      <c r="I1729" s="3">
        <v>968500</v>
      </c>
      <c r="J1729" s="3">
        <v>968500</v>
      </c>
    </row>
    <row r="1730" spans="1:10" x14ac:dyDescent="0.25">
      <c r="A1730" s="2">
        <v>1731</v>
      </c>
      <c r="B1730" s="18">
        <v>45475.708287037036</v>
      </c>
      <c r="C1730" s="2" t="s">
        <v>346</v>
      </c>
      <c r="D1730" s="2" t="s">
        <v>332</v>
      </c>
      <c r="E1730" s="2" t="s">
        <v>367</v>
      </c>
      <c r="F1730" s="2" t="s">
        <v>59</v>
      </c>
      <c r="G1730" s="3">
        <v>475000</v>
      </c>
      <c r="H1730" s="8">
        <v>2</v>
      </c>
      <c r="I1730" s="3">
        <v>0</v>
      </c>
      <c r="J1730" s="3">
        <v>0</v>
      </c>
    </row>
    <row r="1731" spans="1:10" x14ac:dyDescent="0.25">
      <c r="A1731" s="2">
        <v>1732</v>
      </c>
      <c r="B1731" s="18">
        <v>45475.708287037036</v>
      </c>
      <c r="C1731" s="2" t="s">
        <v>346</v>
      </c>
      <c r="D1731" s="2" t="s">
        <v>108</v>
      </c>
      <c r="E1731" s="2" t="s">
        <v>367</v>
      </c>
      <c r="F1731" s="2" t="s">
        <v>31</v>
      </c>
      <c r="G1731" s="3">
        <v>745000</v>
      </c>
      <c r="H1731" s="8">
        <v>1</v>
      </c>
      <c r="I1731" s="3">
        <v>484250</v>
      </c>
      <c r="J1731" s="3">
        <v>484250</v>
      </c>
    </row>
    <row r="1732" spans="1:10" x14ac:dyDescent="0.25">
      <c r="A1732" s="2">
        <v>1733</v>
      </c>
      <c r="B1732" s="18">
        <v>45475.708287037036</v>
      </c>
      <c r="C1732" s="2" t="s">
        <v>346</v>
      </c>
      <c r="D1732" s="2" t="s">
        <v>108</v>
      </c>
      <c r="E1732" s="2" t="s">
        <v>367</v>
      </c>
      <c r="F1732" s="2" t="s">
        <v>59</v>
      </c>
      <c r="G1732" s="3">
        <v>475000</v>
      </c>
      <c r="H1732" s="8">
        <v>1</v>
      </c>
      <c r="I1732" s="3">
        <v>0</v>
      </c>
      <c r="J1732" s="3">
        <v>0</v>
      </c>
    </row>
    <row r="1733" spans="1:10" x14ac:dyDescent="0.25">
      <c r="A1733" s="2">
        <v>1734</v>
      </c>
      <c r="B1733" s="18">
        <v>45476.708287037036</v>
      </c>
      <c r="C1733" s="2" t="s">
        <v>346</v>
      </c>
      <c r="D1733" s="2" t="s">
        <v>277</v>
      </c>
      <c r="E1733" s="2" t="s">
        <v>369</v>
      </c>
      <c r="F1733" s="2" t="s">
        <v>19</v>
      </c>
      <c r="G1733" s="3">
        <v>590000</v>
      </c>
      <c r="H1733" s="8">
        <v>5</v>
      </c>
      <c r="I1733" s="3">
        <v>2212500</v>
      </c>
      <c r="J1733" s="3">
        <v>2212500</v>
      </c>
    </row>
    <row r="1734" spans="1:10" x14ac:dyDescent="0.25">
      <c r="A1734" s="2">
        <v>1735</v>
      </c>
      <c r="B1734" s="18">
        <v>45476.708287037036</v>
      </c>
      <c r="C1734" s="2" t="s">
        <v>346</v>
      </c>
      <c r="D1734" s="2" t="s">
        <v>277</v>
      </c>
      <c r="E1734" s="2" t="s">
        <v>369</v>
      </c>
      <c r="F1734" s="2" t="s">
        <v>19</v>
      </c>
      <c r="G1734" s="3">
        <v>590000</v>
      </c>
      <c r="H1734" s="8">
        <v>1</v>
      </c>
      <c r="I1734" s="3">
        <v>0</v>
      </c>
      <c r="J1734" s="3">
        <v>0</v>
      </c>
    </row>
    <row r="1735" spans="1:10" x14ac:dyDescent="0.25">
      <c r="A1735" s="2">
        <v>1736</v>
      </c>
      <c r="B1735" s="18">
        <v>45476.708287037036</v>
      </c>
      <c r="C1735" s="2" t="s">
        <v>346</v>
      </c>
      <c r="D1735" s="2" t="s">
        <v>277</v>
      </c>
      <c r="E1735" s="2" t="s">
        <v>369</v>
      </c>
      <c r="F1735" s="2" t="s">
        <v>89</v>
      </c>
      <c r="G1735" s="3">
        <v>390000</v>
      </c>
      <c r="H1735" s="8">
        <v>18</v>
      </c>
      <c r="I1735" s="3">
        <v>0</v>
      </c>
      <c r="J1735" s="3">
        <v>0</v>
      </c>
    </row>
    <row r="1736" spans="1:10" x14ac:dyDescent="0.25">
      <c r="A1736" s="2">
        <v>1737</v>
      </c>
      <c r="B1736" s="18">
        <v>45476.708287037036</v>
      </c>
      <c r="C1736" s="2" t="s">
        <v>346</v>
      </c>
      <c r="D1736" s="2" t="s">
        <v>277</v>
      </c>
      <c r="E1736" s="2" t="s">
        <v>369</v>
      </c>
      <c r="F1736" s="2" t="s">
        <v>29</v>
      </c>
      <c r="G1736" s="3">
        <v>590000</v>
      </c>
      <c r="H1736" s="8">
        <v>10</v>
      </c>
      <c r="I1736" s="3">
        <v>4425000</v>
      </c>
      <c r="J1736" s="3">
        <v>4425000</v>
      </c>
    </row>
    <row r="1737" spans="1:10" x14ac:dyDescent="0.25">
      <c r="A1737" s="2">
        <v>1738</v>
      </c>
      <c r="B1737" s="18">
        <v>45476.708287037036</v>
      </c>
      <c r="C1737" s="2" t="s">
        <v>346</v>
      </c>
      <c r="D1737" s="2" t="s">
        <v>277</v>
      </c>
      <c r="E1737" s="2" t="s">
        <v>369</v>
      </c>
      <c r="F1737" s="2" t="s">
        <v>29</v>
      </c>
      <c r="G1737" s="3">
        <v>590000</v>
      </c>
      <c r="H1737" s="8">
        <v>2</v>
      </c>
      <c r="I1737" s="3">
        <v>0</v>
      </c>
      <c r="J1737" s="3">
        <v>0</v>
      </c>
    </row>
    <row r="1738" spans="1:10" x14ac:dyDescent="0.25">
      <c r="A1738" s="2">
        <v>1739</v>
      </c>
      <c r="B1738" s="18">
        <v>45476.708287037036</v>
      </c>
      <c r="C1738" s="2" t="s">
        <v>346</v>
      </c>
      <c r="D1738" s="2" t="s">
        <v>277</v>
      </c>
      <c r="E1738" s="2" t="s">
        <v>369</v>
      </c>
      <c r="F1738" s="2" t="s">
        <v>49</v>
      </c>
      <c r="G1738" s="3">
        <v>200000</v>
      </c>
      <c r="H1738" s="8">
        <v>5</v>
      </c>
      <c r="I1738" s="3">
        <v>0</v>
      </c>
      <c r="J1738" s="3">
        <v>0</v>
      </c>
    </row>
    <row r="1739" spans="1:10" x14ac:dyDescent="0.25">
      <c r="A1739" s="2">
        <v>1740</v>
      </c>
      <c r="B1739" s="18">
        <v>45476.708287037036</v>
      </c>
      <c r="C1739" s="2" t="s">
        <v>346</v>
      </c>
      <c r="D1739" s="2" t="s">
        <v>277</v>
      </c>
      <c r="E1739" s="2" t="s">
        <v>369</v>
      </c>
      <c r="F1739" s="2" t="s">
        <v>33</v>
      </c>
      <c r="G1739" s="3">
        <v>485000</v>
      </c>
      <c r="H1739" s="8">
        <v>5</v>
      </c>
      <c r="I1739" s="3">
        <v>1614999.075</v>
      </c>
      <c r="J1739" s="3">
        <v>1614999.075</v>
      </c>
    </row>
    <row r="1740" spans="1:10" x14ac:dyDescent="0.25">
      <c r="A1740" s="2">
        <v>1741</v>
      </c>
      <c r="B1740" s="18">
        <v>45476.708287037036</v>
      </c>
      <c r="C1740" s="2" t="s">
        <v>346</v>
      </c>
      <c r="D1740" s="2" t="s">
        <v>113</v>
      </c>
      <c r="E1740" s="2" t="s">
        <v>370</v>
      </c>
      <c r="F1740" s="2" t="s">
        <v>29</v>
      </c>
      <c r="G1740" s="3">
        <v>590000</v>
      </c>
      <c r="H1740" s="8">
        <v>2</v>
      </c>
      <c r="I1740" s="3">
        <v>849600</v>
      </c>
      <c r="J1740" s="3">
        <v>849600</v>
      </c>
    </row>
    <row r="1741" spans="1:10" x14ac:dyDescent="0.25">
      <c r="A1741" s="2">
        <v>1742</v>
      </c>
      <c r="B1741" s="18">
        <v>45476.708287037036</v>
      </c>
      <c r="C1741" s="2" t="s">
        <v>346</v>
      </c>
      <c r="D1741" s="2" t="s">
        <v>113</v>
      </c>
      <c r="E1741" s="2" t="s">
        <v>370</v>
      </c>
      <c r="F1741" s="2" t="s">
        <v>83</v>
      </c>
      <c r="G1741" s="3">
        <v>790000</v>
      </c>
      <c r="H1741" s="8">
        <v>2</v>
      </c>
      <c r="I1741" s="3">
        <v>1137600</v>
      </c>
      <c r="J1741" s="3">
        <v>1137600</v>
      </c>
    </row>
    <row r="1742" spans="1:10" x14ac:dyDescent="0.25">
      <c r="A1742" s="2">
        <v>1743</v>
      </c>
      <c r="B1742" s="18">
        <v>45476.708287037036</v>
      </c>
      <c r="C1742" s="2" t="s">
        <v>346</v>
      </c>
      <c r="D1742" s="2" t="s">
        <v>113</v>
      </c>
      <c r="E1742" s="2" t="s">
        <v>370</v>
      </c>
      <c r="F1742" s="2" t="s">
        <v>31</v>
      </c>
      <c r="G1742" s="3">
        <v>745000</v>
      </c>
      <c r="H1742" s="8">
        <v>3</v>
      </c>
      <c r="I1742" s="3">
        <v>1609200</v>
      </c>
      <c r="J1742" s="3">
        <v>1609200</v>
      </c>
    </row>
    <row r="1743" spans="1:10" x14ac:dyDescent="0.25">
      <c r="A1743" s="2">
        <v>1744</v>
      </c>
      <c r="B1743" s="18">
        <v>45476.708287037036</v>
      </c>
      <c r="C1743" s="2" t="s">
        <v>346</v>
      </c>
      <c r="D1743" s="2" t="s">
        <v>113</v>
      </c>
      <c r="E1743" s="2" t="s">
        <v>370</v>
      </c>
      <c r="F1743" s="2" t="s">
        <v>57</v>
      </c>
      <c r="G1743" s="3">
        <v>745000</v>
      </c>
      <c r="H1743" s="8">
        <v>3</v>
      </c>
      <c r="I1743" s="3">
        <v>1609200</v>
      </c>
      <c r="J1743" s="3">
        <v>1609200</v>
      </c>
    </row>
    <row r="1744" spans="1:10" x14ac:dyDescent="0.25">
      <c r="A1744" s="2">
        <v>1745</v>
      </c>
      <c r="B1744" s="18">
        <v>45477.708287037036</v>
      </c>
      <c r="C1744" s="2" t="s">
        <v>346</v>
      </c>
      <c r="D1744" s="2" t="s">
        <v>303</v>
      </c>
      <c r="E1744" s="2" t="s">
        <v>366</v>
      </c>
      <c r="F1744" s="2" t="s">
        <v>31</v>
      </c>
      <c r="G1744" s="3">
        <v>745000</v>
      </c>
      <c r="H1744" s="8">
        <v>5</v>
      </c>
      <c r="I1744" s="3">
        <v>2235000</v>
      </c>
      <c r="J1744" s="3">
        <v>2235000</v>
      </c>
    </row>
    <row r="1745" spans="1:10" x14ac:dyDescent="0.25">
      <c r="A1745" s="2">
        <v>1746</v>
      </c>
      <c r="B1745" s="18">
        <v>45477.708287037036</v>
      </c>
      <c r="C1745" s="2" t="s">
        <v>346</v>
      </c>
      <c r="D1745" s="2" t="s">
        <v>253</v>
      </c>
      <c r="E1745" s="2" t="s">
        <v>370</v>
      </c>
      <c r="F1745" s="2" t="s">
        <v>421</v>
      </c>
      <c r="G1745" s="3">
        <v>0</v>
      </c>
      <c r="H1745" s="8">
        <v>0</v>
      </c>
      <c r="I1745" s="3">
        <v>0</v>
      </c>
      <c r="J1745" s="3">
        <v>0</v>
      </c>
    </row>
    <row r="1746" spans="1:10" x14ac:dyDescent="0.25">
      <c r="A1746" s="2">
        <v>1747</v>
      </c>
      <c r="B1746" s="18">
        <v>45480.708287037036</v>
      </c>
      <c r="C1746" s="2" t="s">
        <v>346</v>
      </c>
      <c r="D1746" s="2" t="s">
        <v>303</v>
      </c>
      <c r="E1746" s="2" t="s">
        <v>366</v>
      </c>
      <c r="F1746" s="2" t="s">
        <v>31</v>
      </c>
      <c r="G1746" s="3">
        <v>745000</v>
      </c>
      <c r="H1746" s="8">
        <v>10</v>
      </c>
      <c r="I1746" s="3">
        <v>4470000</v>
      </c>
      <c r="J1746" s="3">
        <v>4470000</v>
      </c>
    </row>
    <row r="1747" spans="1:10" x14ac:dyDescent="0.25">
      <c r="A1747" s="2">
        <v>1748</v>
      </c>
      <c r="B1747" s="18">
        <v>45480.708287037036</v>
      </c>
      <c r="C1747" s="2" t="s">
        <v>346</v>
      </c>
      <c r="D1747" s="2" t="s">
        <v>337</v>
      </c>
      <c r="E1747" s="2" t="s">
        <v>363</v>
      </c>
      <c r="F1747" s="2" t="s">
        <v>29</v>
      </c>
      <c r="G1747" s="3">
        <v>590000</v>
      </c>
      <c r="H1747" s="8">
        <v>90</v>
      </c>
      <c r="I1747" s="3">
        <v>37170000</v>
      </c>
      <c r="J1747" s="3">
        <v>37170000</v>
      </c>
    </row>
    <row r="1748" spans="1:10" x14ac:dyDescent="0.25">
      <c r="A1748" s="2">
        <v>1749</v>
      </c>
      <c r="B1748" s="18">
        <v>45480.708287037036</v>
      </c>
      <c r="C1748" s="2" t="s">
        <v>346</v>
      </c>
      <c r="D1748" s="2" t="s">
        <v>337</v>
      </c>
      <c r="E1748" s="2" t="s">
        <v>363</v>
      </c>
      <c r="F1748" s="2" t="s">
        <v>89</v>
      </c>
      <c r="G1748" s="3">
        <v>390000</v>
      </c>
      <c r="H1748" s="8">
        <v>90</v>
      </c>
      <c r="I1748" s="3">
        <v>0</v>
      </c>
      <c r="J1748" s="3">
        <v>0</v>
      </c>
    </row>
    <row r="1749" spans="1:10" x14ac:dyDescent="0.25">
      <c r="A1749" s="2">
        <v>1750</v>
      </c>
      <c r="B1749" s="18">
        <v>45480.708287037036</v>
      </c>
      <c r="C1749" s="2" t="s">
        <v>346</v>
      </c>
      <c r="D1749" s="2" t="s">
        <v>271</v>
      </c>
      <c r="E1749" s="2" t="s">
        <v>369</v>
      </c>
      <c r="F1749" s="2" t="s">
        <v>19</v>
      </c>
      <c r="G1749" s="3">
        <v>590000</v>
      </c>
      <c r="H1749" s="8">
        <v>20</v>
      </c>
      <c r="I1749" s="3">
        <v>8850000</v>
      </c>
      <c r="J1749" s="3">
        <v>8850000</v>
      </c>
    </row>
    <row r="1750" spans="1:10" x14ac:dyDescent="0.25">
      <c r="A1750" s="2">
        <v>1751</v>
      </c>
      <c r="B1750" s="18">
        <v>45480.708287037036</v>
      </c>
      <c r="C1750" s="2" t="s">
        <v>346</v>
      </c>
      <c r="D1750" s="2" t="s">
        <v>271</v>
      </c>
      <c r="E1750" s="2" t="s">
        <v>369</v>
      </c>
      <c r="F1750" s="2" t="s">
        <v>19</v>
      </c>
      <c r="G1750" s="3">
        <v>590000</v>
      </c>
      <c r="H1750" s="8">
        <v>4</v>
      </c>
      <c r="I1750" s="3">
        <v>0</v>
      </c>
      <c r="J1750" s="3">
        <v>0</v>
      </c>
    </row>
    <row r="1751" spans="1:10" x14ac:dyDescent="0.25">
      <c r="A1751" s="2">
        <v>1752</v>
      </c>
      <c r="B1751" s="18">
        <v>45480.708287037036</v>
      </c>
      <c r="C1751" s="2" t="s">
        <v>346</v>
      </c>
      <c r="D1751" s="2" t="s">
        <v>271</v>
      </c>
      <c r="E1751" s="2" t="s">
        <v>369</v>
      </c>
      <c r="F1751" s="2" t="s">
        <v>89</v>
      </c>
      <c r="G1751" s="3">
        <v>390000</v>
      </c>
      <c r="H1751" s="8">
        <v>24</v>
      </c>
      <c r="I1751" s="3">
        <v>0</v>
      </c>
      <c r="J1751" s="3">
        <v>0</v>
      </c>
    </row>
    <row r="1752" spans="1:10" x14ac:dyDescent="0.25">
      <c r="A1752" s="2">
        <v>1753</v>
      </c>
      <c r="B1752" s="18">
        <v>45480.708287037036</v>
      </c>
      <c r="C1752" s="2" t="s">
        <v>346</v>
      </c>
      <c r="D1752" s="2" t="s">
        <v>324</v>
      </c>
      <c r="E1752" s="2" t="s">
        <v>363</v>
      </c>
      <c r="F1752" s="2" t="s">
        <v>69</v>
      </c>
      <c r="G1752" s="3">
        <v>1450000</v>
      </c>
      <c r="H1752" s="8">
        <v>1</v>
      </c>
      <c r="I1752" s="3">
        <v>870000</v>
      </c>
      <c r="J1752" s="3">
        <v>870000</v>
      </c>
    </row>
    <row r="1753" spans="1:10" x14ac:dyDescent="0.25">
      <c r="A1753" s="2">
        <v>1754</v>
      </c>
      <c r="B1753" s="18">
        <v>45480.708287037036</v>
      </c>
      <c r="C1753" s="2" t="s">
        <v>346</v>
      </c>
      <c r="D1753" s="2" t="s">
        <v>324</v>
      </c>
      <c r="E1753" s="2" t="s">
        <v>363</v>
      </c>
      <c r="F1753" s="2" t="s">
        <v>67</v>
      </c>
      <c r="G1753" s="3">
        <v>945000</v>
      </c>
      <c r="H1753" s="8">
        <v>1</v>
      </c>
      <c r="I1753" s="3">
        <v>567000</v>
      </c>
      <c r="J1753" s="3">
        <v>567000</v>
      </c>
    </row>
    <row r="1754" spans="1:10" x14ac:dyDescent="0.25">
      <c r="A1754" s="2">
        <v>1755</v>
      </c>
      <c r="B1754" s="18">
        <v>45480.708287037036</v>
      </c>
      <c r="C1754" s="2" t="s">
        <v>346</v>
      </c>
      <c r="D1754" s="2" t="s">
        <v>268</v>
      </c>
      <c r="E1754" s="2" t="s">
        <v>371</v>
      </c>
      <c r="F1754" s="2" t="s">
        <v>31</v>
      </c>
      <c r="G1754" s="3">
        <v>745000</v>
      </c>
      <c r="H1754" s="8">
        <v>78</v>
      </c>
      <c r="I1754" s="3">
        <v>26149499.999999996</v>
      </c>
      <c r="J1754" s="3">
        <v>26149499.999999996</v>
      </c>
    </row>
    <row r="1755" spans="1:10" x14ac:dyDescent="0.25">
      <c r="A1755" s="2">
        <v>1756</v>
      </c>
      <c r="B1755" s="18">
        <v>45480.708287037036</v>
      </c>
      <c r="C1755" s="2" t="s">
        <v>346</v>
      </c>
      <c r="D1755" s="2" t="s">
        <v>268</v>
      </c>
      <c r="E1755" s="2" t="s">
        <v>371</v>
      </c>
      <c r="F1755" s="2" t="s">
        <v>83</v>
      </c>
      <c r="G1755" s="3">
        <v>790000</v>
      </c>
      <c r="H1755" s="8">
        <v>78</v>
      </c>
      <c r="I1755" s="3">
        <v>27728999.999999996</v>
      </c>
      <c r="J1755" s="3">
        <v>27728999.999999996</v>
      </c>
    </row>
    <row r="1756" spans="1:10" x14ac:dyDescent="0.25">
      <c r="A1756" s="2">
        <v>1757</v>
      </c>
      <c r="B1756" s="18">
        <v>45480.708287037036</v>
      </c>
      <c r="C1756" s="2" t="s">
        <v>346</v>
      </c>
      <c r="D1756" s="2" t="s">
        <v>268</v>
      </c>
      <c r="E1756" s="2" t="s">
        <v>371</v>
      </c>
      <c r="F1756" s="2" t="s">
        <v>19</v>
      </c>
      <c r="G1756" s="3">
        <v>590000</v>
      </c>
      <c r="H1756" s="8">
        <v>78</v>
      </c>
      <c r="I1756" s="3">
        <v>20709000</v>
      </c>
      <c r="J1756" s="3">
        <v>20709000</v>
      </c>
    </row>
    <row r="1757" spans="1:10" x14ac:dyDescent="0.25">
      <c r="A1757" s="2">
        <v>1758</v>
      </c>
      <c r="B1757" s="18">
        <v>45480.708287037036</v>
      </c>
      <c r="C1757" s="2" t="s">
        <v>346</v>
      </c>
      <c r="D1757" s="2" t="s">
        <v>268</v>
      </c>
      <c r="E1757" s="2" t="s">
        <v>371</v>
      </c>
      <c r="F1757" s="2" t="s">
        <v>27</v>
      </c>
      <c r="G1757" s="3">
        <v>935000</v>
      </c>
      <c r="H1757" s="8">
        <v>78</v>
      </c>
      <c r="I1757" s="3">
        <v>32818499.999999996</v>
      </c>
      <c r="J1757" s="3">
        <v>32818499.999999996</v>
      </c>
    </row>
    <row r="1758" spans="1:10" x14ac:dyDescent="0.25">
      <c r="A1758" s="2">
        <v>1759</v>
      </c>
      <c r="B1758" s="18">
        <v>45480.708287037036</v>
      </c>
      <c r="C1758" s="2" t="s">
        <v>346</v>
      </c>
      <c r="D1758" s="2" t="s">
        <v>266</v>
      </c>
      <c r="E1758" s="2" t="s">
        <v>371</v>
      </c>
      <c r="F1758" s="2" t="s">
        <v>31</v>
      </c>
      <c r="G1758" s="3">
        <v>745000</v>
      </c>
      <c r="H1758" s="8">
        <v>6</v>
      </c>
      <c r="I1758" s="3">
        <v>2011499.9999999995</v>
      </c>
      <c r="J1758" s="3">
        <v>2011499.9999999995</v>
      </c>
    </row>
    <row r="1759" spans="1:10" x14ac:dyDescent="0.25">
      <c r="A1759" s="2">
        <v>1760</v>
      </c>
      <c r="B1759" s="18">
        <v>45480.708287037036</v>
      </c>
      <c r="C1759" s="2" t="s">
        <v>346</v>
      </c>
      <c r="D1759" s="2" t="s">
        <v>266</v>
      </c>
      <c r="E1759" s="2" t="s">
        <v>371</v>
      </c>
      <c r="F1759" s="2" t="s">
        <v>83</v>
      </c>
      <c r="G1759" s="3">
        <v>790000</v>
      </c>
      <c r="H1759" s="8">
        <v>6</v>
      </c>
      <c r="I1759" s="3">
        <v>2132999.9999999995</v>
      </c>
      <c r="J1759" s="3">
        <v>2132999.9999999995</v>
      </c>
    </row>
    <row r="1760" spans="1:10" x14ac:dyDescent="0.25">
      <c r="A1760" s="2">
        <v>1761</v>
      </c>
      <c r="B1760" s="18">
        <v>45480.708287037036</v>
      </c>
      <c r="C1760" s="2" t="s">
        <v>346</v>
      </c>
      <c r="D1760" s="2" t="s">
        <v>266</v>
      </c>
      <c r="E1760" s="2" t="s">
        <v>371</v>
      </c>
      <c r="F1760" s="2" t="s">
        <v>19</v>
      </c>
      <c r="G1760" s="3">
        <v>590000</v>
      </c>
      <c r="H1760" s="8">
        <v>6</v>
      </c>
      <c r="I1760" s="3">
        <v>1593000</v>
      </c>
      <c r="J1760" s="3">
        <v>1593000</v>
      </c>
    </row>
    <row r="1761" spans="1:10" x14ac:dyDescent="0.25">
      <c r="A1761" s="2">
        <v>1762</v>
      </c>
      <c r="B1761" s="18">
        <v>45480.708287037036</v>
      </c>
      <c r="C1761" s="2" t="s">
        <v>346</v>
      </c>
      <c r="D1761" s="2" t="s">
        <v>266</v>
      </c>
      <c r="E1761" s="2" t="s">
        <v>371</v>
      </c>
      <c r="F1761" s="2" t="s">
        <v>27</v>
      </c>
      <c r="G1761" s="3">
        <v>935000</v>
      </c>
      <c r="H1761" s="8">
        <v>6</v>
      </c>
      <c r="I1761" s="3">
        <v>2524499.9999999995</v>
      </c>
      <c r="J1761" s="3">
        <v>2524499.9999999995</v>
      </c>
    </row>
    <row r="1762" spans="1:10" x14ac:dyDescent="0.25">
      <c r="A1762" s="2">
        <v>1763</v>
      </c>
      <c r="B1762" s="18">
        <v>45480.708287037036</v>
      </c>
      <c r="C1762" s="2" t="s">
        <v>346</v>
      </c>
      <c r="D1762" s="2" t="s">
        <v>267</v>
      </c>
      <c r="E1762" s="2" t="s">
        <v>371</v>
      </c>
      <c r="F1762" s="2" t="s">
        <v>31</v>
      </c>
      <c r="G1762" s="3">
        <v>745000</v>
      </c>
      <c r="H1762" s="8">
        <v>216</v>
      </c>
      <c r="I1762" s="3">
        <v>72413999.99999999</v>
      </c>
      <c r="J1762" s="3">
        <v>72413999.99999999</v>
      </c>
    </row>
    <row r="1763" spans="1:10" x14ac:dyDescent="0.25">
      <c r="A1763" s="2">
        <v>1764</v>
      </c>
      <c r="B1763" s="18">
        <v>45480.708287037036</v>
      </c>
      <c r="C1763" s="2" t="s">
        <v>346</v>
      </c>
      <c r="D1763" s="2" t="s">
        <v>267</v>
      </c>
      <c r="E1763" s="2" t="s">
        <v>371</v>
      </c>
      <c r="F1763" s="2" t="s">
        <v>83</v>
      </c>
      <c r="G1763" s="3">
        <v>790000</v>
      </c>
      <c r="H1763" s="8">
        <v>216</v>
      </c>
      <c r="I1763" s="3">
        <v>76787999.99999999</v>
      </c>
      <c r="J1763" s="3">
        <v>76787999.99999999</v>
      </c>
    </row>
    <row r="1764" spans="1:10" x14ac:dyDescent="0.25">
      <c r="A1764" s="2">
        <v>1765</v>
      </c>
      <c r="B1764" s="18">
        <v>45480.708287037036</v>
      </c>
      <c r="C1764" s="2" t="s">
        <v>346</v>
      </c>
      <c r="D1764" s="2" t="s">
        <v>267</v>
      </c>
      <c r="E1764" s="2" t="s">
        <v>371</v>
      </c>
      <c r="F1764" s="2" t="s">
        <v>19</v>
      </c>
      <c r="G1764" s="3">
        <v>590000</v>
      </c>
      <c r="H1764" s="8">
        <v>216</v>
      </c>
      <c r="I1764" s="3">
        <v>57348000</v>
      </c>
      <c r="J1764" s="3">
        <v>57348000</v>
      </c>
    </row>
    <row r="1765" spans="1:10" x14ac:dyDescent="0.25">
      <c r="A1765" s="2">
        <v>1766</v>
      </c>
      <c r="B1765" s="18">
        <v>45480.708287037036</v>
      </c>
      <c r="C1765" s="2" t="s">
        <v>346</v>
      </c>
      <c r="D1765" s="2" t="s">
        <v>267</v>
      </c>
      <c r="E1765" s="2" t="s">
        <v>371</v>
      </c>
      <c r="F1765" s="2" t="s">
        <v>27</v>
      </c>
      <c r="G1765" s="3">
        <v>935000</v>
      </c>
      <c r="H1765" s="8">
        <v>216</v>
      </c>
      <c r="I1765" s="3">
        <v>90881999.99999999</v>
      </c>
      <c r="J1765" s="3">
        <v>90881999.99999999</v>
      </c>
    </row>
    <row r="1766" spans="1:10" x14ac:dyDescent="0.25">
      <c r="A1766" s="2">
        <v>1767</v>
      </c>
      <c r="B1766" s="18">
        <v>45481.708287037036</v>
      </c>
      <c r="C1766" s="2" t="s">
        <v>346</v>
      </c>
      <c r="D1766" s="2" t="s">
        <v>227</v>
      </c>
      <c r="E1766" s="2" t="s">
        <v>367</v>
      </c>
      <c r="F1766" s="2" t="s">
        <v>31</v>
      </c>
      <c r="G1766" s="3">
        <v>745000</v>
      </c>
      <c r="H1766" s="8">
        <v>1</v>
      </c>
      <c r="I1766" s="3">
        <v>655600</v>
      </c>
      <c r="J1766" s="3">
        <v>655600</v>
      </c>
    </row>
    <row r="1767" spans="1:10" x14ac:dyDescent="0.25">
      <c r="A1767" s="2">
        <v>1768</v>
      </c>
      <c r="B1767" s="18">
        <v>45481.708287037036</v>
      </c>
      <c r="C1767" s="2" t="s">
        <v>346</v>
      </c>
      <c r="D1767" s="2" t="s">
        <v>288</v>
      </c>
      <c r="E1767" s="2" t="s">
        <v>369</v>
      </c>
      <c r="F1767" s="2" t="s">
        <v>29</v>
      </c>
      <c r="G1767" s="3">
        <v>590000</v>
      </c>
      <c r="H1767" s="8">
        <v>20</v>
      </c>
      <c r="I1767" s="3">
        <v>6490000</v>
      </c>
      <c r="J1767" s="3">
        <v>6490000</v>
      </c>
    </row>
    <row r="1768" spans="1:10" x14ac:dyDescent="0.25">
      <c r="A1768" s="2">
        <v>1769</v>
      </c>
      <c r="B1768" s="18">
        <v>45481.708287037036</v>
      </c>
      <c r="C1768" s="2" t="s">
        <v>346</v>
      </c>
      <c r="D1768" s="2" t="s">
        <v>288</v>
      </c>
      <c r="E1768" s="2" t="s">
        <v>369</v>
      </c>
      <c r="F1768" s="2" t="s">
        <v>19</v>
      </c>
      <c r="G1768" s="3">
        <v>590000</v>
      </c>
      <c r="H1768" s="8">
        <v>20</v>
      </c>
      <c r="I1768" s="3">
        <v>6490000</v>
      </c>
      <c r="J1768" s="3">
        <v>6490000</v>
      </c>
    </row>
    <row r="1769" spans="1:10" x14ac:dyDescent="0.25">
      <c r="A1769" s="2">
        <v>1770</v>
      </c>
      <c r="B1769" s="18">
        <v>45481.708287037036</v>
      </c>
      <c r="C1769" s="2" t="s">
        <v>346</v>
      </c>
      <c r="D1769" s="2" t="s">
        <v>288</v>
      </c>
      <c r="E1769" s="2" t="s">
        <v>369</v>
      </c>
      <c r="F1769" s="2" t="s">
        <v>61</v>
      </c>
      <c r="G1769" s="3">
        <v>890000</v>
      </c>
      <c r="H1769" s="8">
        <v>15</v>
      </c>
      <c r="I1769" s="3">
        <v>7342500</v>
      </c>
      <c r="J1769" s="3">
        <v>7342500</v>
      </c>
    </row>
    <row r="1770" spans="1:10" x14ac:dyDescent="0.25">
      <c r="A1770" s="2">
        <v>1771</v>
      </c>
      <c r="B1770" s="18">
        <v>45481.708287037036</v>
      </c>
      <c r="C1770" s="2" t="s">
        <v>346</v>
      </c>
      <c r="D1770" s="2" t="s">
        <v>288</v>
      </c>
      <c r="E1770" s="2" t="s">
        <v>369</v>
      </c>
      <c r="F1770" s="2" t="s">
        <v>31</v>
      </c>
      <c r="G1770" s="3">
        <v>745000</v>
      </c>
      <c r="H1770" s="8">
        <v>12</v>
      </c>
      <c r="I1770" s="3">
        <v>4917000</v>
      </c>
      <c r="J1770" s="3">
        <v>4917000</v>
      </c>
    </row>
    <row r="1771" spans="1:10" x14ac:dyDescent="0.25">
      <c r="A1771" s="2">
        <v>1772</v>
      </c>
      <c r="B1771" s="18">
        <v>45481.708287037036</v>
      </c>
      <c r="C1771" s="2" t="s">
        <v>346</v>
      </c>
      <c r="D1771" s="2" t="s">
        <v>288</v>
      </c>
      <c r="E1771" s="2" t="s">
        <v>369</v>
      </c>
      <c r="F1771" s="2" t="s">
        <v>57</v>
      </c>
      <c r="G1771" s="3">
        <v>745000</v>
      </c>
      <c r="H1771" s="8">
        <v>12</v>
      </c>
      <c r="I1771" s="3">
        <v>4917000</v>
      </c>
      <c r="J1771" s="3">
        <v>4917000</v>
      </c>
    </row>
    <row r="1772" spans="1:10" x14ac:dyDescent="0.25">
      <c r="A1772" s="2">
        <v>1773</v>
      </c>
      <c r="B1772" s="18">
        <v>45481.708287037036</v>
      </c>
      <c r="C1772" s="2" t="s">
        <v>346</v>
      </c>
      <c r="D1772" s="2" t="s">
        <v>288</v>
      </c>
      <c r="E1772" s="2" t="s">
        <v>369</v>
      </c>
      <c r="F1772" s="2" t="s">
        <v>23</v>
      </c>
      <c r="G1772" s="3">
        <v>775000</v>
      </c>
      <c r="H1772" s="8">
        <v>20</v>
      </c>
      <c r="I1772" s="3">
        <v>8525000</v>
      </c>
      <c r="J1772" s="3">
        <v>8525000</v>
      </c>
    </row>
    <row r="1773" spans="1:10" x14ac:dyDescent="0.25">
      <c r="A1773" s="2">
        <v>1774</v>
      </c>
      <c r="B1773" s="18">
        <v>45481.708287037036</v>
      </c>
      <c r="C1773" s="2" t="s">
        <v>346</v>
      </c>
      <c r="D1773" s="2" t="s">
        <v>288</v>
      </c>
      <c r="E1773" s="2" t="s">
        <v>369</v>
      </c>
      <c r="F1773" s="2" t="s">
        <v>85</v>
      </c>
      <c r="G1773" s="3">
        <v>480000</v>
      </c>
      <c r="H1773" s="8">
        <v>15</v>
      </c>
      <c r="I1773" s="3">
        <v>3960000</v>
      </c>
      <c r="J1773" s="3">
        <v>3960000</v>
      </c>
    </row>
    <row r="1774" spans="1:10" x14ac:dyDescent="0.25">
      <c r="A1774" s="2">
        <v>1775</v>
      </c>
      <c r="B1774" s="18">
        <v>45481.708287037036</v>
      </c>
      <c r="C1774" s="2" t="s">
        <v>346</v>
      </c>
      <c r="D1774" s="2" t="s">
        <v>288</v>
      </c>
      <c r="E1774" s="2" t="s">
        <v>369</v>
      </c>
      <c r="F1774" s="2" t="s">
        <v>59</v>
      </c>
      <c r="G1774" s="3">
        <v>475000</v>
      </c>
      <c r="H1774" s="8">
        <v>15</v>
      </c>
      <c r="I1774" s="3">
        <v>3918750</v>
      </c>
      <c r="J1774" s="3">
        <v>3918750</v>
      </c>
    </row>
    <row r="1775" spans="1:10" x14ac:dyDescent="0.25">
      <c r="A1775" s="2">
        <v>1776</v>
      </c>
      <c r="B1775" s="18">
        <v>45481.708287037036</v>
      </c>
      <c r="C1775" s="2" t="s">
        <v>346</v>
      </c>
      <c r="D1775" s="2" t="s">
        <v>288</v>
      </c>
      <c r="E1775" s="2" t="s">
        <v>369</v>
      </c>
      <c r="F1775" s="2" t="s">
        <v>33</v>
      </c>
      <c r="G1775" s="3">
        <v>485000</v>
      </c>
      <c r="H1775" s="8">
        <v>15</v>
      </c>
      <c r="I1775" s="3">
        <v>4001250</v>
      </c>
      <c r="J1775" s="3">
        <v>4001250</v>
      </c>
    </row>
    <row r="1776" spans="1:10" x14ac:dyDescent="0.25">
      <c r="A1776" s="2">
        <v>1777</v>
      </c>
      <c r="B1776" s="18">
        <v>45481.708287037036</v>
      </c>
      <c r="C1776" s="2" t="s">
        <v>346</v>
      </c>
      <c r="D1776" s="2" t="s">
        <v>288</v>
      </c>
      <c r="E1776" s="2" t="s">
        <v>369</v>
      </c>
      <c r="F1776" s="2" t="s">
        <v>89</v>
      </c>
      <c r="G1776" s="3">
        <v>390000</v>
      </c>
      <c r="H1776" s="8">
        <v>55</v>
      </c>
      <c r="I1776" s="3">
        <v>0</v>
      </c>
      <c r="J1776" s="3">
        <v>0</v>
      </c>
    </row>
    <row r="1777" spans="1:10" x14ac:dyDescent="0.25">
      <c r="A1777" s="2">
        <v>1778</v>
      </c>
      <c r="B1777" s="18">
        <v>45481.708287037036</v>
      </c>
      <c r="C1777" s="2" t="s">
        <v>346</v>
      </c>
      <c r="D1777" s="2" t="s">
        <v>288</v>
      </c>
      <c r="E1777" s="2" t="s">
        <v>369</v>
      </c>
      <c r="F1777" s="2" t="s">
        <v>49</v>
      </c>
      <c r="G1777" s="3">
        <v>200000</v>
      </c>
      <c r="H1777" s="8">
        <v>89</v>
      </c>
      <c r="I1777" s="3">
        <v>0</v>
      </c>
      <c r="J1777" s="3">
        <v>0</v>
      </c>
    </row>
    <row r="1778" spans="1:10" x14ac:dyDescent="0.25">
      <c r="A1778" s="2">
        <v>1779</v>
      </c>
      <c r="B1778" s="18">
        <v>45481.708287037036</v>
      </c>
      <c r="C1778" s="2" t="s">
        <v>346</v>
      </c>
      <c r="D1778" s="2" t="s">
        <v>253</v>
      </c>
      <c r="E1778" s="2" t="s">
        <v>370</v>
      </c>
      <c r="F1778" s="2" t="s">
        <v>421</v>
      </c>
      <c r="G1778" s="3">
        <v>0</v>
      </c>
      <c r="H1778" s="8">
        <v>0</v>
      </c>
      <c r="I1778" s="3">
        <v>0</v>
      </c>
      <c r="J1778" s="3">
        <v>0</v>
      </c>
    </row>
    <row r="1779" spans="1:10" x14ac:dyDescent="0.25">
      <c r="A1779" s="2">
        <v>1780</v>
      </c>
      <c r="B1779" s="18">
        <v>45482.708287037036</v>
      </c>
      <c r="C1779" s="2" t="s">
        <v>346</v>
      </c>
      <c r="D1779" s="2" t="s">
        <v>261</v>
      </c>
      <c r="E1779" s="2" t="s">
        <v>364</v>
      </c>
      <c r="F1779" s="2" t="s">
        <v>29</v>
      </c>
      <c r="G1779" s="3">
        <v>590000</v>
      </c>
      <c r="H1779" s="8">
        <v>1</v>
      </c>
      <c r="I1779" s="3">
        <v>295000</v>
      </c>
      <c r="J1779" s="3">
        <v>295000</v>
      </c>
    </row>
    <row r="1780" spans="1:10" x14ac:dyDescent="0.25">
      <c r="A1780" s="2">
        <v>1781</v>
      </c>
      <c r="B1780" s="18">
        <v>45482.708287037036</v>
      </c>
      <c r="C1780" s="2" t="s">
        <v>346</v>
      </c>
      <c r="D1780" s="2" t="s">
        <v>261</v>
      </c>
      <c r="E1780" s="2" t="s">
        <v>364</v>
      </c>
      <c r="F1780" s="2" t="s">
        <v>19</v>
      </c>
      <c r="G1780" s="3">
        <v>590000</v>
      </c>
      <c r="H1780" s="8">
        <v>1</v>
      </c>
      <c r="I1780" s="3">
        <v>295000</v>
      </c>
      <c r="J1780" s="3">
        <v>295000</v>
      </c>
    </row>
    <row r="1781" spans="1:10" x14ac:dyDescent="0.25">
      <c r="A1781" s="2">
        <v>1782</v>
      </c>
      <c r="B1781" s="18">
        <v>45482.708287037036</v>
      </c>
      <c r="C1781" s="2" t="s">
        <v>346</v>
      </c>
      <c r="D1781" s="2" t="s">
        <v>261</v>
      </c>
      <c r="E1781" s="2" t="s">
        <v>364</v>
      </c>
      <c r="F1781" s="2" t="s">
        <v>33</v>
      </c>
      <c r="G1781" s="3">
        <v>485000</v>
      </c>
      <c r="H1781" s="8">
        <v>4</v>
      </c>
      <c r="I1781" s="3">
        <v>970000</v>
      </c>
      <c r="J1781" s="3">
        <v>970000</v>
      </c>
    </row>
    <row r="1782" spans="1:10" x14ac:dyDescent="0.25">
      <c r="A1782" s="2">
        <v>1783</v>
      </c>
      <c r="B1782" s="18">
        <v>45482.708287037036</v>
      </c>
      <c r="C1782" s="2" t="s">
        <v>346</v>
      </c>
      <c r="D1782" s="2" t="s">
        <v>261</v>
      </c>
      <c r="E1782" s="2" t="s">
        <v>364</v>
      </c>
      <c r="F1782" s="2" t="s">
        <v>59</v>
      </c>
      <c r="G1782" s="3">
        <v>475000</v>
      </c>
      <c r="H1782" s="8">
        <v>4</v>
      </c>
      <c r="I1782" s="3">
        <v>950000</v>
      </c>
      <c r="J1782" s="3">
        <v>950000</v>
      </c>
    </row>
    <row r="1783" spans="1:10" x14ac:dyDescent="0.25">
      <c r="A1783" s="2">
        <v>1784</v>
      </c>
      <c r="B1783" s="18">
        <v>45482.708287037036</v>
      </c>
      <c r="C1783" s="2" t="s">
        <v>346</v>
      </c>
      <c r="D1783" s="2" t="s">
        <v>261</v>
      </c>
      <c r="E1783" s="2" t="s">
        <v>364</v>
      </c>
      <c r="F1783" s="2" t="s">
        <v>63</v>
      </c>
      <c r="G1783" s="3">
        <v>550000</v>
      </c>
      <c r="H1783" s="8">
        <v>1</v>
      </c>
      <c r="I1783" s="3">
        <v>275000</v>
      </c>
      <c r="J1783" s="3">
        <v>275000</v>
      </c>
    </row>
    <row r="1784" spans="1:10" x14ac:dyDescent="0.25">
      <c r="A1784" s="2">
        <v>1785</v>
      </c>
      <c r="B1784" s="18">
        <v>45482.708287037036</v>
      </c>
      <c r="C1784" s="2" t="s">
        <v>346</v>
      </c>
      <c r="D1784" s="2" t="s">
        <v>261</v>
      </c>
      <c r="E1784" s="2" t="s">
        <v>364</v>
      </c>
      <c r="F1784" s="2" t="s">
        <v>67</v>
      </c>
      <c r="G1784" s="3">
        <v>945000</v>
      </c>
      <c r="H1784" s="8">
        <v>1</v>
      </c>
      <c r="I1784" s="3">
        <v>472500</v>
      </c>
      <c r="J1784" s="3">
        <v>472500</v>
      </c>
    </row>
    <row r="1785" spans="1:10" x14ac:dyDescent="0.25">
      <c r="A1785" s="2">
        <v>1786</v>
      </c>
      <c r="B1785" s="18">
        <v>45482.708287037036</v>
      </c>
      <c r="C1785" s="2" t="s">
        <v>346</v>
      </c>
      <c r="D1785" s="2" t="s">
        <v>261</v>
      </c>
      <c r="E1785" s="2" t="s">
        <v>364</v>
      </c>
      <c r="F1785" s="2" t="s">
        <v>89</v>
      </c>
      <c r="G1785" s="3">
        <v>390000</v>
      </c>
      <c r="H1785" s="8">
        <v>1</v>
      </c>
      <c r="I1785" s="3">
        <v>0</v>
      </c>
      <c r="J1785" s="3">
        <v>0</v>
      </c>
    </row>
    <row r="1786" spans="1:10" x14ac:dyDescent="0.25">
      <c r="A1786" s="2">
        <v>1787</v>
      </c>
      <c r="B1786" s="18">
        <v>45482.708287037036</v>
      </c>
      <c r="C1786" s="2" t="s">
        <v>346</v>
      </c>
      <c r="D1786" s="2" t="s">
        <v>261</v>
      </c>
      <c r="E1786" s="2" t="s">
        <v>364</v>
      </c>
      <c r="F1786" s="2" t="s">
        <v>47</v>
      </c>
      <c r="G1786" s="3">
        <v>200000</v>
      </c>
      <c r="H1786" s="8">
        <v>1</v>
      </c>
      <c r="I1786" s="3">
        <v>0</v>
      </c>
      <c r="J1786" s="3">
        <v>0</v>
      </c>
    </row>
    <row r="1787" spans="1:10" x14ac:dyDescent="0.25">
      <c r="A1787" s="2">
        <v>1788</v>
      </c>
      <c r="B1787" s="18">
        <v>45483.708287037036</v>
      </c>
      <c r="C1787" s="2" t="s">
        <v>346</v>
      </c>
      <c r="D1787" s="2" t="s">
        <v>327</v>
      </c>
      <c r="E1787" s="2" t="s">
        <v>365</v>
      </c>
      <c r="F1787" s="2" t="s">
        <v>29</v>
      </c>
      <c r="G1787" s="3">
        <v>590000</v>
      </c>
      <c r="H1787" s="8">
        <v>-30</v>
      </c>
      <c r="I1787" s="3">
        <v>-8850000</v>
      </c>
      <c r="J1787" s="3">
        <v>-8850000</v>
      </c>
    </row>
    <row r="1788" spans="1:10" x14ac:dyDescent="0.25">
      <c r="A1788" s="2">
        <v>1789</v>
      </c>
      <c r="B1788" s="18">
        <v>45483.708287037036</v>
      </c>
      <c r="C1788" s="2" t="s">
        <v>346</v>
      </c>
      <c r="D1788" s="2" t="s">
        <v>327</v>
      </c>
      <c r="E1788" s="2" t="s">
        <v>365</v>
      </c>
      <c r="F1788" s="2" t="s">
        <v>19</v>
      </c>
      <c r="G1788" s="3">
        <v>590000</v>
      </c>
      <c r="H1788" s="8">
        <v>30</v>
      </c>
      <c r="I1788" s="3">
        <v>8850000</v>
      </c>
      <c r="J1788" s="3">
        <v>8850000</v>
      </c>
    </row>
    <row r="1789" spans="1:10" x14ac:dyDescent="0.25">
      <c r="A1789" s="2">
        <v>1790</v>
      </c>
      <c r="B1789" s="18">
        <v>45483.708287037036</v>
      </c>
      <c r="C1789" s="2" t="s">
        <v>346</v>
      </c>
      <c r="D1789" s="2" t="s">
        <v>327</v>
      </c>
      <c r="E1789" s="2" t="s">
        <v>365</v>
      </c>
      <c r="F1789" s="2" t="s">
        <v>35</v>
      </c>
      <c r="G1789" s="3">
        <v>525000</v>
      </c>
      <c r="H1789" s="8">
        <v>-24</v>
      </c>
      <c r="I1789" s="3">
        <v>0</v>
      </c>
      <c r="J1789" s="3">
        <v>0</v>
      </c>
    </row>
    <row r="1790" spans="1:10" x14ac:dyDescent="0.25">
      <c r="A1790" s="2">
        <v>1791</v>
      </c>
      <c r="B1790" s="18">
        <v>45483.708287037036</v>
      </c>
      <c r="C1790" s="2" t="s">
        <v>346</v>
      </c>
      <c r="D1790" s="2" t="s">
        <v>327</v>
      </c>
      <c r="E1790" s="2" t="s">
        <v>365</v>
      </c>
      <c r="F1790" s="2" t="s">
        <v>89</v>
      </c>
      <c r="G1790" s="3">
        <v>390000</v>
      </c>
      <c r="H1790" s="8">
        <v>24</v>
      </c>
      <c r="I1790" s="3">
        <v>0</v>
      </c>
      <c r="J1790" s="3">
        <v>0</v>
      </c>
    </row>
    <row r="1791" spans="1:10" x14ac:dyDescent="0.25">
      <c r="A1791" s="2">
        <v>1792</v>
      </c>
      <c r="B1791" s="18">
        <v>45483.708287037036</v>
      </c>
      <c r="C1791" s="2" t="s">
        <v>346</v>
      </c>
      <c r="D1791" s="2" t="s">
        <v>74</v>
      </c>
      <c r="E1791" s="2" t="s">
        <v>369</v>
      </c>
      <c r="F1791" s="2" t="s">
        <v>421</v>
      </c>
      <c r="G1791" s="3">
        <v>0</v>
      </c>
      <c r="H1791" s="8">
        <v>0</v>
      </c>
      <c r="I1791" s="3">
        <v>0</v>
      </c>
      <c r="J1791" s="3">
        <v>0</v>
      </c>
    </row>
    <row r="1792" spans="1:10" x14ac:dyDescent="0.25">
      <c r="A1792" s="2">
        <v>1793</v>
      </c>
      <c r="B1792" s="18">
        <v>45483.708287037036</v>
      </c>
      <c r="C1792" s="2" t="s">
        <v>346</v>
      </c>
      <c r="D1792" s="2" t="s">
        <v>74</v>
      </c>
      <c r="E1792" s="2" t="s">
        <v>369</v>
      </c>
      <c r="F1792" s="2" t="s">
        <v>421</v>
      </c>
      <c r="G1792" s="3">
        <v>0</v>
      </c>
      <c r="H1792" s="8">
        <v>0</v>
      </c>
      <c r="I1792" s="3">
        <v>0</v>
      </c>
      <c r="J1792" s="3">
        <v>0</v>
      </c>
    </row>
    <row r="1793" spans="1:10" x14ac:dyDescent="0.25">
      <c r="A1793" s="2">
        <v>1794</v>
      </c>
      <c r="B1793" s="18">
        <v>45483.708287037036</v>
      </c>
      <c r="C1793" s="2" t="s">
        <v>346</v>
      </c>
      <c r="D1793" s="2" t="s">
        <v>64</v>
      </c>
      <c r="E1793" s="2" t="s">
        <v>369</v>
      </c>
      <c r="F1793" s="2" t="s">
        <v>29</v>
      </c>
      <c r="G1793" s="3">
        <v>590000</v>
      </c>
      <c r="H1793" s="8">
        <v>2</v>
      </c>
      <c r="I1793" s="3">
        <v>708000</v>
      </c>
      <c r="J1793" s="3">
        <v>708000</v>
      </c>
    </row>
    <row r="1794" spans="1:10" x14ac:dyDescent="0.25">
      <c r="A1794" s="2">
        <v>1795</v>
      </c>
      <c r="B1794" s="18">
        <v>45483.708287037036</v>
      </c>
      <c r="C1794" s="2" t="s">
        <v>346</v>
      </c>
      <c r="D1794" s="2" t="s">
        <v>64</v>
      </c>
      <c r="E1794" s="2" t="s">
        <v>369</v>
      </c>
      <c r="F1794" s="2" t="s">
        <v>19</v>
      </c>
      <c r="G1794" s="3">
        <v>590000</v>
      </c>
      <c r="H1794" s="8">
        <v>4</v>
      </c>
      <c r="I1794" s="3">
        <v>1652000</v>
      </c>
      <c r="J1794" s="3">
        <v>1652000</v>
      </c>
    </row>
    <row r="1795" spans="1:10" x14ac:dyDescent="0.25">
      <c r="A1795" s="2">
        <v>1796</v>
      </c>
      <c r="B1795" s="18">
        <v>45483.708287037036</v>
      </c>
      <c r="C1795" s="2" t="s">
        <v>346</v>
      </c>
      <c r="D1795" s="2" t="s">
        <v>64</v>
      </c>
      <c r="E1795" s="2" t="s">
        <v>369</v>
      </c>
      <c r="F1795" s="2" t="s">
        <v>89</v>
      </c>
      <c r="G1795" s="3">
        <v>390000</v>
      </c>
      <c r="H1795" s="8">
        <v>6</v>
      </c>
      <c r="I1795" s="3">
        <v>0</v>
      </c>
      <c r="J1795" s="3">
        <v>0</v>
      </c>
    </row>
    <row r="1796" spans="1:10" x14ac:dyDescent="0.25">
      <c r="A1796" s="2">
        <v>1797</v>
      </c>
      <c r="B1796" s="18">
        <v>45484.708287037036</v>
      </c>
      <c r="C1796" s="2" t="s">
        <v>346</v>
      </c>
      <c r="D1796" s="2" t="s">
        <v>317</v>
      </c>
      <c r="E1796" s="2" t="s">
        <v>363</v>
      </c>
      <c r="F1796" s="2" t="s">
        <v>33</v>
      </c>
      <c r="G1796" s="3">
        <v>485000</v>
      </c>
      <c r="H1796" s="8">
        <v>50</v>
      </c>
      <c r="I1796" s="3">
        <v>16975000</v>
      </c>
      <c r="J1796" s="3">
        <v>16975000</v>
      </c>
    </row>
    <row r="1797" spans="1:10" x14ac:dyDescent="0.25">
      <c r="A1797" s="2">
        <v>1798</v>
      </c>
      <c r="B1797" s="18">
        <v>45484.708287037036</v>
      </c>
      <c r="C1797" s="2" t="s">
        <v>346</v>
      </c>
      <c r="D1797" s="2" t="s">
        <v>317</v>
      </c>
      <c r="E1797" s="2" t="s">
        <v>363</v>
      </c>
      <c r="F1797" s="2" t="s">
        <v>59</v>
      </c>
      <c r="G1797" s="3">
        <v>475000</v>
      </c>
      <c r="H1797" s="8">
        <v>50</v>
      </c>
      <c r="I1797" s="3">
        <v>16625000</v>
      </c>
      <c r="J1797" s="3">
        <v>16625000</v>
      </c>
    </row>
    <row r="1798" spans="1:10" x14ac:dyDescent="0.25">
      <c r="A1798" s="2">
        <v>1799</v>
      </c>
      <c r="B1798" s="18">
        <v>45484.708287037036</v>
      </c>
      <c r="C1798" s="2" t="s">
        <v>346</v>
      </c>
      <c r="D1798" s="2" t="s">
        <v>317</v>
      </c>
      <c r="E1798" s="2" t="s">
        <v>363</v>
      </c>
      <c r="F1798" s="2" t="s">
        <v>19</v>
      </c>
      <c r="G1798" s="3">
        <v>590000</v>
      </c>
      <c r="H1798" s="8">
        <v>100</v>
      </c>
      <c r="I1798" s="3">
        <v>41300000</v>
      </c>
      <c r="J1798" s="3">
        <v>41300000</v>
      </c>
    </row>
    <row r="1799" spans="1:10" x14ac:dyDescent="0.25">
      <c r="A1799" s="2">
        <v>1800</v>
      </c>
      <c r="B1799" s="18">
        <v>45484.708287037036</v>
      </c>
      <c r="C1799" s="2" t="s">
        <v>346</v>
      </c>
      <c r="D1799" s="2" t="s">
        <v>317</v>
      </c>
      <c r="E1799" s="2" t="s">
        <v>363</v>
      </c>
      <c r="F1799" s="2" t="s">
        <v>23</v>
      </c>
      <c r="G1799" s="3">
        <v>775000</v>
      </c>
      <c r="H1799" s="8">
        <v>45</v>
      </c>
      <c r="I1799" s="3">
        <v>24412500</v>
      </c>
      <c r="J1799" s="3">
        <v>24412500</v>
      </c>
    </row>
    <row r="1800" spans="1:10" x14ac:dyDescent="0.25">
      <c r="A1800" s="2">
        <v>1801</v>
      </c>
      <c r="B1800" s="18">
        <v>45484.708287037036</v>
      </c>
      <c r="C1800" s="2" t="s">
        <v>346</v>
      </c>
      <c r="D1800" s="2" t="s">
        <v>317</v>
      </c>
      <c r="E1800" s="2" t="s">
        <v>363</v>
      </c>
      <c r="F1800" s="2" t="s">
        <v>29</v>
      </c>
      <c r="G1800" s="3">
        <v>590000</v>
      </c>
      <c r="H1800" s="8">
        <v>50</v>
      </c>
      <c r="I1800" s="3">
        <v>20650000</v>
      </c>
      <c r="J1800" s="3">
        <v>20650000</v>
      </c>
    </row>
    <row r="1801" spans="1:10" x14ac:dyDescent="0.25">
      <c r="A1801" s="2">
        <v>1802</v>
      </c>
      <c r="B1801" s="18">
        <v>45484.708287037036</v>
      </c>
      <c r="C1801" s="2" t="s">
        <v>346</v>
      </c>
      <c r="D1801" s="2" t="s">
        <v>317</v>
      </c>
      <c r="E1801" s="2" t="s">
        <v>363</v>
      </c>
      <c r="F1801" s="2" t="s">
        <v>85</v>
      </c>
      <c r="G1801" s="3">
        <v>480000</v>
      </c>
      <c r="H1801" s="8">
        <v>50</v>
      </c>
      <c r="I1801" s="3">
        <v>16800000</v>
      </c>
      <c r="J1801" s="3">
        <v>16800000</v>
      </c>
    </row>
    <row r="1802" spans="1:10" x14ac:dyDescent="0.25">
      <c r="A1802" s="2">
        <v>1803</v>
      </c>
      <c r="B1802" s="18">
        <v>45484.708287037036</v>
      </c>
      <c r="C1802" s="2" t="s">
        <v>346</v>
      </c>
      <c r="D1802" s="2" t="s">
        <v>317</v>
      </c>
      <c r="E1802" s="2" t="s">
        <v>363</v>
      </c>
      <c r="F1802" s="2" t="s">
        <v>89</v>
      </c>
      <c r="G1802" s="3">
        <v>390000</v>
      </c>
      <c r="H1802" s="8">
        <v>245</v>
      </c>
      <c r="I1802" s="3">
        <v>0</v>
      </c>
      <c r="J1802" s="3">
        <v>0</v>
      </c>
    </row>
    <row r="1803" spans="1:10" x14ac:dyDescent="0.25">
      <c r="A1803" s="2">
        <v>1804</v>
      </c>
      <c r="B1803" s="18">
        <v>45484.708287037036</v>
      </c>
      <c r="C1803" s="2" t="s">
        <v>346</v>
      </c>
      <c r="D1803" s="2" t="s">
        <v>317</v>
      </c>
      <c r="E1803" s="2" t="s">
        <v>363</v>
      </c>
      <c r="F1803" s="2" t="s">
        <v>47</v>
      </c>
      <c r="G1803" s="3">
        <v>200000</v>
      </c>
      <c r="H1803" s="8">
        <v>100</v>
      </c>
      <c r="I1803" s="3">
        <v>0</v>
      </c>
      <c r="J1803" s="3">
        <v>0</v>
      </c>
    </row>
    <row r="1804" spans="1:10" x14ac:dyDescent="0.25">
      <c r="A1804" s="2">
        <v>1805</v>
      </c>
      <c r="B1804" s="18">
        <v>45484.708287037036</v>
      </c>
      <c r="C1804" s="2" t="s">
        <v>346</v>
      </c>
      <c r="D1804" s="2" t="s">
        <v>72</v>
      </c>
      <c r="E1804" s="2" t="s">
        <v>364</v>
      </c>
      <c r="F1804" s="2" t="s">
        <v>33</v>
      </c>
      <c r="G1804" s="3">
        <v>485000</v>
      </c>
      <c r="H1804" s="8">
        <v>25</v>
      </c>
      <c r="I1804" s="3">
        <v>6062500</v>
      </c>
      <c r="J1804" s="3">
        <v>6062500</v>
      </c>
    </row>
    <row r="1805" spans="1:10" x14ac:dyDescent="0.25">
      <c r="A1805" s="2">
        <v>1806</v>
      </c>
      <c r="B1805" s="18">
        <v>45484.708287037036</v>
      </c>
      <c r="C1805" s="2" t="s">
        <v>346</v>
      </c>
      <c r="D1805" s="2" t="s">
        <v>72</v>
      </c>
      <c r="E1805" s="2" t="s">
        <v>364</v>
      </c>
      <c r="F1805" s="2" t="s">
        <v>59</v>
      </c>
      <c r="G1805" s="3">
        <v>475000</v>
      </c>
      <c r="H1805" s="8">
        <v>25</v>
      </c>
      <c r="I1805" s="3">
        <v>0</v>
      </c>
      <c r="J1805" s="3">
        <v>0</v>
      </c>
    </row>
    <row r="1806" spans="1:10" x14ac:dyDescent="0.25">
      <c r="A1806" s="2">
        <v>1807</v>
      </c>
      <c r="B1806" s="18">
        <v>45484.708287037036</v>
      </c>
      <c r="C1806" s="2" t="s">
        <v>346</v>
      </c>
      <c r="D1806" s="2" t="s">
        <v>12</v>
      </c>
      <c r="E1806" s="2" t="s">
        <v>367</v>
      </c>
      <c r="F1806" s="2" t="s">
        <v>23</v>
      </c>
      <c r="G1806" s="3">
        <v>775000</v>
      </c>
      <c r="H1806" s="8">
        <v>1</v>
      </c>
      <c r="I1806" s="3">
        <v>503750</v>
      </c>
      <c r="J1806" s="3">
        <v>503750</v>
      </c>
    </row>
    <row r="1807" spans="1:10" x14ac:dyDescent="0.25">
      <c r="A1807" s="2">
        <v>1808</v>
      </c>
      <c r="B1807" s="18">
        <v>45484.708287037036</v>
      </c>
      <c r="C1807" s="2" t="s">
        <v>346</v>
      </c>
      <c r="D1807" s="2" t="s">
        <v>12</v>
      </c>
      <c r="E1807" s="2" t="s">
        <v>367</v>
      </c>
      <c r="F1807" s="2" t="s">
        <v>59</v>
      </c>
      <c r="G1807" s="3">
        <v>475000</v>
      </c>
      <c r="H1807" s="8">
        <v>2</v>
      </c>
      <c r="I1807" s="3">
        <v>617500</v>
      </c>
      <c r="J1807" s="3">
        <v>617500</v>
      </c>
    </row>
    <row r="1808" spans="1:10" x14ac:dyDescent="0.25">
      <c r="A1808" s="2">
        <v>1809</v>
      </c>
      <c r="B1808" s="18">
        <v>45484.708287037036</v>
      </c>
      <c r="C1808" s="2" t="s">
        <v>346</v>
      </c>
      <c r="D1808" s="2" t="s">
        <v>12</v>
      </c>
      <c r="E1808" s="2" t="s">
        <v>367</v>
      </c>
      <c r="F1808" s="2" t="s">
        <v>29</v>
      </c>
      <c r="G1808" s="3">
        <v>590000</v>
      </c>
      <c r="H1808" s="8">
        <v>2</v>
      </c>
      <c r="I1808" s="3">
        <v>767000</v>
      </c>
      <c r="J1808" s="3">
        <v>767000</v>
      </c>
    </row>
    <row r="1809" spans="1:10" x14ac:dyDescent="0.25">
      <c r="A1809" s="2">
        <v>1810</v>
      </c>
      <c r="B1809" s="18">
        <v>45484.708287037036</v>
      </c>
      <c r="C1809" s="2" t="s">
        <v>346</v>
      </c>
      <c r="D1809" s="2" t="s">
        <v>318</v>
      </c>
      <c r="E1809" s="2" t="s">
        <v>363</v>
      </c>
      <c r="F1809" s="2" t="s">
        <v>33</v>
      </c>
      <c r="G1809" s="3">
        <v>485000</v>
      </c>
      <c r="H1809" s="8">
        <v>40</v>
      </c>
      <c r="I1809" s="3">
        <v>13580000</v>
      </c>
      <c r="J1809" s="3">
        <v>13580000</v>
      </c>
    </row>
    <row r="1810" spans="1:10" x14ac:dyDescent="0.25">
      <c r="A1810" s="2">
        <v>1811</v>
      </c>
      <c r="B1810" s="18">
        <v>45484.708287037036</v>
      </c>
      <c r="C1810" s="2" t="s">
        <v>346</v>
      </c>
      <c r="D1810" s="2" t="s">
        <v>318</v>
      </c>
      <c r="E1810" s="2" t="s">
        <v>363</v>
      </c>
      <c r="F1810" s="2" t="s">
        <v>59</v>
      </c>
      <c r="G1810" s="3">
        <v>475000</v>
      </c>
      <c r="H1810" s="8">
        <v>40</v>
      </c>
      <c r="I1810" s="3">
        <v>13300000</v>
      </c>
      <c r="J1810" s="3">
        <v>13300000</v>
      </c>
    </row>
    <row r="1811" spans="1:10" x14ac:dyDescent="0.25">
      <c r="A1811" s="2">
        <v>1812</v>
      </c>
      <c r="B1811" s="18">
        <v>45484.708287037036</v>
      </c>
      <c r="C1811" s="2" t="s">
        <v>346</v>
      </c>
      <c r="D1811" s="2" t="s">
        <v>318</v>
      </c>
      <c r="E1811" s="2" t="s">
        <v>363</v>
      </c>
      <c r="F1811" s="2" t="s">
        <v>23</v>
      </c>
      <c r="G1811" s="3">
        <v>775000</v>
      </c>
      <c r="H1811" s="8">
        <v>40</v>
      </c>
      <c r="I1811" s="3">
        <v>21700000</v>
      </c>
      <c r="J1811" s="3">
        <v>21700000</v>
      </c>
    </row>
    <row r="1812" spans="1:10" x14ac:dyDescent="0.25">
      <c r="A1812" s="2">
        <v>1813</v>
      </c>
      <c r="B1812" s="18">
        <v>45484.708287037036</v>
      </c>
      <c r="C1812" s="2" t="s">
        <v>346</v>
      </c>
      <c r="D1812" s="2" t="s">
        <v>318</v>
      </c>
      <c r="E1812" s="2" t="s">
        <v>363</v>
      </c>
      <c r="F1812" s="2" t="s">
        <v>85</v>
      </c>
      <c r="G1812" s="3">
        <v>480000</v>
      </c>
      <c r="H1812" s="8">
        <v>20</v>
      </c>
      <c r="I1812" s="3">
        <v>6720000</v>
      </c>
      <c r="J1812" s="3">
        <v>6720000</v>
      </c>
    </row>
    <row r="1813" spans="1:10" x14ac:dyDescent="0.25">
      <c r="A1813" s="2">
        <v>1814</v>
      </c>
      <c r="B1813" s="18">
        <v>45484.708287037036</v>
      </c>
      <c r="C1813" s="2" t="s">
        <v>346</v>
      </c>
      <c r="D1813" s="2" t="s">
        <v>318</v>
      </c>
      <c r="E1813" s="2" t="s">
        <v>363</v>
      </c>
      <c r="F1813" s="2" t="s">
        <v>47</v>
      </c>
      <c r="G1813" s="3">
        <v>200000</v>
      </c>
      <c r="H1813" s="8">
        <v>140</v>
      </c>
      <c r="I1813" s="3">
        <v>0</v>
      </c>
      <c r="J1813" s="3">
        <v>0</v>
      </c>
    </row>
    <row r="1814" spans="1:10" x14ac:dyDescent="0.25">
      <c r="A1814" s="2">
        <v>1815</v>
      </c>
      <c r="B1814" s="18">
        <v>45484.708287037036</v>
      </c>
      <c r="C1814" s="2" t="s">
        <v>346</v>
      </c>
      <c r="D1814" s="2" t="s">
        <v>272</v>
      </c>
      <c r="E1814" s="2" t="s">
        <v>369</v>
      </c>
      <c r="F1814" s="2" t="s">
        <v>29</v>
      </c>
      <c r="G1814" s="3">
        <v>590000</v>
      </c>
      <c r="H1814" s="8">
        <v>5</v>
      </c>
      <c r="I1814" s="3">
        <v>2212500</v>
      </c>
      <c r="J1814" s="3">
        <v>2212500</v>
      </c>
    </row>
    <row r="1815" spans="1:10" x14ac:dyDescent="0.25">
      <c r="A1815" s="2">
        <v>1816</v>
      </c>
      <c r="B1815" s="18">
        <v>45484.708287037036</v>
      </c>
      <c r="C1815" s="2" t="s">
        <v>346</v>
      </c>
      <c r="D1815" s="2" t="s">
        <v>272</v>
      </c>
      <c r="E1815" s="2" t="s">
        <v>369</v>
      </c>
      <c r="F1815" s="2" t="s">
        <v>29</v>
      </c>
      <c r="G1815" s="3">
        <v>590000</v>
      </c>
      <c r="H1815" s="8">
        <v>1</v>
      </c>
      <c r="I1815" s="3">
        <v>0</v>
      </c>
      <c r="J1815" s="3">
        <v>0</v>
      </c>
    </row>
    <row r="1816" spans="1:10" x14ac:dyDescent="0.25">
      <c r="A1816" s="2">
        <v>1817</v>
      </c>
      <c r="B1816" s="18">
        <v>45484.708287037036</v>
      </c>
      <c r="C1816" s="2" t="s">
        <v>346</v>
      </c>
      <c r="D1816" s="2" t="s">
        <v>272</v>
      </c>
      <c r="E1816" s="2" t="s">
        <v>369</v>
      </c>
      <c r="F1816" s="2" t="s">
        <v>19</v>
      </c>
      <c r="G1816" s="3">
        <v>590000</v>
      </c>
      <c r="H1816" s="8">
        <v>10</v>
      </c>
      <c r="I1816" s="3">
        <v>4425000</v>
      </c>
      <c r="J1816" s="3">
        <v>4425000</v>
      </c>
    </row>
    <row r="1817" spans="1:10" x14ac:dyDescent="0.25">
      <c r="A1817" s="2">
        <v>1818</v>
      </c>
      <c r="B1817" s="18">
        <v>45484.708287037036</v>
      </c>
      <c r="C1817" s="2" t="s">
        <v>346</v>
      </c>
      <c r="D1817" s="2" t="s">
        <v>272</v>
      </c>
      <c r="E1817" s="2" t="s">
        <v>369</v>
      </c>
      <c r="F1817" s="2" t="s">
        <v>19</v>
      </c>
      <c r="G1817" s="3">
        <v>590000</v>
      </c>
      <c r="H1817" s="8">
        <v>2</v>
      </c>
      <c r="I1817" s="3">
        <v>0</v>
      </c>
      <c r="J1817" s="3">
        <v>0</v>
      </c>
    </row>
    <row r="1818" spans="1:10" x14ac:dyDescent="0.25">
      <c r="A1818" s="2">
        <v>1819</v>
      </c>
      <c r="B1818" s="18">
        <v>45484.708287037036</v>
      </c>
      <c r="C1818" s="2" t="s">
        <v>346</v>
      </c>
      <c r="D1818" s="2" t="s">
        <v>272</v>
      </c>
      <c r="E1818" s="2" t="s">
        <v>369</v>
      </c>
      <c r="F1818" s="2" t="s">
        <v>89</v>
      </c>
      <c r="G1818" s="3">
        <v>390000</v>
      </c>
      <c r="H1818" s="8">
        <v>15</v>
      </c>
      <c r="I1818" s="3">
        <v>0</v>
      </c>
      <c r="J1818" s="3">
        <v>0</v>
      </c>
    </row>
    <row r="1819" spans="1:10" x14ac:dyDescent="0.25">
      <c r="A1819" s="2">
        <v>1820</v>
      </c>
      <c r="B1819" s="18">
        <v>45485.708287037036</v>
      </c>
      <c r="C1819" s="2" t="s">
        <v>346</v>
      </c>
      <c r="D1819" s="2" t="s">
        <v>238</v>
      </c>
      <c r="E1819" s="2" t="s">
        <v>367</v>
      </c>
      <c r="F1819" s="2" t="s">
        <v>21</v>
      </c>
      <c r="G1819" s="3">
        <v>890000</v>
      </c>
      <c r="H1819" s="8">
        <v>1</v>
      </c>
      <c r="I1819" s="3">
        <v>704880</v>
      </c>
      <c r="J1819" s="3">
        <v>704880</v>
      </c>
    </row>
    <row r="1820" spans="1:10" x14ac:dyDescent="0.25">
      <c r="A1820" s="2">
        <v>1821</v>
      </c>
      <c r="B1820" s="18">
        <v>45487.708287037036</v>
      </c>
      <c r="C1820" s="2" t="s">
        <v>346</v>
      </c>
      <c r="D1820" s="2" t="s">
        <v>98</v>
      </c>
      <c r="E1820" s="2" t="s">
        <v>369</v>
      </c>
      <c r="F1820" s="2" t="s">
        <v>33</v>
      </c>
      <c r="G1820" s="3">
        <v>485000</v>
      </c>
      <c r="H1820" s="8">
        <v>8</v>
      </c>
      <c r="I1820" s="3">
        <v>2910000</v>
      </c>
      <c r="J1820" s="3">
        <v>2910000</v>
      </c>
    </row>
    <row r="1821" spans="1:10" x14ac:dyDescent="0.25">
      <c r="A1821" s="2">
        <v>1822</v>
      </c>
      <c r="B1821" s="18">
        <v>45487.708287037036</v>
      </c>
      <c r="C1821" s="2" t="s">
        <v>346</v>
      </c>
      <c r="D1821" s="2" t="s">
        <v>98</v>
      </c>
      <c r="E1821" s="2" t="s">
        <v>369</v>
      </c>
      <c r="F1821" s="2" t="s">
        <v>33</v>
      </c>
      <c r="G1821" s="3">
        <v>485000</v>
      </c>
      <c r="H1821" s="8">
        <v>1</v>
      </c>
      <c r="I1821" s="3">
        <v>0</v>
      </c>
      <c r="J1821" s="3">
        <v>0</v>
      </c>
    </row>
    <row r="1822" spans="1:10" x14ac:dyDescent="0.25">
      <c r="A1822" s="2">
        <v>1823</v>
      </c>
      <c r="B1822" s="18">
        <v>45487.708287037036</v>
      </c>
      <c r="C1822" s="2" t="s">
        <v>346</v>
      </c>
      <c r="D1822" s="2" t="s">
        <v>98</v>
      </c>
      <c r="E1822" s="2" t="s">
        <v>369</v>
      </c>
      <c r="F1822" s="2" t="s">
        <v>47</v>
      </c>
      <c r="G1822" s="3">
        <v>200000</v>
      </c>
      <c r="H1822" s="8">
        <v>9</v>
      </c>
      <c r="I1822" s="3">
        <v>0</v>
      </c>
      <c r="J1822" s="3">
        <v>0</v>
      </c>
    </row>
    <row r="1823" spans="1:10" x14ac:dyDescent="0.25">
      <c r="A1823" s="2">
        <v>1824</v>
      </c>
      <c r="B1823" s="18">
        <v>45487.708287037036</v>
      </c>
      <c r="C1823" s="2" t="s">
        <v>346</v>
      </c>
      <c r="D1823" s="2" t="s">
        <v>333</v>
      </c>
      <c r="E1823" s="2" t="s">
        <v>370</v>
      </c>
      <c r="F1823" s="2" t="s">
        <v>35</v>
      </c>
      <c r="G1823" s="3">
        <v>525000</v>
      </c>
      <c r="H1823" s="8">
        <v>1</v>
      </c>
      <c r="I1823" s="3">
        <v>0</v>
      </c>
      <c r="J1823" s="3">
        <v>0</v>
      </c>
    </row>
    <row r="1824" spans="1:10" x14ac:dyDescent="0.25">
      <c r="A1824" s="2">
        <v>1825</v>
      </c>
      <c r="B1824" s="18">
        <v>45487.708287037036</v>
      </c>
      <c r="C1824" s="2" t="s">
        <v>346</v>
      </c>
      <c r="D1824" s="2" t="s">
        <v>333</v>
      </c>
      <c r="E1824" s="2" t="s">
        <v>370</v>
      </c>
      <c r="F1824" s="2" t="s">
        <v>19</v>
      </c>
      <c r="G1824" s="3">
        <v>590000</v>
      </c>
      <c r="H1824" s="8">
        <v>1</v>
      </c>
      <c r="I1824" s="3">
        <v>0</v>
      </c>
      <c r="J1824" s="3">
        <v>0</v>
      </c>
    </row>
    <row r="1825" spans="1:10" x14ac:dyDescent="0.25">
      <c r="A1825" s="2">
        <v>1826</v>
      </c>
      <c r="B1825" s="18">
        <v>45487.708287037036</v>
      </c>
      <c r="C1825" s="2" t="s">
        <v>346</v>
      </c>
      <c r="D1825" s="2" t="s">
        <v>333</v>
      </c>
      <c r="E1825" s="2" t="s">
        <v>370</v>
      </c>
      <c r="F1825" s="2" t="s">
        <v>33</v>
      </c>
      <c r="G1825" s="3">
        <v>485000</v>
      </c>
      <c r="H1825" s="8">
        <v>1</v>
      </c>
      <c r="I1825" s="3">
        <v>0</v>
      </c>
      <c r="J1825" s="3">
        <v>0</v>
      </c>
    </row>
    <row r="1826" spans="1:10" x14ac:dyDescent="0.25">
      <c r="A1826" s="2">
        <v>1827</v>
      </c>
      <c r="B1826" s="18">
        <v>45487.708287037036</v>
      </c>
      <c r="C1826" s="2" t="s">
        <v>346</v>
      </c>
      <c r="D1826" s="2" t="s">
        <v>333</v>
      </c>
      <c r="E1826" s="2" t="s">
        <v>370</v>
      </c>
      <c r="F1826" s="2" t="s">
        <v>59</v>
      </c>
      <c r="G1826" s="3">
        <v>475000</v>
      </c>
      <c r="H1826" s="8">
        <v>1</v>
      </c>
      <c r="I1826" s="3">
        <v>0</v>
      </c>
      <c r="J1826" s="3">
        <v>0</v>
      </c>
    </row>
    <row r="1827" spans="1:10" x14ac:dyDescent="0.25">
      <c r="A1827" s="2">
        <v>1828</v>
      </c>
      <c r="B1827" s="18">
        <v>45487.708287037036</v>
      </c>
      <c r="C1827" s="2" t="s">
        <v>346</v>
      </c>
      <c r="D1827" s="2" t="s">
        <v>261</v>
      </c>
      <c r="E1827" s="2" t="s">
        <v>364</v>
      </c>
      <c r="F1827" s="2" t="s">
        <v>89</v>
      </c>
      <c r="G1827" s="3">
        <v>390000</v>
      </c>
      <c r="H1827" s="8">
        <v>10</v>
      </c>
      <c r="I1827" s="3">
        <v>0</v>
      </c>
      <c r="J1827" s="3">
        <v>0</v>
      </c>
    </row>
    <row r="1828" spans="1:10" x14ac:dyDescent="0.25">
      <c r="A1828" s="2">
        <v>1829</v>
      </c>
      <c r="B1828" s="18">
        <v>45488.708287037036</v>
      </c>
      <c r="C1828" s="2" t="s">
        <v>346</v>
      </c>
      <c r="D1828" s="2" t="s">
        <v>297</v>
      </c>
      <c r="E1828" s="2" t="s">
        <v>364</v>
      </c>
      <c r="F1828" s="2" t="s">
        <v>63</v>
      </c>
      <c r="G1828" s="3">
        <v>550000</v>
      </c>
      <c r="H1828" s="8">
        <v>100</v>
      </c>
      <c r="I1828" s="3">
        <v>27500000</v>
      </c>
      <c r="J1828" s="3">
        <v>27500000</v>
      </c>
    </row>
    <row r="1829" spans="1:10" x14ac:dyDescent="0.25">
      <c r="A1829" s="2">
        <v>1830</v>
      </c>
      <c r="B1829" s="18">
        <v>45488.708287037036</v>
      </c>
      <c r="C1829" s="2" t="s">
        <v>346</v>
      </c>
      <c r="D1829" s="2" t="s">
        <v>297</v>
      </c>
      <c r="E1829" s="2" t="s">
        <v>364</v>
      </c>
      <c r="F1829" s="2" t="s">
        <v>63</v>
      </c>
      <c r="G1829" s="3">
        <v>550000</v>
      </c>
      <c r="H1829" s="8">
        <v>10</v>
      </c>
      <c r="I1829" s="3">
        <v>0</v>
      </c>
      <c r="J1829" s="3">
        <v>0</v>
      </c>
    </row>
    <row r="1830" spans="1:10" x14ac:dyDescent="0.25">
      <c r="A1830" s="2">
        <v>1831</v>
      </c>
      <c r="B1830" s="18">
        <v>45488.708287037036</v>
      </c>
      <c r="C1830" s="2" t="s">
        <v>346</v>
      </c>
      <c r="D1830" s="2" t="s">
        <v>297</v>
      </c>
      <c r="E1830" s="2" t="s">
        <v>364</v>
      </c>
      <c r="F1830" s="2" t="s">
        <v>89</v>
      </c>
      <c r="G1830" s="3">
        <v>390000</v>
      </c>
      <c r="H1830" s="8">
        <v>110</v>
      </c>
      <c r="I1830" s="3">
        <v>0</v>
      </c>
      <c r="J1830" s="3">
        <v>0</v>
      </c>
    </row>
    <row r="1831" spans="1:10" x14ac:dyDescent="0.25">
      <c r="A1831" s="2">
        <v>1832</v>
      </c>
      <c r="B1831" s="18">
        <v>45489.708287037036</v>
      </c>
      <c r="C1831" s="2" t="s">
        <v>346</v>
      </c>
      <c r="D1831" s="2" t="s">
        <v>297</v>
      </c>
      <c r="E1831" s="2" t="s">
        <v>364</v>
      </c>
      <c r="F1831" s="2" t="s">
        <v>29</v>
      </c>
      <c r="G1831" s="3">
        <v>590000</v>
      </c>
      <c r="H1831" s="8">
        <v>80</v>
      </c>
      <c r="I1831" s="3">
        <v>23600000</v>
      </c>
      <c r="J1831" s="3">
        <v>23600000</v>
      </c>
    </row>
    <row r="1832" spans="1:10" x14ac:dyDescent="0.25">
      <c r="A1832" s="2">
        <v>1833</v>
      </c>
      <c r="B1832" s="18">
        <v>45489.708287037036</v>
      </c>
      <c r="C1832" s="2" t="s">
        <v>346</v>
      </c>
      <c r="D1832" s="2" t="s">
        <v>297</v>
      </c>
      <c r="E1832" s="2" t="s">
        <v>364</v>
      </c>
      <c r="F1832" s="2" t="s">
        <v>29</v>
      </c>
      <c r="G1832" s="3">
        <v>590000</v>
      </c>
      <c r="H1832" s="8">
        <v>10</v>
      </c>
      <c r="I1832" s="3">
        <v>0</v>
      </c>
      <c r="J1832" s="3">
        <v>0</v>
      </c>
    </row>
    <row r="1833" spans="1:10" x14ac:dyDescent="0.25">
      <c r="A1833" s="2">
        <v>1834</v>
      </c>
      <c r="B1833" s="18">
        <v>45489.708287037036</v>
      </c>
      <c r="C1833" s="2" t="s">
        <v>346</v>
      </c>
      <c r="D1833" s="2" t="s">
        <v>297</v>
      </c>
      <c r="E1833" s="2" t="s">
        <v>364</v>
      </c>
      <c r="F1833" s="2" t="s">
        <v>19</v>
      </c>
      <c r="G1833" s="3">
        <v>590000</v>
      </c>
      <c r="H1833" s="8">
        <v>50</v>
      </c>
      <c r="I1833" s="3">
        <v>14750000</v>
      </c>
      <c r="J1833" s="3">
        <v>14750000</v>
      </c>
    </row>
    <row r="1834" spans="1:10" x14ac:dyDescent="0.25">
      <c r="A1834" s="2">
        <v>1835</v>
      </c>
      <c r="B1834" s="18">
        <v>45489.708287037036</v>
      </c>
      <c r="C1834" s="2" t="s">
        <v>346</v>
      </c>
      <c r="D1834" s="2" t="s">
        <v>297</v>
      </c>
      <c r="E1834" s="2" t="s">
        <v>364</v>
      </c>
      <c r="F1834" s="2" t="s">
        <v>19</v>
      </c>
      <c r="G1834" s="3">
        <v>590000</v>
      </c>
      <c r="H1834" s="8">
        <v>10</v>
      </c>
      <c r="I1834" s="3">
        <v>0</v>
      </c>
      <c r="J1834" s="3">
        <v>0</v>
      </c>
    </row>
    <row r="1835" spans="1:10" x14ac:dyDescent="0.25">
      <c r="A1835" s="2">
        <v>1836</v>
      </c>
      <c r="B1835" s="18">
        <v>45489.708287037036</v>
      </c>
      <c r="C1835" s="2" t="s">
        <v>346</v>
      </c>
      <c r="D1835" s="2" t="s">
        <v>297</v>
      </c>
      <c r="E1835" s="2" t="s">
        <v>364</v>
      </c>
      <c r="F1835" s="2" t="s">
        <v>85</v>
      </c>
      <c r="G1835" s="3">
        <v>480000</v>
      </c>
      <c r="H1835" s="8">
        <v>80</v>
      </c>
      <c r="I1835" s="3">
        <v>19200000</v>
      </c>
      <c r="J1835" s="3">
        <v>19200000</v>
      </c>
    </row>
    <row r="1836" spans="1:10" x14ac:dyDescent="0.25">
      <c r="A1836" s="2">
        <v>1837</v>
      </c>
      <c r="B1836" s="18">
        <v>45489.708287037036</v>
      </c>
      <c r="C1836" s="2" t="s">
        <v>346</v>
      </c>
      <c r="D1836" s="2" t="s">
        <v>297</v>
      </c>
      <c r="E1836" s="2" t="s">
        <v>364</v>
      </c>
      <c r="F1836" s="2" t="s">
        <v>85</v>
      </c>
      <c r="G1836" s="3">
        <v>480000</v>
      </c>
      <c r="H1836" s="8">
        <v>10</v>
      </c>
      <c r="I1836" s="3">
        <v>0</v>
      </c>
      <c r="J1836" s="3">
        <v>0</v>
      </c>
    </row>
    <row r="1837" spans="1:10" x14ac:dyDescent="0.25">
      <c r="A1837" s="2">
        <v>1838</v>
      </c>
      <c r="B1837" s="18">
        <v>45489.708287037036</v>
      </c>
      <c r="C1837" s="2" t="s">
        <v>346</v>
      </c>
      <c r="D1837" s="2" t="s">
        <v>297</v>
      </c>
      <c r="E1837" s="2" t="s">
        <v>364</v>
      </c>
      <c r="F1837" s="2" t="s">
        <v>59</v>
      </c>
      <c r="G1837" s="3">
        <v>475000</v>
      </c>
      <c r="H1837" s="8">
        <v>80</v>
      </c>
      <c r="I1837" s="3">
        <v>19000000</v>
      </c>
      <c r="J1837" s="3">
        <v>19000000</v>
      </c>
    </row>
    <row r="1838" spans="1:10" x14ac:dyDescent="0.25">
      <c r="A1838" s="2">
        <v>1839</v>
      </c>
      <c r="B1838" s="18">
        <v>45489.708287037036</v>
      </c>
      <c r="C1838" s="2" t="s">
        <v>346</v>
      </c>
      <c r="D1838" s="2" t="s">
        <v>297</v>
      </c>
      <c r="E1838" s="2" t="s">
        <v>364</v>
      </c>
      <c r="F1838" s="2" t="s">
        <v>59</v>
      </c>
      <c r="G1838" s="3">
        <v>475000</v>
      </c>
      <c r="H1838" s="8">
        <v>10</v>
      </c>
      <c r="I1838" s="3">
        <v>0</v>
      </c>
      <c r="J1838" s="3">
        <v>0</v>
      </c>
    </row>
    <row r="1839" spans="1:10" x14ac:dyDescent="0.25">
      <c r="A1839" s="2">
        <v>1840</v>
      </c>
      <c r="B1839" s="18">
        <v>45489.708287037036</v>
      </c>
      <c r="C1839" s="2" t="s">
        <v>346</v>
      </c>
      <c r="D1839" s="2" t="s">
        <v>297</v>
      </c>
      <c r="E1839" s="2" t="s">
        <v>364</v>
      </c>
      <c r="F1839" s="2" t="s">
        <v>89</v>
      </c>
      <c r="G1839" s="3">
        <v>390000</v>
      </c>
      <c r="H1839" s="8">
        <v>240</v>
      </c>
      <c r="I1839" s="3">
        <v>0</v>
      </c>
      <c r="J1839" s="3">
        <v>0</v>
      </c>
    </row>
    <row r="1840" spans="1:10" x14ac:dyDescent="0.25">
      <c r="A1840" s="2">
        <v>1841</v>
      </c>
      <c r="B1840" s="18">
        <v>45489.708287037036</v>
      </c>
      <c r="C1840" s="2" t="s">
        <v>346</v>
      </c>
      <c r="D1840" s="2" t="s">
        <v>297</v>
      </c>
      <c r="E1840" s="2" t="s">
        <v>364</v>
      </c>
      <c r="F1840" s="2" t="s">
        <v>47</v>
      </c>
      <c r="G1840" s="3">
        <v>200000</v>
      </c>
      <c r="H1840" s="8">
        <v>90</v>
      </c>
      <c r="I1840" s="3">
        <v>0</v>
      </c>
      <c r="J1840" s="3">
        <v>0</v>
      </c>
    </row>
    <row r="1841" spans="1:10" x14ac:dyDescent="0.25">
      <c r="A1841" s="2">
        <v>1842</v>
      </c>
      <c r="B1841" s="18">
        <v>45490.708287037036</v>
      </c>
      <c r="C1841" s="2" t="s">
        <v>346</v>
      </c>
      <c r="D1841" s="2" t="s">
        <v>297</v>
      </c>
      <c r="E1841" s="2" t="s">
        <v>364</v>
      </c>
      <c r="F1841" s="2" t="s">
        <v>31</v>
      </c>
      <c r="G1841" s="3">
        <v>745000</v>
      </c>
      <c r="H1841" s="8">
        <v>50</v>
      </c>
      <c r="I1841" s="3">
        <v>22350000</v>
      </c>
      <c r="J1841" s="3">
        <v>22350000</v>
      </c>
    </row>
    <row r="1842" spans="1:10" x14ac:dyDescent="0.25">
      <c r="A1842" s="2">
        <v>1843</v>
      </c>
      <c r="B1842" s="18">
        <v>45490.708287037036</v>
      </c>
      <c r="C1842" s="2" t="s">
        <v>346</v>
      </c>
      <c r="D1842" s="2" t="s">
        <v>297</v>
      </c>
      <c r="E1842" s="2" t="s">
        <v>364</v>
      </c>
      <c r="F1842" s="2" t="s">
        <v>33</v>
      </c>
      <c r="G1842" s="3">
        <v>485000</v>
      </c>
      <c r="H1842" s="8">
        <v>50</v>
      </c>
      <c r="I1842" s="3">
        <v>0</v>
      </c>
      <c r="J1842" s="3">
        <v>0</v>
      </c>
    </row>
    <row r="1843" spans="1:10" x14ac:dyDescent="0.25">
      <c r="A1843" s="2">
        <v>1844</v>
      </c>
      <c r="B1843" s="18">
        <v>45490.708287037036</v>
      </c>
      <c r="C1843" s="2" t="s">
        <v>346</v>
      </c>
      <c r="D1843" s="2" t="s">
        <v>271</v>
      </c>
      <c r="E1843" s="2" t="s">
        <v>369</v>
      </c>
      <c r="F1843" s="2" t="s">
        <v>29</v>
      </c>
      <c r="G1843" s="3">
        <v>590000</v>
      </c>
      <c r="H1843" s="8">
        <v>16</v>
      </c>
      <c r="I1843" s="3">
        <v>7080000</v>
      </c>
      <c r="J1843" s="3">
        <v>7080000</v>
      </c>
    </row>
    <row r="1844" spans="1:10" x14ac:dyDescent="0.25">
      <c r="A1844" s="2">
        <v>1845</v>
      </c>
      <c r="B1844" s="18">
        <v>45490.708287037036</v>
      </c>
      <c r="C1844" s="2" t="s">
        <v>346</v>
      </c>
      <c r="D1844" s="2" t="s">
        <v>271</v>
      </c>
      <c r="E1844" s="2" t="s">
        <v>369</v>
      </c>
      <c r="F1844" s="2" t="s">
        <v>29</v>
      </c>
      <c r="G1844" s="3">
        <v>590000</v>
      </c>
      <c r="H1844" s="8">
        <v>2</v>
      </c>
      <c r="I1844" s="3">
        <v>0</v>
      </c>
      <c r="J1844" s="3">
        <v>0</v>
      </c>
    </row>
    <row r="1845" spans="1:10" x14ac:dyDescent="0.25">
      <c r="A1845" s="2">
        <v>1846</v>
      </c>
      <c r="B1845" s="18">
        <v>45490.708287037036</v>
      </c>
      <c r="C1845" s="2" t="s">
        <v>346</v>
      </c>
      <c r="D1845" s="2" t="s">
        <v>271</v>
      </c>
      <c r="E1845" s="2" t="s">
        <v>369</v>
      </c>
      <c r="F1845" s="2" t="s">
        <v>89</v>
      </c>
      <c r="G1845" s="3">
        <v>390000</v>
      </c>
      <c r="H1845" s="8">
        <v>16</v>
      </c>
      <c r="I1845" s="3">
        <v>0</v>
      </c>
      <c r="J1845" s="3">
        <v>0</v>
      </c>
    </row>
    <row r="1846" spans="1:10" x14ac:dyDescent="0.25">
      <c r="A1846" s="2">
        <v>1847</v>
      </c>
      <c r="B1846" s="18">
        <v>45490.708287037036</v>
      </c>
      <c r="C1846" s="2" t="s">
        <v>346</v>
      </c>
      <c r="D1846" s="2" t="s">
        <v>269</v>
      </c>
      <c r="E1846" s="2" t="s">
        <v>369</v>
      </c>
      <c r="F1846" s="2" t="s">
        <v>89</v>
      </c>
      <c r="G1846" s="3">
        <v>390000</v>
      </c>
      <c r="H1846" s="8">
        <v>5</v>
      </c>
      <c r="I1846" s="3">
        <v>0</v>
      </c>
      <c r="J1846" s="3">
        <v>0</v>
      </c>
    </row>
    <row r="1847" spans="1:10" x14ac:dyDescent="0.25">
      <c r="A1847" s="2">
        <v>1848</v>
      </c>
      <c r="B1847" s="18">
        <v>45490.708287037036</v>
      </c>
      <c r="C1847" s="2" t="s">
        <v>346</v>
      </c>
      <c r="D1847" s="2" t="s">
        <v>301</v>
      </c>
      <c r="E1847" s="2" t="s">
        <v>364</v>
      </c>
      <c r="F1847" s="2" t="s">
        <v>19</v>
      </c>
      <c r="G1847" s="3">
        <v>590000</v>
      </c>
      <c r="H1847" s="8">
        <v>15</v>
      </c>
      <c r="I1847" s="3">
        <v>5133000</v>
      </c>
      <c r="J1847" s="3">
        <v>5133000</v>
      </c>
    </row>
    <row r="1848" spans="1:10" x14ac:dyDescent="0.25">
      <c r="A1848" s="2">
        <v>1849</v>
      </c>
      <c r="B1848" s="18">
        <v>45490.708287037036</v>
      </c>
      <c r="C1848" s="2" t="s">
        <v>346</v>
      </c>
      <c r="D1848" s="2" t="s">
        <v>301</v>
      </c>
      <c r="E1848" s="2" t="s">
        <v>364</v>
      </c>
      <c r="F1848" s="2" t="s">
        <v>21</v>
      </c>
      <c r="G1848" s="3">
        <v>890000</v>
      </c>
      <c r="H1848" s="8">
        <v>2</v>
      </c>
      <c r="I1848" s="3">
        <v>1032400</v>
      </c>
      <c r="J1848" s="3">
        <v>1032400</v>
      </c>
    </row>
    <row r="1849" spans="1:10" x14ac:dyDescent="0.25">
      <c r="A1849" s="2">
        <v>1850</v>
      </c>
      <c r="B1849" s="18">
        <v>45490.708287037036</v>
      </c>
      <c r="C1849" s="2" t="s">
        <v>346</v>
      </c>
      <c r="D1849" s="2" t="s">
        <v>301</v>
      </c>
      <c r="E1849" s="2" t="s">
        <v>364</v>
      </c>
      <c r="F1849" s="2" t="s">
        <v>19</v>
      </c>
      <c r="G1849" s="3">
        <v>590000</v>
      </c>
      <c r="H1849" s="8">
        <v>3</v>
      </c>
      <c r="I1849" s="3">
        <v>0</v>
      </c>
      <c r="J1849" s="3">
        <v>0</v>
      </c>
    </row>
    <row r="1850" spans="1:10" x14ac:dyDescent="0.25">
      <c r="A1850" s="2">
        <v>1851</v>
      </c>
      <c r="B1850" s="18">
        <v>45490.708287037036</v>
      </c>
      <c r="C1850" s="2" t="s">
        <v>346</v>
      </c>
      <c r="D1850" s="2" t="s">
        <v>301</v>
      </c>
      <c r="E1850" s="2" t="s">
        <v>364</v>
      </c>
      <c r="F1850" s="2" t="s">
        <v>61</v>
      </c>
      <c r="G1850" s="3">
        <v>890000</v>
      </c>
      <c r="H1850" s="8">
        <v>10</v>
      </c>
      <c r="I1850" s="3">
        <v>5162000</v>
      </c>
      <c r="J1850" s="3">
        <v>5162000</v>
      </c>
    </row>
    <row r="1851" spans="1:10" x14ac:dyDescent="0.25">
      <c r="A1851" s="2">
        <v>1852</v>
      </c>
      <c r="B1851" s="18">
        <v>45490.708287037036</v>
      </c>
      <c r="C1851" s="2" t="s">
        <v>346</v>
      </c>
      <c r="D1851" s="2" t="s">
        <v>301</v>
      </c>
      <c r="E1851" s="2" t="s">
        <v>364</v>
      </c>
      <c r="F1851" s="2" t="s">
        <v>61</v>
      </c>
      <c r="G1851" s="3">
        <v>890000</v>
      </c>
      <c r="H1851" s="8">
        <v>1</v>
      </c>
      <c r="I1851" s="3">
        <v>0</v>
      </c>
      <c r="J1851" s="3">
        <v>0</v>
      </c>
    </row>
    <row r="1852" spans="1:10" x14ac:dyDescent="0.25">
      <c r="A1852" s="2">
        <v>1853</v>
      </c>
      <c r="B1852" s="18">
        <v>45490.708287037036</v>
      </c>
      <c r="C1852" s="2" t="s">
        <v>346</v>
      </c>
      <c r="D1852" s="2" t="s">
        <v>253</v>
      </c>
      <c r="E1852" s="2" t="s">
        <v>370</v>
      </c>
      <c r="F1852" s="2" t="s">
        <v>421</v>
      </c>
      <c r="G1852" s="3">
        <v>0</v>
      </c>
      <c r="H1852" s="8">
        <v>0</v>
      </c>
      <c r="I1852" s="3">
        <v>0</v>
      </c>
      <c r="J1852" s="3">
        <v>0</v>
      </c>
    </row>
    <row r="1853" spans="1:10" x14ac:dyDescent="0.25">
      <c r="A1853" s="2">
        <v>1854</v>
      </c>
      <c r="B1853" s="18">
        <v>45491.708287037036</v>
      </c>
      <c r="C1853" s="2" t="s">
        <v>346</v>
      </c>
      <c r="D1853" s="2" t="s">
        <v>262</v>
      </c>
      <c r="E1853" s="2" t="s">
        <v>364</v>
      </c>
      <c r="F1853" s="2" t="s">
        <v>23</v>
      </c>
      <c r="G1853" s="3">
        <v>775000</v>
      </c>
      <c r="H1853" s="8">
        <v>110</v>
      </c>
      <c r="I1853" s="3">
        <v>42625000</v>
      </c>
      <c r="J1853" s="3">
        <v>42625000</v>
      </c>
    </row>
    <row r="1854" spans="1:10" x14ac:dyDescent="0.25">
      <c r="A1854" s="2">
        <v>1855</v>
      </c>
      <c r="B1854" s="18">
        <v>45491.708287037036</v>
      </c>
      <c r="C1854" s="2" t="s">
        <v>346</v>
      </c>
      <c r="D1854" s="2" t="s">
        <v>262</v>
      </c>
      <c r="E1854" s="2" t="s">
        <v>364</v>
      </c>
      <c r="F1854" s="2" t="s">
        <v>89</v>
      </c>
      <c r="G1854" s="3">
        <v>390000</v>
      </c>
      <c r="H1854" s="8">
        <v>110</v>
      </c>
      <c r="I1854" s="3">
        <v>0</v>
      </c>
      <c r="J1854" s="3">
        <v>0</v>
      </c>
    </row>
    <row r="1855" spans="1:10" x14ac:dyDescent="0.25">
      <c r="A1855" s="2">
        <v>1856</v>
      </c>
      <c r="B1855" s="18">
        <v>45491.708287037036</v>
      </c>
      <c r="C1855" s="2" t="s">
        <v>346</v>
      </c>
      <c r="D1855" s="2" t="s">
        <v>250</v>
      </c>
      <c r="E1855" s="2" t="s">
        <v>368</v>
      </c>
      <c r="F1855" s="2" t="s">
        <v>57</v>
      </c>
      <c r="G1855" s="3">
        <v>745000</v>
      </c>
      <c r="H1855" s="8">
        <v>8</v>
      </c>
      <c r="I1855" s="3">
        <v>4470000</v>
      </c>
      <c r="J1855" s="3">
        <v>4470000</v>
      </c>
    </row>
    <row r="1856" spans="1:10" x14ac:dyDescent="0.25">
      <c r="A1856" s="2">
        <v>1857</v>
      </c>
      <c r="B1856" s="18">
        <v>45491.708287037036</v>
      </c>
      <c r="C1856" s="2" t="s">
        <v>346</v>
      </c>
      <c r="D1856" s="2" t="s">
        <v>250</v>
      </c>
      <c r="E1856" s="2" t="s">
        <v>368</v>
      </c>
      <c r="F1856" s="2" t="s">
        <v>57</v>
      </c>
      <c r="G1856" s="3">
        <v>745000</v>
      </c>
      <c r="H1856" s="8">
        <v>1</v>
      </c>
      <c r="I1856" s="3">
        <v>0</v>
      </c>
      <c r="J1856" s="3">
        <v>0</v>
      </c>
    </row>
    <row r="1857" spans="1:10" x14ac:dyDescent="0.25">
      <c r="A1857" s="2">
        <v>1858</v>
      </c>
      <c r="B1857" s="18">
        <v>45491.708287037036</v>
      </c>
      <c r="C1857" s="2" t="s">
        <v>346</v>
      </c>
      <c r="D1857" s="2" t="s">
        <v>250</v>
      </c>
      <c r="E1857" s="2" t="s">
        <v>368</v>
      </c>
      <c r="F1857" s="2" t="s">
        <v>49</v>
      </c>
      <c r="G1857" s="3">
        <v>200000</v>
      </c>
      <c r="H1857" s="8">
        <v>9</v>
      </c>
      <c r="I1857" s="3">
        <v>0</v>
      </c>
      <c r="J1857" s="3">
        <v>0</v>
      </c>
    </row>
    <row r="1858" spans="1:10" x14ac:dyDescent="0.25">
      <c r="A1858" s="2">
        <v>1859</v>
      </c>
      <c r="B1858" s="18">
        <v>45491.708287037036</v>
      </c>
      <c r="C1858" s="2" t="s">
        <v>346</v>
      </c>
      <c r="D1858" s="2" t="s">
        <v>302</v>
      </c>
      <c r="E1858" s="2" t="s">
        <v>364</v>
      </c>
      <c r="F1858" s="2" t="s">
        <v>19</v>
      </c>
      <c r="G1858" s="3">
        <v>590000</v>
      </c>
      <c r="H1858" s="8">
        <v>15</v>
      </c>
      <c r="I1858" s="3">
        <v>5133000</v>
      </c>
      <c r="J1858" s="3">
        <v>5133000</v>
      </c>
    </row>
    <row r="1859" spans="1:10" x14ac:dyDescent="0.25">
      <c r="A1859" s="2">
        <v>1860</v>
      </c>
      <c r="B1859" s="18">
        <v>45491.708287037036</v>
      </c>
      <c r="C1859" s="2" t="s">
        <v>346</v>
      </c>
      <c r="D1859" s="2" t="s">
        <v>302</v>
      </c>
      <c r="E1859" s="2" t="s">
        <v>364</v>
      </c>
      <c r="F1859" s="2" t="s">
        <v>19</v>
      </c>
      <c r="G1859" s="3">
        <v>590000</v>
      </c>
      <c r="H1859" s="8">
        <v>3</v>
      </c>
      <c r="I1859" s="3">
        <v>0</v>
      </c>
      <c r="J1859" s="3">
        <v>0</v>
      </c>
    </row>
    <row r="1860" spans="1:10" x14ac:dyDescent="0.25">
      <c r="A1860" s="2">
        <v>1861</v>
      </c>
      <c r="B1860" s="18">
        <v>45491.708287037036</v>
      </c>
      <c r="C1860" s="2" t="s">
        <v>346</v>
      </c>
      <c r="D1860" s="2" t="s">
        <v>302</v>
      </c>
      <c r="E1860" s="2" t="s">
        <v>364</v>
      </c>
      <c r="F1860" s="2" t="s">
        <v>35</v>
      </c>
      <c r="G1860" s="3">
        <v>525000</v>
      </c>
      <c r="H1860" s="8">
        <v>20</v>
      </c>
      <c r="I1860" s="3">
        <v>6090000</v>
      </c>
      <c r="J1860" s="3">
        <v>6090000</v>
      </c>
    </row>
    <row r="1861" spans="1:10" x14ac:dyDescent="0.25">
      <c r="A1861" s="2">
        <v>1862</v>
      </c>
      <c r="B1861" s="18">
        <v>45491.708287037036</v>
      </c>
      <c r="C1861" s="2" t="s">
        <v>346</v>
      </c>
      <c r="D1861" s="2" t="s">
        <v>302</v>
      </c>
      <c r="E1861" s="2" t="s">
        <v>364</v>
      </c>
      <c r="F1861" s="2" t="s">
        <v>35</v>
      </c>
      <c r="G1861" s="3">
        <v>525000</v>
      </c>
      <c r="H1861" s="8">
        <v>2</v>
      </c>
      <c r="I1861" s="3">
        <v>0</v>
      </c>
      <c r="J1861" s="3">
        <v>0</v>
      </c>
    </row>
    <row r="1862" spans="1:10" x14ac:dyDescent="0.25">
      <c r="A1862" s="2">
        <v>1863</v>
      </c>
      <c r="B1862" s="18">
        <v>45492.708287037036</v>
      </c>
      <c r="C1862" s="2" t="s">
        <v>346</v>
      </c>
      <c r="D1862" s="2" t="s">
        <v>250</v>
      </c>
      <c r="E1862" s="2" t="s">
        <v>368</v>
      </c>
      <c r="F1862" s="2" t="s">
        <v>83</v>
      </c>
      <c r="G1862" s="3">
        <v>790000</v>
      </c>
      <c r="H1862" s="8">
        <v>10</v>
      </c>
      <c r="I1862" s="3">
        <v>3554999.9999999995</v>
      </c>
      <c r="J1862" s="3">
        <v>3554999.9999999995</v>
      </c>
    </row>
    <row r="1863" spans="1:10" x14ac:dyDescent="0.25">
      <c r="A1863" s="2">
        <v>1864</v>
      </c>
      <c r="B1863" s="18">
        <v>45492.708287037036</v>
      </c>
      <c r="C1863" s="2" t="s">
        <v>346</v>
      </c>
      <c r="D1863" s="2" t="s">
        <v>296</v>
      </c>
      <c r="E1863" s="2" t="s">
        <v>363</v>
      </c>
      <c r="F1863" s="2" t="s">
        <v>421</v>
      </c>
      <c r="G1863" s="3">
        <v>0</v>
      </c>
      <c r="H1863" s="8">
        <v>0</v>
      </c>
      <c r="I1863" s="3">
        <v>0</v>
      </c>
      <c r="J1863" s="3">
        <v>0</v>
      </c>
    </row>
    <row r="1864" spans="1:10" x14ac:dyDescent="0.25">
      <c r="A1864" s="2">
        <v>1865</v>
      </c>
      <c r="B1864" s="18">
        <v>45492.708287037036</v>
      </c>
      <c r="C1864" s="2" t="s">
        <v>346</v>
      </c>
      <c r="D1864" s="2" t="s">
        <v>303</v>
      </c>
      <c r="E1864" s="2" t="s">
        <v>366</v>
      </c>
      <c r="F1864" s="2" t="s">
        <v>31</v>
      </c>
      <c r="G1864" s="3">
        <v>745000</v>
      </c>
      <c r="H1864" s="8">
        <v>10</v>
      </c>
      <c r="I1864" s="3">
        <v>4470000</v>
      </c>
      <c r="J1864" s="3">
        <v>4470000</v>
      </c>
    </row>
    <row r="1865" spans="1:10" x14ac:dyDescent="0.25">
      <c r="A1865" s="2">
        <v>1866</v>
      </c>
      <c r="B1865" s="18">
        <v>45492.708287037036</v>
      </c>
      <c r="C1865" s="2" t="s">
        <v>346</v>
      </c>
      <c r="D1865" s="2" t="s">
        <v>124</v>
      </c>
      <c r="E1865" s="2" t="s">
        <v>367</v>
      </c>
      <c r="F1865" s="2" t="s">
        <v>27</v>
      </c>
      <c r="G1865" s="3">
        <v>935000</v>
      </c>
      <c r="H1865" s="8">
        <v>8</v>
      </c>
      <c r="I1865" s="3">
        <v>5610000</v>
      </c>
      <c r="J1865" s="3">
        <v>5610000</v>
      </c>
    </row>
    <row r="1866" spans="1:10" x14ac:dyDescent="0.25">
      <c r="A1866" s="2">
        <v>1867</v>
      </c>
      <c r="B1866" s="18">
        <v>45492.708287037036</v>
      </c>
      <c r="C1866" s="2" t="s">
        <v>346</v>
      </c>
      <c r="D1866" s="2" t="s">
        <v>124</v>
      </c>
      <c r="E1866" s="2" t="s">
        <v>367</v>
      </c>
      <c r="F1866" s="2" t="s">
        <v>27</v>
      </c>
      <c r="G1866" s="3">
        <v>935000</v>
      </c>
      <c r="H1866" s="8">
        <v>1</v>
      </c>
      <c r="I1866" s="3">
        <v>0</v>
      </c>
      <c r="J1866" s="3">
        <v>0</v>
      </c>
    </row>
    <row r="1867" spans="1:10" x14ac:dyDescent="0.25">
      <c r="A1867" s="2">
        <v>1868</v>
      </c>
      <c r="B1867" s="18">
        <v>45492.708287037036</v>
      </c>
      <c r="C1867" s="2" t="s">
        <v>346</v>
      </c>
      <c r="D1867" s="2" t="s">
        <v>124</v>
      </c>
      <c r="E1867" s="2" t="s">
        <v>367</v>
      </c>
      <c r="F1867" s="2" t="s">
        <v>89</v>
      </c>
      <c r="G1867" s="3">
        <v>390000</v>
      </c>
      <c r="H1867" s="8">
        <v>9</v>
      </c>
      <c r="I1867" s="3">
        <v>0</v>
      </c>
      <c r="J1867" s="3">
        <v>0</v>
      </c>
    </row>
    <row r="1868" spans="1:10" x14ac:dyDescent="0.25">
      <c r="A1868" s="2">
        <v>1869</v>
      </c>
      <c r="B1868" s="18">
        <v>45492.708287037036</v>
      </c>
      <c r="C1868" s="2" t="s">
        <v>346</v>
      </c>
      <c r="D1868" s="2" t="s">
        <v>124</v>
      </c>
      <c r="E1868" s="2" t="s">
        <v>367</v>
      </c>
      <c r="F1868" s="2" t="s">
        <v>83</v>
      </c>
      <c r="G1868" s="3">
        <v>790000</v>
      </c>
      <c r="H1868" s="8">
        <v>10</v>
      </c>
      <c r="I1868" s="3">
        <v>3554999.9999999995</v>
      </c>
      <c r="J1868" s="3">
        <v>3554999.9999999995</v>
      </c>
    </row>
    <row r="1869" spans="1:10" x14ac:dyDescent="0.25">
      <c r="A1869" s="2">
        <v>1870</v>
      </c>
      <c r="B1869" s="18">
        <v>45494.708287037036</v>
      </c>
      <c r="C1869" s="2" t="s">
        <v>346</v>
      </c>
      <c r="D1869" s="2" t="s">
        <v>111</v>
      </c>
      <c r="E1869" s="2" t="s">
        <v>370</v>
      </c>
      <c r="F1869" s="2" t="s">
        <v>29</v>
      </c>
      <c r="G1869" s="3">
        <v>590000</v>
      </c>
      <c r="H1869" s="8">
        <v>1</v>
      </c>
      <c r="I1869" s="3">
        <v>424800</v>
      </c>
      <c r="J1869" s="3">
        <v>424800</v>
      </c>
    </row>
    <row r="1870" spans="1:10" x14ac:dyDescent="0.25">
      <c r="A1870" s="2">
        <v>1871</v>
      </c>
      <c r="B1870" s="18">
        <v>45494.708287037036</v>
      </c>
      <c r="C1870" s="2" t="s">
        <v>346</v>
      </c>
      <c r="D1870" s="2" t="s">
        <v>111</v>
      </c>
      <c r="E1870" s="2" t="s">
        <v>370</v>
      </c>
      <c r="F1870" s="2" t="s">
        <v>31</v>
      </c>
      <c r="G1870" s="3">
        <v>745000</v>
      </c>
      <c r="H1870" s="8">
        <v>1</v>
      </c>
      <c r="I1870" s="3">
        <v>536400</v>
      </c>
      <c r="J1870" s="3">
        <v>536400</v>
      </c>
    </row>
    <row r="1871" spans="1:10" x14ac:dyDescent="0.25">
      <c r="A1871" s="2">
        <v>1872</v>
      </c>
      <c r="B1871" s="18">
        <v>45494.708287037036</v>
      </c>
      <c r="C1871" s="2" t="s">
        <v>346</v>
      </c>
      <c r="D1871" s="2" t="s">
        <v>111</v>
      </c>
      <c r="E1871" s="2" t="s">
        <v>370</v>
      </c>
      <c r="F1871" s="2" t="s">
        <v>57</v>
      </c>
      <c r="G1871" s="3">
        <v>745000</v>
      </c>
      <c r="H1871" s="8">
        <v>1</v>
      </c>
      <c r="I1871" s="3">
        <v>536400</v>
      </c>
      <c r="J1871" s="3">
        <v>536400</v>
      </c>
    </row>
    <row r="1872" spans="1:10" x14ac:dyDescent="0.25">
      <c r="A1872" s="2">
        <v>1873</v>
      </c>
      <c r="B1872" s="18">
        <v>45495.708287037036</v>
      </c>
      <c r="C1872" s="2" t="s">
        <v>346</v>
      </c>
      <c r="D1872" s="2" t="s">
        <v>284</v>
      </c>
      <c r="E1872" s="2" t="s">
        <v>369</v>
      </c>
      <c r="F1872" s="2" t="s">
        <v>31</v>
      </c>
      <c r="G1872" s="3">
        <v>745000</v>
      </c>
      <c r="H1872" s="8">
        <v>50</v>
      </c>
      <c r="I1872" s="3">
        <v>22350000</v>
      </c>
      <c r="J1872" s="3">
        <v>22350000</v>
      </c>
    </row>
    <row r="1873" spans="1:10" x14ac:dyDescent="0.25">
      <c r="A1873" s="2">
        <v>1874</v>
      </c>
      <c r="B1873" s="18">
        <v>45495.708287037036</v>
      </c>
      <c r="C1873" s="2" t="s">
        <v>346</v>
      </c>
      <c r="D1873" s="2" t="s">
        <v>284</v>
      </c>
      <c r="E1873" s="2" t="s">
        <v>369</v>
      </c>
      <c r="F1873" s="2" t="s">
        <v>33</v>
      </c>
      <c r="G1873" s="3">
        <v>485000</v>
      </c>
      <c r="H1873" s="8">
        <v>50</v>
      </c>
      <c r="I1873" s="3">
        <v>0</v>
      </c>
      <c r="J1873" s="3">
        <v>0</v>
      </c>
    </row>
    <row r="1874" spans="1:10" x14ac:dyDescent="0.25">
      <c r="A1874" s="2">
        <v>1875</v>
      </c>
      <c r="B1874" s="18">
        <v>45495.708287037036</v>
      </c>
      <c r="C1874" s="2" t="s">
        <v>346</v>
      </c>
      <c r="D1874" s="2" t="s">
        <v>284</v>
      </c>
      <c r="E1874" s="2" t="s">
        <v>369</v>
      </c>
      <c r="F1874" s="2" t="s">
        <v>59</v>
      </c>
      <c r="G1874" s="3">
        <v>475000</v>
      </c>
      <c r="H1874" s="8">
        <v>20</v>
      </c>
      <c r="I1874" s="3">
        <v>4750000</v>
      </c>
      <c r="J1874" s="3">
        <v>4750000</v>
      </c>
    </row>
    <row r="1875" spans="1:10" x14ac:dyDescent="0.25">
      <c r="A1875" s="2">
        <v>1876</v>
      </c>
      <c r="B1875" s="18">
        <v>45495.708287037036</v>
      </c>
      <c r="C1875" s="2" t="s">
        <v>346</v>
      </c>
      <c r="D1875" s="2" t="s">
        <v>284</v>
      </c>
      <c r="E1875" s="2" t="s">
        <v>369</v>
      </c>
      <c r="F1875" s="2" t="s">
        <v>19</v>
      </c>
      <c r="G1875" s="3">
        <v>590000</v>
      </c>
      <c r="H1875" s="8">
        <v>20</v>
      </c>
      <c r="I1875" s="3">
        <v>5900000</v>
      </c>
      <c r="J1875" s="3">
        <v>5900000</v>
      </c>
    </row>
    <row r="1876" spans="1:10" x14ac:dyDescent="0.25">
      <c r="A1876" s="2">
        <v>1877</v>
      </c>
      <c r="B1876" s="18">
        <v>45495.708287037036</v>
      </c>
      <c r="C1876" s="2" t="s">
        <v>346</v>
      </c>
      <c r="D1876" s="2" t="s">
        <v>284</v>
      </c>
      <c r="E1876" s="2" t="s">
        <v>369</v>
      </c>
      <c r="F1876" s="2" t="s">
        <v>85</v>
      </c>
      <c r="G1876" s="3">
        <v>480000</v>
      </c>
      <c r="H1876" s="8">
        <v>20</v>
      </c>
      <c r="I1876" s="3">
        <v>4800000</v>
      </c>
      <c r="J1876" s="3">
        <v>4800000</v>
      </c>
    </row>
    <row r="1877" spans="1:10" x14ac:dyDescent="0.25">
      <c r="A1877" s="2">
        <v>1878</v>
      </c>
      <c r="B1877" s="18">
        <v>45495.708287037036</v>
      </c>
      <c r="C1877" s="2" t="s">
        <v>346</v>
      </c>
      <c r="D1877" s="2" t="s">
        <v>284</v>
      </c>
      <c r="E1877" s="2" t="s">
        <v>369</v>
      </c>
      <c r="F1877" s="2" t="s">
        <v>35</v>
      </c>
      <c r="G1877" s="3">
        <v>525000</v>
      </c>
      <c r="H1877" s="8">
        <v>20</v>
      </c>
      <c r="I1877" s="3">
        <v>5250000</v>
      </c>
      <c r="J1877" s="3">
        <v>5250000</v>
      </c>
    </row>
    <row r="1878" spans="1:10" x14ac:dyDescent="0.25">
      <c r="A1878" s="2">
        <v>1879</v>
      </c>
      <c r="B1878" s="18">
        <v>45495.708287037036</v>
      </c>
      <c r="C1878" s="2" t="s">
        <v>346</v>
      </c>
      <c r="D1878" s="2" t="s">
        <v>284</v>
      </c>
      <c r="E1878" s="2" t="s">
        <v>369</v>
      </c>
      <c r="F1878" s="2" t="s">
        <v>89</v>
      </c>
      <c r="G1878" s="3">
        <v>390000</v>
      </c>
      <c r="H1878" s="8">
        <v>20</v>
      </c>
      <c r="I1878" s="3">
        <v>0</v>
      </c>
      <c r="J1878" s="3">
        <v>0</v>
      </c>
    </row>
    <row r="1879" spans="1:10" x14ac:dyDescent="0.25">
      <c r="A1879" s="2">
        <v>1880</v>
      </c>
      <c r="B1879" s="18">
        <v>45495.708287037036</v>
      </c>
      <c r="C1879" s="2" t="s">
        <v>346</v>
      </c>
      <c r="D1879" s="2" t="s">
        <v>284</v>
      </c>
      <c r="E1879" s="2" t="s">
        <v>369</v>
      </c>
      <c r="F1879" s="2" t="s">
        <v>47</v>
      </c>
      <c r="G1879" s="3">
        <v>200000</v>
      </c>
      <c r="H1879" s="8">
        <v>60</v>
      </c>
      <c r="I1879" s="3">
        <v>0</v>
      </c>
      <c r="J1879" s="3">
        <v>0</v>
      </c>
    </row>
    <row r="1880" spans="1:10" x14ac:dyDescent="0.25">
      <c r="A1880" s="2">
        <v>1881</v>
      </c>
      <c r="B1880" s="18">
        <v>45495.708287037036</v>
      </c>
      <c r="C1880" s="2" t="s">
        <v>346</v>
      </c>
      <c r="D1880" s="2" t="s">
        <v>72</v>
      </c>
      <c r="E1880" s="2" t="s">
        <v>364</v>
      </c>
      <c r="F1880" s="2" t="s">
        <v>57</v>
      </c>
      <c r="G1880" s="3">
        <v>745000</v>
      </c>
      <c r="H1880" s="8">
        <v>68</v>
      </c>
      <c r="I1880" s="3">
        <v>30396000</v>
      </c>
      <c r="J1880" s="3">
        <v>30396000</v>
      </c>
    </row>
    <row r="1881" spans="1:10" x14ac:dyDescent="0.25">
      <c r="A1881" s="2">
        <v>1882</v>
      </c>
      <c r="B1881" s="18">
        <v>45495.708287037036</v>
      </c>
      <c r="C1881" s="2" t="s">
        <v>346</v>
      </c>
      <c r="D1881" s="2" t="s">
        <v>72</v>
      </c>
      <c r="E1881" s="2" t="s">
        <v>364</v>
      </c>
      <c r="F1881" s="2" t="s">
        <v>59</v>
      </c>
      <c r="G1881" s="3">
        <v>475000</v>
      </c>
      <c r="H1881" s="8">
        <v>68</v>
      </c>
      <c r="I1881" s="3">
        <v>0</v>
      </c>
      <c r="J1881" s="3">
        <v>0</v>
      </c>
    </row>
    <row r="1882" spans="1:10" x14ac:dyDescent="0.25">
      <c r="A1882" s="2">
        <v>1883</v>
      </c>
      <c r="B1882" s="18">
        <v>45495.708287037036</v>
      </c>
      <c r="C1882" s="2" t="s">
        <v>346</v>
      </c>
      <c r="D1882" s="2" t="s">
        <v>115</v>
      </c>
      <c r="E1882" s="2" t="s">
        <v>370</v>
      </c>
      <c r="F1882" s="2" t="s">
        <v>29</v>
      </c>
      <c r="G1882" s="3">
        <v>590000</v>
      </c>
      <c r="H1882" s="8">
        <v>6</v>
      </c>
      <c r="I1882" s="3">
        <v>2548800</v>
      </c>
      <c r="J1882" s="3">
        <v>2548800</v>
      </c>
    </row>
    <row r="1883" spans="1:10" x14ac:dyDescent="0.25">
      <c r="A1883" s="2">
        <v>1884</v>
      </c>
      <c r="B1883" s="18">
        <v>45495.708287037036</v>
      </c>
      <c r="C1883" s="2" t="s">
        <v>346</v>
      </c>
      <c r="D1883" s="2" t="s">
        <v>115</v>
      </c>
      <c r="E1883" s="2" t="s">
        <v>370</v>
      </c>
      <c r="F1883" s="2" t="s">
        <v>19</v>
      </c>
      <c r="G1883" s="3">
        <v>590000</v>
      </c>
      <c r="H1883" s="8">
        <v>3</v>
      </c>
      <c r="I1883" s="3">
        <v>1274400</v>
      </c>
      <c r="J1883" s="3">
        <v>1274400</v>
      </c>
    </row>
    <row r="1884" spans="1:10" x14ac:dyDescent="0.25">
      <c r="A1884" s="2">
        <v>1885</v>
      </c>
      <c r="B1884" s="18">
        <v>45495.708287037036</v>
      </c>
      <c r="C1884" s="2" t="s">
        <v>346</v>
      </c>
      <c r="D1884" s="2" t="s">
        <v>115</v>
      </c>
      <c r="E1884" s="2" t="s">
        <v>370</v>
      </c>
      <c r="F1884" s="2" t="s">
        <v>61</v>
      </c>
      <c r="G1884" s="3">
        <v>890000</v>
      </c>
      <c r="H1884" s="8">
        <v>3</v>
      </c>
      <c r="I1884" s="3">
        <v>1922400</v>
      </c>
      <c r="J1884" s="3">
        <v>1922400</v>
      </c>
    </row>
    <row r="1885" spans="1:10" x14ac:dyDescent="0.25">
      <c r="A1885" s="2">
        <v>1886</v>
      </c>
      <c r="B1885" s="18">
        <v>45495.708287037036</v>
      </c>
      <c r="C1885" s="2" t="s">
        <v>346</v>
      </c>
      <c r="D1885" s="2" t="s">
        <v>115</v>
      </c>
      <c r="E1885" s="2" t="s">
        <v>370</v>
      </c>
      <c r="F1885" s="2" t="s">
        <v>83</v>
      </c>
      <c r="G1885" s="3">
        <v>790000</v>
      </c>
      <c r="H1885" s="8">
        <v>3</v>
      </c>
      <c r="I1885" s="3">
        <v>1706400</v>
      </c>
      <c r="J1885" s="3">
        <v>1706400</v>
      </c>
    </row>
    <row r="1886" spans="1:10" x14ac:dyDescent="0.25">
      <c r="A1886" s="2">
        <v>1887</v>
      </c>
      <c r="B1886" s="18">
        <v>45495.708287037036</v>
      </c>
      <c r="C1886" s="2" t="s">
        <v>346</v>
      </c>
      <c r="D1886" s="2" t="s">
        <v>115</v>
      </c>
      <c r="E1886" s="2" t="s">
        <v>370</v>
      </c>
      <c r="F1886" s="2" t="s">
        <v>35</v>
      </c>
      <c r="G1886" s="3">
        <v>525000</v>
      </c>
      <c r="H1886" s="8">
        <v>3</v>
      </c>
      <c r="I1886" s="3">
        <v>1134000</v>
      </c>
      <c r="J1886" s="3">
        <v>1134000</v>
      </c>
    </row>
    <row r="1887" spans="1:10" x14ac:dyDescent="0.25">
      <c r="A1887" s="2">
        <v>1888</v>
      </c>
      <c r="B1887" s="18">
        <v>45495.708287037036</v>
      </c>
      <c r="C1887" s="2" t="s">
        <v>346</v>
      </c>
      <c r="D1887" s="2" t="s">
        <v>115</v>
      </c>
      <c r="E1887" s="2" t="s">
        <v>370</v>
      </c>
      <c r="F1887" s="2" t="s">
        <v>31</v>
      </c>
      <c r="G1887" s="3">
        <v>745000</v>
      </c>
      <c r="H1887" s="8">
        <v>3</v>
      </c>
      <c r="I1887" s="3">
        <v>1609200</v>
      </c>
      <c r="J1887" s="3">
        <v>1609200</v>
      </c>
    </row>
    <row r="1888" spans="1:10" x14ac:dyDescent="0.25">
      <c r="A1888" s="2">
        <v>1889</v>
      </c>
      <c r="B1888" s="18">
        <v>45495.708287037036</v>
      </c>
      <c r="C1888" s="2" t="s">
        <v>346</v>
      </c>
      <c r="D1888" s="2" t="s">
        <v>115</v>
      </c>
      <c r="E1888" s="2" t="s">
        <v>370</v>
      </c>
      <c r="F1888" s="2" t="s">
        <v>57</v>
      </c>
      <c r="G1888" s="3">
        <v>745000</v>
      </c>
      <c r="H1888" s="8">
        <v>3</v>
      </c>
      <c r="I1888" s="3">
        <v>1609200</v>
      </c>
      <c r="J1888" s="3">
        <v>1609200</v>
      </c>
    </row>
    <row r="1889" spans="1:10" x14ac:dyDescent="0.25">
      <c r="A1889" s="2">
        <v>1890</v>
      </c>
      <c r="B1889" s="18">
        <v>45496.708287037036</v>
      </c>
      <c r="C1889" s="2" t="s">
        <v>346</v>
      </c>
      <c r="D1889" s="2" t="s">
        <v>250</v>
      </c>
      <c r="E1889" s="2" t="s">
        <v>368</v>
      </c>
      <c r="F1889" s="2" t="s">
        <v>31</v>
      </c>
      <c r="G1889" s="3">
        <v>745000</v>
      </c>
      <c r="H1889" s="8">
        <v>1</v>
      </c>
      <c r="I1889" s="3">
        <v>355499.845</v>
      </c>
      <c r="J1889" s="3">
        <v>355499.845</v>
      </c>
    </row>
    <row r="1890" spans="1:10" x14ac:dyDescent="0.25">
      <c r="A1890" s="2">
        <v>1892</v>
      </c>
      <c r="B1890" s="18">
        <v>45497.708287037036</v>
      </c>
      <c r="C1890" s="2" t="s">
        <v>346</v>
      </c>
      <c r="D1890" s="2" t="s">
        <v>253</v>
      </c>
      <c r="E1890" s="2" t="s">
        <v>370</v>
      </c>
      <c r="F1890" s="2" t="s">
        <v>421</v>
      </c>
      <c r="G1890" s="3">
        <v>0</v>
      </c>
      <c r="H1890" s="8">
        <v>0</v>
      </c>
      <c r="I1890" s="3">
        <v>0</v>
      </c>
      <c r="J1890" s="3">
        <v>0</v>
      </c>
    </row>
    <row r="1891" spans="1:10" x14ac:dyDescent="0.25">
      <c r="A1891" s="2">
        <v>1893</v>
      </c>
      <c r="B1891" s="18">
        <v>45497.708287037036</v>
      </c>
      <c r="C1891" s="2" t="s">
        <v>346</v>
      </c>
      <c r="D1891" s="2" t="s">
        <v>50</v>
      </c>
      <c r="E1891" s="2" t="s">
        <v>363</v>
      </c>
      <c r="F1891" s="2" t="s">
        <v>19</v>
      </c>
      <c r="G1891" s="3">
        <v>590000</v>
      </c>
      <c r="H1891" s="8">
        <v>1</v>
      </c>
      <c r="I1891" s="3">
        <v>0</v>
      </c>
      <c r="J1891" s="3">
        <v>0</v>
      </c>
    </row>
    <row r="1892" spans="1:10" x14ac:dyDescent="0.25">
      <c r="A1892" s="2">
        <v>1894</v>
      </c>
      <c r="B1892" s="18">
        <v>45497.708287037036</v>
      </c>
      <c r="C1892" s="2" t="s">
        <v>346</v>
      </c>
      <c r="D1892" s="2" t="s">
        <v>50</v>
      </c>
      <c r="E1892" s="2" t="s">
        <v>363</v>
      </c>
      <c r="F1892" s="2" t="s">
        <v>63</v>
      </c>
      <c r="G1892" s="3">
        <v>550000</v>
      </c>
      <c r="H1892" s="8">
        <v>1</v>
      </c>
      <c r="I1892" s="3">
        <v>0</v>
      </c>
      <c r="J1892" s="3">
        <v>0</v>
      </c>
    </row>
    <row r="1893" spans="1:10" x14ac:dyDescent="0.25">
      <c r="A1893" s="2">
        <v>1895</v>
      </c>
      <c r="B1893" s="18">
        <v>45497.708287037036</v>
      </c>
      <c r="C1893" s="2" t="s">
        <v>346</v>
      </c>
      <c r="D1893" s="2" t="s">
        <v>66</v>
      </c>
      <c r="E1893" s="2" t="s">
        <v>365</v>
      </c>
      <c r="F1893" s="2" t="s">
        <v>19</v>
      </c>
      <c r="G1893" s="3">
        <v>590000</v>
      </c>
      <c r="H1893" s="8">
        <v>1</v>
      </c>
      <c r="I1893" s="3">
        <v>383500</v>
      </c>
      <c r="J1893" s="3">
        <v>383500</v>
      </c>
    </row>
    <row r="1894" spans="1:10" x14ac:dyDescent="0.25">
      <c r="A1894" s="2">
        <v>1896</v>
      </c>
      <c r="B1894" s="18">
        <v>45497.708287037036</v>
      </c>
      <c r="C1894" s="2" t="s">
        <v>346</v>
      </c>
      <c r="D1894" s="2" t="s">
        <v>66</v>
      </c>
      <c r="E1894" s="2" t="s">
        <v>365</v>
      </c>
      <c r="F1894" s="2" t="s">
        <v>83</v>
      </c>
      <c r="G1894" s="3">
        <v>790000</v>
      </c>
      <c r="H1894" s="8">
        <v>1</v>
      </c>
      <c r="I1894" s="3">
        <v>513500</v>
      </c>
      <c r="J1894" s="3">
        <v>513500</v>
      </c>
    </row>
    <row r="1895" spans="1:10" x14ac:dyDescent="0.25">
      <c r="A1895" s="2">
        <v>1897</v>
      </c>
      <c r="B1895" s="18">
        <v>45498.708287037036</v>
      </c>
      <c r="C1895" s="2" t="s">
        <v>346</v>
      </c>
      <c r="D1895" s="2" t="s">
        <v>16</v>
      </c>
      <c r="E1895" s="2" t="s">
        <v>365</v>
      </c>
      <c r="F1895" s="2" t="s">
        <v>85</v>
      </c>
      <c r="G1895" s="3">
        <v>480000</v>
      </c>
      <c r="H1895" s="8">
        <v>1</v>
      </c>
      <c r="I1895" s="3">
        <v>0</v>
      </c>
      <c r="J1895" s="3">
        <v>0</v>
      </c>
    </row>
    <row r="1896" spans="1:10" x14ac:dyDescent="0.25">
      <c r="A1896" s="2">
        <v>1898</v>
      </c>
      <c r="B1896" s="18">
        <v>45498.708287037036</v>
      </c>
      <c r="C1896" s="2" t="s">
        <v>346</v>
      </c>
      <c r="D1896" s="2" t="s">
        <v>16</v>
      </c>
      <c r="E1896" s="2" t="s">
        <v>365</v>
      </c>
      <c r="F1896" s="2" t="s">
        <v>33</v>
      </c>
      <c r="G1896" s="3">
        <v>485000</v>
      </c>
      <c r="H1896" s="8">
        <v>1</v>
      </c>
      <c r="I1896" s="3">
        <v>0</v>
      </c>
      <c r="J1896" s="3">
        <v>0</v>
      </c>
    </row>
    <row r="1897" spans="1:10" x14ac:dyDescent="0.25">
      <c r="A1897" s="2">
        <v>1899</v>
      </c>
      <c r="B1897" s="18">
        <v>45498.708287037036</v>
      </c>
      <c r="C1897" s="2" t="s">
        <v>346</v>
      </c>
      <c r="D1897" s="2" t="s">
        <v>16</v>
      </c>
      <c r="E1897" s="2" t="s">
        <v>365</v>
      </c>
      <c r="F1897" s="2" t="s">
        <v>59</v>
      </c>
      <c r="G1897" s="3">
        <v>475000</v>
      </c>
      <c r="H1897" s="8">
        <v>1</v>
      </c>
      <c r="I1897" s="3">
        <v>0</v>
      </c>
      <c r="J1897" s="3">
        <v>0</v>
      </c>
    </row>
    <row r="1898" spans="1:10" x14ac:dyDescent="0.25">
      <c r="A1898" s="2">
        <v>1900</v>
      </c>
      <c r="B1898" s="18">
        <v>45498.708287037036</v>
      </c>
      <c r="C1898" s="2" t="s">
        <v>346</v>
      </c>
      <c r="D1898" s="2" t="s">
        <v>16</v>
      </c>
      <c r="E1898" s="2" t="s">
        <v>365</v>
      </c>
      <c r="F1898" s="2" t="s">
        <v>23</v>
      </c>
      <c r="G1898" s="3">
        <v>775000</v>
      </c>
      <c r="H1898" s="8">
        <v>1</v>
      </c>
      <c r="I1898" s="3">
        <v>0</v>
      </c>
      <c r="J1898" s="3">
        <v>0</v>
      </c>
    </row>
    <row r="1899" spans="1:10" x14ac:dyDescent="0.25">
      <c r="A1899" s="2">
        <v>1901</v>
      </c>
      <c r="B1899" s="18">
        <v>45498.708287037036</v>
      </c>
      <c r="C1899" s="2" t="s">
        <v>346</v>
      </c>
      <c r="D1899" s="2" t="s">
        <v>16</v>
      </c>
      <c r="E1899" s="2" t="s">
        <v>365</v>
      </c>
      <c r="F1899" s="2" t="s">
        <v>89</v>
      </c>
      <c r="G1899" s="3">
        <v>390000</v>
      </c>
      <c r="H1899" s="8">
        <v>1</v>
      </c>
      <c r="I1899" s="3">
        <v>0</v>
      </c>
      <c r="J1899" s="3">
        <v>0</v>
      </c>
    </row>
    <row r="1900" spans="1:10" x14ac:dyDescent="0.25">
      <c r="A1900" s="2">
        <v>1902</v>
      </c>
      <c r="B1900" s="18">
        <v>45498.708287037036</v>
      </c>
      <c r="C1900" s="2" t="s">
        <v>346</v>
      </c>
      <c r="D1900" s="2" t="s">
        <v>262</v>
      </c>
      <c r="E1900" s="2" t="s">
        <v>364</v>
      </c>
      <c r="F1900" s="2" t="s">
        <v>59</v>
      </c>
      <c r="G1900" s="3">
        <v>475000</v>
      </c>
      <c r="H1900" s="8">
        <v>180</v>
      </c>
      <c r="I1900" s="3">
        <v>42750000</v>
      </c>
      <c r="J1900" s="3">
        <v>42750000</v>
      </c>
    </row>
    <row r="1901" spans="1:10" x14ac:dyDescent="0.25">
      <c r="A1901" s="2">
        <v>1903</v>
      </c>
      <c r="B1901" s="18">
        <v>45498.708287037036</v>
      </c>
      <c r="C1901" s="2" t="s">
        <v>346</v>
      </c>
      <c r="D1901" s="2" t="s">
        <v>262</v>
      </c>
      <c r="E1901" s="2" t="s">
        <v>364</v>
      </c>
      <c r="F1901" s="2" t="s">
        <v>33</v>
      </c>
      <c r="G1901" s="3">
        <v>485000</v>
      </c>
      <c r="H1901" s="8">
        <v>180</v>
      </c>
      <c r="I1901" s="3">
        <v>43650000</v>
      </c>
      <c r="J1901" s="3">
        <v>43650000</v>
      </c>
    </row>
    <row r="1902" spans="1:10" x14ac:dyDescent="0.25">
      <c r="A1902" s="2">
        <v>1904</v>
      </c>
      <c r="B1902" s="18">
        <v>45498.708287037036</v>
      </c>
      <c r="C1902" s="2" t="s">
        <v>346</v>
      </c>
      <c r="D1902" s="2" t="s">
        <v>262</v>
      </c>
      <c r="E1902" s="2" t="s">
        <v>364</v>
      </c>
      <c r="F1902" s="2" t="s">
        <v>89</v>
      </c>
      <c r="G1902" s="3">
        <v>390000</v>
      </c>
      <c r="H1902" s="8">
        <v>360</v>
      </c>
      <c r="I1902" s="3">
        <v>0</v>
      </c>
      <c r="J1902" s="3">
        <v>0</v>
      </c>
    </row>
    <row r="1903" spans="1:10" x14ac:dyDescent="0.25">
      <c r="A1903" s="2">
        <v>1905</v>
      </c>
      <c r="B1903" s="18">
        <v>45498.708287037036</v>
      </c>
      <c r="C1903" s="2" t="s">
        <v>346</v>
      </c>
      <c r="D1903" s="2" t="s">
        <v>283</v>
      </c>
      <c r="E1903" s="2" t="s">
        <v>369</v>
      </c>
      <c r="F1903" s="2" t="s">
        <v>29</v>
      </c>
      <c r="G1903" s="3">
        <v>590000</v>
      </c>
      <c r="H1903" s="8">
        <v>15</v>
      </c>
      <c r="I1903" s="3">
        <v>4425000</v>
      </c>
      <c r="J1903" s="3">
        <v>4425000</v>
      </c>
    </row>
    <row r="1904" spans="1:10" x14ac:dyDescent="0.25">
      <c r="A1904" s="2">
        <v>1906</v>
      </c>
      <c r="B1904" s="18">
        <v>45498.708287037036</v>
      </c>
      <c r="C1904" s="2" t="s">
        <v>346</v>
      </c>
      <c r="D1904" s="2" t="s">
        <v>283</v>
      </c>
      <c r="E1904" s="2" t="s">
        <v>369</v>
      </c>
      <c r="F1904" s="2" t="s">
        <v>23</v>
      </c>
      <c r="G1904" s="3">
        <v>775000</v>
      </c>
      <c r="H1904" s="8">
        <v>5</v>
      </c>
      <c r="I1904" s="3">
        <v>1937500</v>
      </c>
      <c r="J1904" s="3">
        <v>1937500</v>
      </c>
    </row>
    <row r="1905" spans="1:10" x14ac:dyDescent="0.25">
      <c r="A1905" s="2">
        <v>1907</v>
      </c>
      <c r="B1905" s="18">
        <v>45498.708287037036</v>
      </c>
      <c r="C1905" s="2" t="s">
        <v>346</v>
      </c>
      <c r="D1905" s="2" t="s">
        <v>283</v>
      </c>
      <c r="E1905" s="2" t="s">
        <v>369</v>
      </c>
      <c r="F1905" s="2" t="s">
        <v>85</v>
      </c>
      <c r="G1905" s="3">
        <v>480000</v>
      </c>
      <c r="H1905" s="8">
        <v>15</v>
      </c>
      <c r="I1905" s="3">
        <v>3600000</v>
      </c>
      <c r="J1905" s="3">
        <v>3600000</v>
      </c>
    </row>
    <row r="1906" spans="1:10" x14ac:dyDescent="0.25">
      <c r="A1906" s="2">
        <v>1908</v>
      </c>
      <c r="B1906" s="18">
        <v>45498.708287037036</v>
      </c>
      <c r="C1906" s="2" t="s">
        <v>346</v>
      </c>
      <c r="D1906" s="2" t="s">
        <v>283</v>
      </c>
      <c r="E1906" s="2" t="s">
        <v>369</v>
      </c>
      <c r="F1906" s="2" t="s">
        <v>33</v>
      </c>
      <c r="G1906" s="3">
        <v>485000</v>
      </c>
      <c r="H1906" s="8">
        <v>15</v>
      </c>
      <c r="I1906" s="3">
        <v>3637500</v>
      </c>
      <c r="J1906" s="3">
        <v>3637500</v>
      </c>
    </row>
    <row r="1907" spans="1:10" x14ac:dyDescent="0.25">
      <c r="A1907" s="2">
        <v>1909</v>
      </c>
      <c r="B1907" s="18">
        <v>45498.708287037036</v>
      </c>
      <c r="C1907" s="2" t="s">
        <v>346</v>
      </c>
      <c r="D1907" s="2" t="s">
        <v>283</v>
      </c>
      <c r="E1907" s="2" t="s">
        <v>369</v>
      </c>
      <c r="F1907" s="2" t="s">
        <v>59</v>
      </c>
      <c r="G1907" s="3">
        <v>475000</v>
      </c>
      <c r="H1907" s="8">
        <v>15</v>
      </c>
      <c r="I1907" s="3">
        <v>3562500</v>
      </c>
      <c r="J1907" s="3">
        <v>3562500</v>
      </c>
    </row>
    <row r="1908" spans="1:10" x14ac:dyDescent="0.25">
      <c r="A1908" s="2">
        <v>1910</v>
      </c>
      <c r="B1908" s="18">
        <v>45498.708287037036</v>
      </c>
      <c r="C1908" s="2" t="s">
        <v>346</v>
      </c>
      <c r="D1908" s="2" t="s">
        <v>283</v>
      </c>
      <c r="E1908" s="2" t="s">
        <v>369</v>
      </c>
      <c r="F1908" s="2" t="s">
        <v>89</v>
      </c>
      <c r="G1908" s="3">
        <v>390000</v>
      </c>
      <c r="H1908" s="8">
        <v>30</v>
      </c>
      <c r="I1908" s="3">
        <v>0</v>
      </c>
      <c r="J1908" s="3">
        <v>0</v>
      </c>
    </row>
    <row r="1909" spans="1:10" x14ac:dyDescent="0.25">
      <c r="A1909" s="2">
        <v>1911</v>
      </c>
      <c r="B1909" s="18">
        <v>45498.708287037036</v>
      </c>
      <c r="C1909" s="2" t="s">
        <v>346</v>
      </c>
      <c r="D1909" s="2" t="s">
        <v>283</v>
      </c>
      <c r="E1909" s="2" t="s">
        <v>369</v>
      </c>
      <c r="F1909" s="2" t="s">
        <v>49</v>
      </c>
      <c r="G1909" s="3">
        <v>200000</v>
      </c>
      <c r="H1909" s="8">
        <v>35</v>
      </c>
      <c r="I1909" s="3">
        <v>0</v>
      </c>
      <c r="J1909" s="3">
        <v>0</v>
      </c>
    </row>
    <row r="1910" spans="1:10" x14ac:dyDescent="0.25">
      <c r="A1910" s="2">
        <v>1912</v>
      </c>
      <c r="B1910" s="18">
        <v>45498.708287037036</v>
      </c>
      <c r="C1910" s="2" t="s">
        <v>346</v>
      </c>
      <c r="D1910" s="2" t="s">
        <v>284</v>
      </c>
      <c r="E1910" s="2" t="s">
        <v>369</v>
      </c>
      <c r="F1910" s="2" t="s">
        <v>63</v>
      </c>
      <c r="G1910" s="3">
        <v>550000</v>
      </c>
      <c r="H1910" s="8">
        <v>20</v>
      </c>
      <c r="I1910" s="3">
        <v>5500000</v>
      </c>
      <c r="J1910" s="3">
        <v>5500000</v>
      </c>
    </row>
    <row r="1911" spans="1:10" x14ac:dyDescent="0.25">
      <c r="A1911" s="2">
        <v>1913</v>
      </c>
      <c r="B1911" s="18">
        <v>45498.708287037036</v>
      </c>
      <c r="C1911" s="2" t="s">
        <v>346</v>
      </c>
      <c r="D1911" s="2" t="s">
        <v>284</v>
      </c>
      <c r="E1911" s="2" t="s">
        <v>369</v>
      </c>
      <c r="F1911" s="2" t="s">
        <v>89</v>
      </c>
      <c r="G1911" s="3">
        <v>390000</v>
      </c>
      <c r="H1911" s="8">
        <v>20</v>
      </c>
      <c r="I1911" s="3">
        <v>0</v>
      </c>
      <c r="J1911" s="3">
        <v>0</v>
      </c>
    </row>
    <row r="1912" spans="1:10" x14ac:dyDescent="0.25">
      <c r="A1912" s="2">
        <v>1914</v>
      </c>
      <c r="B1912" s="18">
        <v>45499.708287037036</v>
      </c>
      <c r="C1912" s="2" t="s">
        <v>346</v>
      </c>
      <c r="D1912" s="2" t="s">
        <v>125</v>
      </c>
      <c r="E1912" s="2" t="s">
        <v>367</v>
      </c>
      <c r="F1912" s="2" t="s">
        <v>57</v>
      </c>
      <c r="G1912" s="3">
        <v>745000</v>
      </c>
      <c r="H1912" s="8">
        <v>1</v>
      </c>
      <c r="I1912" s="3">
        <v>0</v>
      </c>
      <c r="J1912" s="3">
        <v>0</v>
      </c>
    </row>
    <row r="1913" spans="1:10" x14ac:dyDescent="0.25">
      <c r="A1913" s="2">
        <v>1915</v>
      </c>
      <c r="B1913" s="18">
        <v>45499.708287037036</v>
      </c>
      <c r="C1913" s="2" t="s">
        <v>346</v>
      </c>
      <c r="D1913" s="2" t="s">
        <v>125</v>
      </c>
      <c r="E1913" s="2" t="s">
        <v>367</v>
      </c>
      <c r="F1913" s="2" t="s">
        <v>31</v>
      </c>
      <c r="G1913" s="3">
        <v>745000</v>
      </c>
      <c r="H1913" s="8">
        <v>1</v>
      </c>
      <c r="I1913" s="3">
        <v>0</v>
      </c>
      <c r="J1913" s="3">
        <v>0</v>
      </c>
    </row>
    <row r="1914" spans="1:10" x14ac:dyDescent="0.25">
      <c r="A1914" s="2">
        <v>1916</v>
      </c>
      <c r="B1914" s="18">
        <v>45502.708287037036</v>
      </c>
      <c r="C1914" s="2" t="s">
        <v>346</v>
      </c>
      <c r="D1914" s="2" t="s">
        <v>303</v>
      </c>
      <c r="E1914" s="2" t="s">
        <v>366</v>
      </c>
      <c r="F1914" s="2" t="s">
        <v>31</v>
      </c>
      <c r="G1914" s="3">
        <v>745000</v>
      </c>
      <c r="H1914" s="8">
        <v>10</v>
      </c>
      <c r="I1914" s="3">
        <v>4470000</v>
      </c>
      <c r="J1914" s="3">
        <v>4470000</v>
      </c>
    </row>
    <row r="1915" spans="1:10" x14ac:dyDescent="0.25">
      <c r="A1915" s="2">
        <v>1917</v>
      </c>
      <c r="B1915" s="18">
        <v>45502.708287037036</v>
      </c>
      <c r="C1915" s="2" t="s">
        <v>346</v>
      </c>
      <c r="D1915" s="2" t="s">
        <v>117</v>
      </c>
      <c r="E1915" s="2" t="s">
        <v>370</v>
      </c>
      <c r="F1915" s="2" t="s">
        <v>19</v>
      </c>
      <c r="G1915" s="3">
        <v>590000</v>
      </c>
      <c r="H1915" s="8">
        <v>2</v>
      </c>
      <c r="I1915" s="3">
        <v>772363.1</v>
      </c>
      <c r="J1915" s="3">
        <v>849599.4099999999</v>
      </c>
    </row>
    <row r="1916" spans="1:10" x14ac:dyDescent="0.25">
      <c r="A1916" s="2">
        <v>1918</v>
      </c>
      <c r="B1916" s="18">
        <v>45502.708287037036</v>
      </c>
      <c r="C1916" s="2" t="s">
        <v>346</v>
      </c>
      <c r="D1916" s="2" t="s">
        <v>117</v>
      </c>
      <c r="E1916" s="2" t="s">
        <v>370</v>
      </c>
      <c r="F1916" s="2" t="s">
        <v>31</v>
      </c>
      <c r="G1916" s="3">
        <v>745000</v>
      </c>
      <c r="H1916" s="8">
        <v>2</v>
      </c>
      <c r="I1916" s="3">
        <v>975272.05</v>
      </c>
      <c r="J1916" s="3">
        <v>1072799.2550000001</v>
      </c>
    </row>
    <row r="1917" spans="1:10" x14ac:dyDescent="0.25">
      <c r="A1917" s="2">
        <v>1919</v>
      </c>
      <c r="B1917" s="18">
        <v>45502.708287037036</v>
      </c>
      <c r="C1917" s="2" t="s">
        <v>346</v>
      </c>
      <c r="D1917" s="2" t="s">
        <v>117</v>
      </c>
      <c r="E1917" s="2" t="s">
        <v>370</v>
      </c>
      <c r="F1917" s="2" t="s">
        <v>57</v>
      </c>
      <c r="G1917" s="3">
        <v>745000</v>
      </c>
      <c r="H1917" s="8">
        <v>2</v>
      </c>
      <c r="I1917" s="3">
        <v>975272.05</v>
      </c>
      <c r="J1917" s="3">
        <v>1072799.2550000001</v>
      </c>
    </row>
    <row r="1918" spans="1:10" x14ac:dyDescent="0.25">
      <c r="A1918" s="2">
        <v>1920</v>
      </c>
      <c r="B1918" s="18">
        <v>45502.708287037036</v>
      </c>
      <c r="C1918" s="2" t="s">
        <v>346</v>
      </c>
      <c r="D1918" s="2" t="s">
        <v>267</v>
      </c>
      <c r="E1918" s="2" t="s">
        <v>371</v>
      </c>
      <c r="F1918" s="2" t="s">
        <v>31</v>
      </c>
      <c r="G1918" s="3">
        <v>745000</v>
      </c>
      <c r="H1918" s="8">
        <v>53</v>
      </c>
      <c r="I1918" s="3">
        <v>17768249.999999996</v>
      </c>
      <c r="J1918" s="3">
        <v>17768249.999999996</v>
      </c>
    </row>
    <row r="1919" spans="1:10" x14ac:dyDescent="0.25">
      <c r="A1919" s="2">
        <v>1921</v>
      </c>
      <c r="B1919" s="18">
        <v>45502.708287037036</v>
      </c>
      <c r="C1919" s="2" t="s">
        <v>346</v>
      </c>
      <c r="D1919" s="2" t="s">
        <v>267</v>
      </c>
      <c r="E1919" s="2" t="s">
        <v>371</v>
      </c>
      <c r="F1919" s="2" t="s">
        <v>19</v>
      </c>
      <c r="G1919" s="3">
        <v>590000</v>
      </c>
      <c r="H1919" s="8">
        <v>6</v>
      </c>
      <c r="I1919" s="3">
        <v>1593000</v>
      </c>
      <c r="J1919" s="3">
        <v>1593000</v>
      </c>
    </row>
    <row r="1920" spans="1:10" x14ac:dyDescent="0.25">
      <c r="A1920" s="2">
        <v>1922</v>
      </c>
      <c r="B1920" s="18">
        <v>45502.708287037036</v>
      </c>
      <c r="C1920" s="2" t="s">
        <v>346</v>
      </c>
      <c r="D1920" s="2" t="s">
        <v>267</v>
      </c>
      <c r="E1920" s="2" t="s">
        <v>371</v>
      </c>
      <c r="F1920" s="2" t="s">
        <v>27</v>
      </c>
      <c r="G1920" s="3">
        <v>935000</v>
      </c>
      <c r="H1920" s="8">
        <v>26</v>
      </c>
      <c r="I1920" s="3">
        <v>10939499.999999998</v>
      </c>
      <c r="J1920" s="3">
        <v>10939499.999999998</v>
      </c>
    </row>
    <row r="1921" spans="1:10" x14ac:dyDescent="0.25">
      <c r="A1921" s="2">
        <v>1923</v>
      </c>
      <c r="B1921" s="18">
        <v>45502.708287037036</v>
      </c>
      <c r="C1921" s="2" t="s">
        <v>346</v>
      </c>
      <c r="D1921" s="2" t="s">
        <v>268</v>
      </c>
      <c r="E1921" s="2" t="s">
        <v>371</v>
      </c>
      <c r="F1921" s="2" t="s">
        <v>31</v>
      </c>
      <c r="G1921" s="3">
        <v>745000</v>
      </c>
      <c r="H1921" s="8">
        <v>12</v>
      </c>
      <c r="I1921" s="3">
        <v>4022999.999999999</v>
      </c>
      <c r="J1921" s="3">
        <v>4022999.999999999</v>
      </c>
    </row>
    <row r="1922" spans="1:10" x14ac:dyDescent="0.25">
      <c r="A1922" s="2">
        <v>1924</v>
      </c>
      <c r="B1922" s="18">
        <v>45502.708287037036</v>
      </c>
      <c r="C1922" s="2" t="s">
        <v>346</v>
      </c>
      <c r="D1922" s="2" t="s">
        <v>268</v>
      </c>
      <c r="E1922" s="2" t="s">
        <v>371</v>
      </c>
      <c r="F1922" s="2" t="s">
        <v>19</v>
      </c>
      <c r="G1922" s="3">
        <v>590000</v>
      </c>
      <c r="H1922" s="8">
        <v>9</v>
      </c>
      <c r="I1922" s="3">
        <v>2389500</v>
      </c>
      <c r="J1922" s="3">
        <v>2389500</v>
      </c>
    </row>
    <row r="1923" spans="1:10" x14ac:dyDescent="0.25">
      <c r="A1923" s="2">
        <v>1925</v>
      </c>
      <c r="B1923" s="18">
        <v>45502.708287037036</v>
      </c>
      <c r="C1923" s="2" t="s">
        <v>346</v>
      </c>
      <c r="D1923" s="2" t="s">
        <v>268</v>
      </c>
      <c r="E1923" s="2" t="s">
        <v>371</v>
      </c>
      <c r="F1923" s="2" t="s">
        <v>27</v>
      </c>
      <c r="G1923" s="3">
        <v>935000</v>
      </c>
      <c r="H1923" s="8">
        <v>12</v>
      </c>
      <c r="I1923" s="3">
        <v>5048999.999999999</v>
      </c>
      <c r="J1923" s="3">
        <v>5048999.999999999</v>
      </c>
    </row>
    <row r="1924" spans="1:10" x14ac:dyDescent="0.25">
      <c r="A1924" s="2">
        <v>1926</v>
      </c>
      <c r="B1924" s="18">
        <v>45503.708287037036</v>
      </c>
      <c r="C1924" s="2" t="s">
        <v>346</v>
      </c>
      <c r="D1924" s="2" t="s">
        <v>311</v>
      </c>
      <c r="E1924" s="2" t="s">
        <v>369</v>
      </c>
      <c r="F1924" s="2" t="s">
        <v>27</v>
      </c>
      <c r="G1924" s="3">
        <v>935000</v>
      </c>
      <c r="H1924" s="8">
        <v>8</v>
      </c>
      <c r="I1924" s="3">
        <v>5610000</v>
      </c>
      <c r="J1924" s="3">
        <v>5610000</v>
      </c>
    </row>
    <row r="1925" spans="1:10" x14ac:dyDescent="0.25">
      <c r="A1925" s="2">
        <v>1927</v>
      </c>
      <c r="B1925" s="18">
        <v>45503.708287037036</v>
      </c>
      <c r="C1925" s="2" t="s">
        <v>346</v>
      </c>
      <c r="D1925" s="2" t="s">
        <v>311</v>
      </c>
      <c r="E1925" s="2" t="s">
        <v>369</v>
      </c>
      <c r="F1925" s="2" t="s">
        <v>27</v>
      </c>
      <c r="G1925" s="3">
        <v>935000</v>
      </c>
      <c r="H1925" s="8">
        <v>1</v>
      </c>
      <c r="I1925" s="3">
        <v>0</v>
      </c>
      <c r="J1925" s="3">
        <v>0</v>
      </c>
    </row>
    <row r="1926" spans="1:10" x14ac:dyDescent="0.25">
      <c r="A1926" s="2">
        <v>1928</v>
      </c>
      <c r="B1926" s="18">
        <v>45503.708287037036</v>
      </c>
      <c r="C1926" s="2" t="s">
        <v>346</v>
      </c>
      <c r="D1926" s="2" t="s">
        <v>311</v>
      </c>
      <c r="E1926" s="2" t="s">
        <v>369</v>
      </c>
      <c r="F1926" s="2" t="s">
        <v>85</v>
      </c>
      <c r="G1926" s="3">
        <v>480000</v>
      </c>
      <c r="H1926" s="8">
        <v>8</v>
      </c>
      <c r="I1926" s="3">
        <v>2880000</v>
      </c>
      <c r="J1926" s="3">
        <v>2880000</v>
      </c>
    </row>
    <row r="1927" spans="1:10" x14ac:dyDescent="0.25">
      <c r="A1927" s="2">
        <v>1929</v>
      </c>
      <c r="B1927" s="18">
        <v>45503.708287037036</v>
      </c>
      <c r="C1927" s="2" t="s">
        <v>346</v>
      </c>
      <c r="D1927" s="2" t="s">
        <v>311</v>
      </c>
      <c r="E1927" s="2" t="s">
        <v>369</v>
      </c>
      <c r="F1927" s="2" t="s">
        <v>85</v>
      </c>
      <c r="G1927" s="3">
        <v>480000</v>
      </c>
      <c r="H1927" s="8">
        <v>1</v>
      </c>
      <c r="I1927" s="3">
        <v>0</v>
      </c>
      <c r="J1927" s="3">
        <v>0</v>
      </c>
    </row>
    <row r="1928" spans="1:10" x14ac:dyDescent="0.25">
      <c r="A1928" s="2">
        <v>1930</v>
      </c>
      <c r="B1928" s="18">
        <v>45503.708287037036</v>
      </c>
      <c r="C1928" s="2" t="s">
        <v>346</v>
      </c>
      <c r="D1928" s="2" t="s">
        <v>311</v>
      </c>
      <c r="E1928" s="2" t="s">
        <v>369</v>
      </c>
      <c r="F1928" s="2" t="s">
        <v>89</v>
      </c>
      <c r="G1928" s="3">
        <v>390000</v>
      </c>
      <c r="H1928" s="8">
        <v>11</v>
      </c>
      <c r="I1928" s="3">
        <v>0</v>
      </c>
      <c r="J1928" s="3">
        <v>0</v>
      </c>
    </row>
    <row r="1929" spans="1:10" x14ac:dyDescent="0.25">
      <c r="A1929" s="2">
        <v>1931</v>
      </c>
      <c r="B1929" s="18">
        <v>45503.708287037036</v>
      </c>
      <c r="C1929" s="2" t="s">
        <v>346</v>
      </c>
      <c r="D1929" s="2" t="s">
        <v>311</v>
      </c>
      <c r="E1929" s="2" t="s">
        <v>369</v>
      </c>
      <c r="F1929" s="2" t="s">
        <v>47</v>
      </c>
      <c r="G1929" s="3">
        <v>200000</v>
      </c>
      <c r="H1929" s="8">
        <v>5</v>
      </c>
      <c r="I1929" s="3">
        <v>0</v>
      </c>
      <c r="J1929" s="3">
        <v>0</v>
      </c>
    </row>
    <row r="1930" spans="1:10" x14ac:dyDescent="0.25">
      <c r="A1930" s="2">
        <v>1932</v>
      </c>
      <c r="B1930" s="18">
        <v>45503.708287037036</v>
      </c>
      <c r="C1930" s="2" t="s">
        <v>346</v>
      </c>
      <c r="D1930" s="2" t="s">
        <v>250</v>
      </c>
      <c r="E1930" s="2" t="s">
        <v>368</v>
      </c>
      <c r="F1930" s="2" t="s">
        <v>83</v>
      </c>
      <c r="G1930" s="3">
        <v>790000</v>
      </c>
      <c r="H1930" s="8">
        <v>10</v>
      </c>
      <c r="I1930" s="3">
        <v>3554999.9999999995</v>
      </c>
      <c r="J1930" s="3">
        <v>3554999.9999999995</v>
      </c>
    </row>
    <row r="1931" spans="1:10" x14ac:dyDescent="0.25">
      <c r="A1931" s="2">
        <v>1933</v>
      </c>
      <c r="B1931" s="18">
        <v>45503.708287037036</v>
      </c>
      <c r="C1931" s="2" t="s">
        <v>346</v>
      </c>
      <c r="D1931" s="2" t="s">
        <v>16</v>
      </c>
      <c r="E1931" s="2" t="s">
        <v>365</v>
      </c>
      <c r="F1931" s="2" t="s">
        <v>29</v>
      </c>
      <c r="G1931" s="3">
        <v>590000</v>
      </c>
      <c r="H1931" s="8">
        <v>1</v>
      </c>
      <c r="I1931" s="3">
        <v>0</v>
      </c>
      <c r="J1931" s="3">
        <v>0</v>
      </c>
    </row>
    <row r="1932" spans="1:10" x14ac:dyDescent="0.25">
      <c r="A1932" s="2">
        <v>1934</v>
      </c>
      <c r="B1932" s="18">
        <v>45503.708287037036</v>
      </c>
      <c r="C1932" s="2" t="s">
        <v>346</v>
      </c>
      <c r="D1932" s="2" t="s">
        <v>16</v>
      </c>
      <c r="E1932" s="2" t="s">
        <v>365</v>
      </c>
      <c r="F1932" s="2" t="s">
        <v>63</v>
      </c>
      <c r="G1932" s="3">
        <v>550000</v>
      </c>
      <c r="H1932" s="8">
        <v>1</v>
      </c>
      <c r="I1932" s="3">
        <v>0</v>
      </c>
      <c r="J1932" s="3">
        <v>0</v>
      </c>
    </row>
    <row r="1933" spans="1:10" x14ac:dyDescent="0.25">
      <c r="A1933" s="2">
        <v>1935</v>
      </c>
      <c r="B1933" s="18">
        <v>45503.708287037036</v>
      </c>
      <c r="C1933" s="2" t="s">
        <v>346</v>
      </c>
      <c r="D1933" s="2" t="s">
        <v>60</v>
      </c>
      <c r="E1933" s="2" t="s">
        <v>363</v>
      </c>
      <c r="F1933" s="2" t="s">
        <v>63</v>
      </c>
      <c r="G1933" s="3">
        <v>550000</v>
      </c>
      <c r="H1933" s="8">
        <v>1</v>
      </c>
      <c r="I1933" s="3">
        <v>0</v>
      </c>
      <c r="J1933" s="3">
        <v>0</v>
      </c>
    </row>
    <row r="1934" spans="1:10" x14ac:dyDescent="0.25">
      <c r="A1934" s="2">
        <v>1936</v>
      </c>
      <c r="B1934" s="18">
        <v>45503.708287037036</v>
      </c>
      <c r="C1934" s="2" t="s">
        <v>346</v>
      </c>
      <c r="D1934" s="2" t="s">
        <v>60</v>
      </c>
      <c r="E1934" s="2" t="s">
        <v>363</v>
      </c>
      <c r="F1934" s="2" t="s">
        <v>29</v>
      </c>
      <c r="G1934" s="3">
        <v>590000</v>
      </c>
      <c r="H1934" s="8">
        <v>1</v>
      </c>
      <c r="I1934" s="3">
        <v>0</v>
      </c>
      <c r="J1934" s="3">
        <v>0</v>
      </c>
    </row>
    <row r="1935" spans="1:10" x14ac:dyDescent="0.25">
      <c r="A1935" s="2">
        <v>1937</v>
      </c>
      <c r="B1935" s="18">
        <v>45503.708287037036</v>
      </c>
      <c r="C1935" s="2" t="s">
        <v>346</v>
      </c>
      <c r="D1935" s="2" t="s">
        <v>60</v>
      </c>
      <c r="E1935" s="2" t="s">
        <v>363</v>
      </c>
      <c r="F1935" s="2" t="s">
        <v>35</v>
      </c>
      <c r="G1935" s="3">
        <v>525000</v>
      </c>
      <c r="H1935" s="8">
        <v>1</v>
      </c>
      <c r="I1935" s="3">
        <v>0</v>
      </c>
      <c r="J1935" s="3">
        <v>0</v>
      </c>
    </row>
    <row r="1936" spans="1:10" x14ac:dyDescent="0.25">
      <c r="A1936" s="2">
        <v>1938</v>
      </c>
      <c r="B1936" s="18">
        <v>45503.708287037036</v>
      </c>
      <c r="C1936" s="2" t="s">
        <v>346</v>
      </c>
      <c r="D1936" s="2" t="s">
        <v>60</v>
      </c>
      <c r="E1936" s="2" t="s">
        <v>363</v>
      </c>
      <c r="F1936" s="2" t="s">
        <v>59</v>
      </c>
      <c r="G1936" s="3">
        <v>475000</v>
      </c>
      <c r="H1936" s="8">
        <v>1</v>
      </c>
      <c r="I1936" s="3">
        <v>0</v>
      </c>
      <c r="J1936" s="3">
        <v>0</v>
      </c>
    </row>
    <row r="1937" spans="1:10" x14ac:dyDescent="0.25">
      <c r="A1937" s="2">
        <v>1939</v>
      </c>
      <c r="B1937" s="18">
        <v>45503.708287037036</v>
      </c>
      <c r="C1937" s="2" t="s">
        <v>346</v>
      </c>
      <c r="D1937" s="2" t="s">
        <v>60</v>
      </c>
      <c r="E1937" s="2" t="s">
        <v>363</v>
      </c>
      <c r="F1937" s="2" t="s">
        <v>33</v>
      </c>
      <c r="G1937" s="3">
        <v>485000</v>
      </c>
      <c r="H1937" s="8">
        <v>1</v>
      </c>
      <c r="I1937" s="3">
        <v>0</v>
      </c>
      <c r="J1937" s="3">
        <v>0</v>
      </c>
    </row>
    <row r="1938" spans="1:10" x14ac:dyDescent="0.25">
      <c r="A1938" s="2">
        <v>1940</v>
      </c>
      <c r="B1938" s="18">
        <v>45503.708287037036</v>
      </c>
      <c r="C1938" s="2" t="s">
        <v>346</v>
      </c>
      <c r="D1938" s="2" t="s">
        <v>60</v>
      </c>
      <c r="E1938" s="2" t="s">
        <v>363</v>
      </c>
      <c r="F1938" s="2" t="s">
        <v>19</v>
      </c>
      <c r="G1938" s="3">
        <v>590000</v>
      </c>
      <c r="H1938" s="8">
        <v>1</v>
      </c>
      <c r="I1938" s="3">
        <v>0</v>
      </c>
      <c r="J1938" s="3">
        <v>0</v>
      </c>
    </row>
    <row r="1939" spans="1:10" x14ac:dyDescent="0.25">
      <c r="A1939" s="2">
        <v>1941</v>
      </c>
      <c r="B1939" s="18">
        <v>45503.708287037036</v>
      </c>
      <c r="C1939" s="2" t="s">
        <v>346</v>
      </c>
      <c r="D1939" s="2" t="s">
        <v>60</v>
      </c>
      <c r="E1939" s="2" t="s">
        <v>363</v>
      </c>
      <c r="F1939" s="2" t="s">
        <v>85</v>
      </c>
      <c r="G1939" s="3">
        <v>480000</v>
      </c>
      <c r="H1939" s="8">
        <v>1</v>
      </c>
      <c r="I1939" s="3">
        <v>0</v>
      </c>
      <c r="J1939" s="3">
        <v>0</v>
      </c>
    </row>
    <row r="1940" spans="1:10" x14ac:dyDescent="0.25">
      <c r="A1940" s="2">
        <v>1942</v>
      </c>
      <c r="B1940" s="18">
        <v>45503.708287037036</v>
      </c>
      <c r="C1940" s="2" t="s">
        <v>346</v>
      </c>
      <c r="D1940" s="2" t="s">
        <v>60</v>
      </c>
      <c r="E1940" s="2" t="s">
        <v>363</v>
      </c>
      <c r="F1940" s="2" t="s">
        <v>89</v>
      </c>
      <c r="G1940" s="3">
        <v>390000</v>
      </c>
      <c r="H1940" s="8">
        <v>1</v>
      </c>
      <c r="I1940" s="3">
        <v>0</v>
      </c>
      <c r="J1940" s="3">
        <v>0</v>
      </c>
    </row>
    <row r="1941" spans="1:10" x14ac:dyDescent="0.25">
      <c r="A1941" s="2">
        <v>1943</v>
      </c>
      <c r="B1941" s="18">
        <v>45503.708287037036</v>
      </c>
      <c r="C1941" s="2" t="s">
        <v>346</v>
      </c>
      <c r="D1941" s="2" t="s">
        <v>253</v>
      </c>
      <c r="E1941" s="2" t="s">
        <v>370</v>
      </c>
      <c r="F1941" s="2" t="s">
        <v>61</v>
      </c>
      <c r="G1941" s="3">
        <v>890000</v>
      </c>
      <c r="H1941" s="8">
        <v>1</v>
      </c>
      <c r="I1941" s="3">
        <v>640800</v>
      </c>
      <c r="J1941" s="3">
        <v>640800</v>
      </c>
    </row>
    <row r="1942" spans="1:10" x14ac:dyDescent="0.25">
      <c r="A1942" s="2">
        <v>1944</v>
      </c>
      <c r="B1942" s="18">
        <v>45503.708287037036</v>
      </c>
      <c r="C1942" s="2" t="s">
        <v>346</v>
      </c>
      <c r="D1942" s="2" t="s">
        <v>253</v>
      </c>
      <c r="E1942" s="2" t="s">
        <v>370</v>
      </c>
      <c r="F1942" s="2" t="s">
        <v>83</v>
      </c>
      <c r="G1942" s="3">
        <v>790000</v>
      </c>
      <c r="H1942" s="8">
        <v>1</v>
      </c>
      <c r="I1942" s="3">
        <v>568800</v>
      </c>
      <c r="J1942" s="3">
        <v>568800</v>
      </c>
    </row>
    <row r="1943" spans="1:10" x14ac:dyDescent="0.25">
      <c r="A1943" s="2">
        <v>1945</v>
      </c>
      <c r="B1943" s="18">
        <v>45503.708287037036</v>
      </c>
      <c r="C1943" s="2" t="s">
        <v>346</v>
      </c>
      <c r="D1943" s="2" t="s">
        <v>253</v>
      </c>
      <c r="E1943" s="2" t="s">
        <v>370</v>
      </c>
      <c r="F1943" s="2" t="s">
        <v>57</v>
      </c>
      <c r="G1943" s="3">
        <v>745000</v>
      </c>
      <c r="H1943" s="8">
        <v>3</v>
      </c>
      <c r="I1943" s="3">
        <v>1609200</v>
      </c>
      <c r="J1943" s="3">
        <v>1609200</v>
      </c>
    </row>
    <row r="1944" spans="1:10" x14ac:dyDescent="0.25">
      <c r="A1944" s="2">
        <v>1946</v>
      </c>
      <c r="B1944" s="18">
        <v>45503.708287037036</v>
      </c>
      <c r="C1944" s="2" t="s">
        <v>346</v>
      </c>
      <c r="D1944" s="2" t="s">
        <v>253</v>
      </c>
      <c r="E1944" s="2" t="s">
        <v>370</v>
      </c>
      <c r="F1944" s="2" t="s">
        <v>31</v>
      </c>
      <c r="G1944" s="3">
        <v>745000</v>
      </c>
      <c r="H1944" s="8">
        <v>1</v>
      </c>
      <c r="I1944" s="3">
        <v>536400</v>
      </c>
      <c r="J1944" s="3">
        <v>536400</v>
      </c>
    </row>
    <row r="1945" spans="1:10" x14ac:dyDescent="0.25">
      <c r="A1945" s="2">
        <v>1947</v>
      </c>
      <c r="B1945" s="18">
        <v>45503.708287037036</v>
      </c>
      <c r="C1945" s="2" t="s">
        <v>346</v>
      </c>
      <c r="D1945" s="2" t="s">
        <v>253</v>
      </c>
      <c r="E1945" s="2" t="s">
        <v>370</v>
      </c>
      <c r="F1945" s="2" t="s">
        <v>19</v>
      </c>
      <c r="G1945" s="3">
        <v>590000</v>
      </c>
      <c r="H1945" s="8">
        <v>5</v>
      </c>
      <c r="I1945" s="3">
        <v>2124000</v>
      </c>
      <c r="J1945" s="3">
        <v>2124000</v>
      </c>
    </row>
    <row r="1946" spans="1:10" x14ac:dyDescent="0.25">
      <c r="A1946" s="2">
        <v>1948</v>
      </c>
      <c r="B1946" s="18">
        <v>45503.708287037036</v>
      </c>
      <c r="C1946" s="2" t="s">
        <v>346</v>
      </c>
      <c r="D1946" s="2" t="s">
        <v>253</v>
      </c>
      <c r="E1946" s="2" t="s">
        <v>370</v>
      </c>
      <c r="F1946" s="2" t="s">
        <v>27</v>
      </c>
      <c r="G1946" s="3">
        <v>935000</v>
      </c>
      <c r="H1946" s="8">
        <v>7</v>
      </c>
      <c r="I1946" s="3">
        <v>4712400</v>
      </c>
      <c r="J1946" s="3">
        <v>4712400</v>
      </c>
    </row>
    <row r="1947" spans="1:10" x14ac:dyDescent="0.25">
      <c r="A1947" s="2">
        <v>1949</v>
      </c>
      <c r="B1947" s="18">
        <v>45503.708287037036</v>
      </c>
      <c r="C1947" s="2" t="s">
        <v>346</v>
      </c>
      <c r="D1947" s="2" t="s">
        <v>253</v>
      </c>
      <c r="E1947" s="2" t="s">
        <v>370</v>
      </c>
      <c r="F1947" s="2" t="s">
        <v>61</v>
      </c>
      <c r="G1947" s="3">
        <v>890000</v>
      </c>
      <c r="H1947" s="8">
        <v>4</v>
      </c>
      <c r="I1947" s="3">
        <v>2563200</v>
      </c>
      <c r="J1947" s="3">
        <v>2563200</v>
      </c>
    </row>
    <row r="1948" spans="1:10" x14ac:dyDescent="0.25">
      <c r="A1948" s="2">
        <v>1950</v>
      </c>
      <c r="B1948" s="18">
        <v>45503.708287037036</v>
      </c>
      <c r="C1948" s="2" t="s">
        <v>346</v>
      </c>
      <c r="D1948" s="2" t="s">
        <v>253</v>
      </c>
      <c r="E1948" s="2" t="s">
        <v>370</v>
      </c>
      <c r="F1948" s="2" t="s">
        <v>83</v>
      </c>
      <c r="G1948" s="3">
        <v>790000</v>
      </c>
      <c r="H1948" s="8">
        <v>4</v>
      </c>
      <c r="I1948" s="3">
        <v>2275200</v>
      </c>
      <c r="J1948" s="3">
        <v>2275200</v>
      </c>
    </row>
    <row r="1949" spans="1:10" x14ac:dyDescent="0.25">
      <c r="A1949" s="2">
        <v>1951</v>
      </c>
      <c r="B1949" s="18">
        <v>45503.708287037036</v>
      </c>
      <c r="C1949" s="2" t="s">
        <v>346</v>
      </c>
      <c r="D1949" s="2" t="s">
        <v>253</v>
      </c>
      <c r="E1949" s="2" t="s">
        <v>370</v>
      </c>
      <c r="F1949" s="2" t="s">
        <v>57</v>
      </c>
      <c r="G1949" s="3">
        <v>745000</v>
      </c>
      <c r="H1949" s="8">
        <v>3</v>
      </c>
      <c r="I1949" s="3">
        <v>1609200</v>
      </c>
      <c r="J1949" s="3">
        <v>1609200</v>
      </c>
    </row>
    <row r="1950" spans="1:10" x14ac:dyDescent="0.25">
      <c r="A1950" s="2">
        <v>1952</v>
      </c>
      <c r="B1950" s="18">
        <v>45503.708287037036</v>
      </c>
      <c r="C1950" s="2" t="s">
        <v>346</v>
      </c>
      <c r="D1950" s="2" t="s">
        <v>253</v>
      </c>
      <c r="E1950" s="2" t="s">
        <v>370</v>
      </c>
      <c r="F1950" s="2" t="s">
        <v>19</v>
      </c>
      <c r="G1950" s="3">
        <v>590000</v>
      </c>
      <c r="H1950" s="8">
        <v>15</v>
      </c>
      <c r="I1950" s="3">
        <v>6372000</v>
      </c>
      <c r="J1950" s="3">
        <v>6372000</v>
      </c>
    </row>
    <row r="1951" spans="1:10" x14ac:dyDescent="0.25">
      <c r="A1951" s="2">
        <v>1953</v>
      </c>
      <c r="B1951" s="18">
        <v>45503.708287037036</v>
      </c>
      <c r="C1951" s="2" t="s">
        <v>346</v>
      </c>
      <c r="D1951" s="2" t="s">
        <v>253</v>
      </c>
      <c r="E1951" s="2" t="s">
        <v>370</v>
      </c>
      <c r="F1951" s="2" t="s">
        <v>35</v>
      </c>
      <c r="G1951" s="3">
        <v>525000</v>
      </c>
      <c r="H1951" s="8">
        <v>3</v>
      </c>
      <c r="I1951" s="3">
        <v>1134000</v>
      </c>
      <c r="J1951" s="3">
        <v>1134000</v>
      </c>
    </row>
    <row r="1952" spans="1:10" x14ac:dyDescent="0.25">
      <c r="A1952" s="2">
        <v>1954</v>
      </c>
      <c r="B1952" s="18">
        <v>45503.708287037036</v>
      </c>
      <c r="C1952" s="2" t="s">
        <v>346</v>
      </c>
      <c r="D1952" s="2" t="s">
        <v>253</v>
      </c>
      <c r="E1952" s="2" t="s">
        <v>370</v>
      </c>
      <c r="F1952" s="2" t="s">
        <v>31</v>
      </c>
      <c r="G1952" s="3">
        <v>745000</v>
      </c>
      <c r="H1952" s="8">
        <v>3</v>
      </c>
      <c r="I1952" s="3">
        <v>1609200</v>
      </c>
      <c r="J1952" s="3">
        <v>1609200</v>
      </c>
    </row>
    <row r="1953" spans="1:10" x14ac:dyDescent="0.25">
      <c r="A1953" s="2">
        <v>1955</v>
      </c>
      <c r="B1953" s="18">
        <v>45503.708287037036</v>
      </c>
      <c r="C1953" s="2" t="s">
        <v>346</v>
      </c>
      <c r="D1953" s="2" t="s">
        <v>74</v>
      </c>
      <c r="E1953" s="2" t="s">
        <v>369</v>
      </c>
      <c r="F1953" s="2" t="s">
        <v>85</v>
      </c>
      <c r="G1953" s="3">
        <v>480000</v>
      </c>
      <c r="H1953" s="8">
        <v>8</v>
      </c>
      <c r="I1953" s="3">
        <v>1920000</v>
      </c>
      <c r="J1953" s="3">
        <v>1920000</v>
      </c>
    </row>
    <row r="1954" spans="1:10" x14ac:dyDescent="0.25">
      <c r="A1954" s="2">
        <v>1956</v>
      </c>
      <c r="B1954" s="18">
        <v>45503.708287037036</v>
      </c>
      <c r="C1954" s="2" t="s">
        <v>346</v>
      </c>
      <c r="D1954" s="2" t="s">
        <v>74</v>
      </c>
      <c r="E1954" s="2" t="s">
        <v>369</v>
      </c>
      <c r="F1954" s="2" t="s">
        <v>29</v>
      </c>
      <c r="G1954" s="3">
        <v>590000</v>
      </c>
      <c r="H1954" s="8">
        <v>2</v>
      </c>
      <c r="I1954" s="3">
        <v>590000</v>
      </c>
      <c r="J1954" s="3">
        <v>590000</v>
      </c>
    </row>
    <row r="1955" spans="1:10" x14ac:dyDescent="0.25">
      <c r="A1955" s="2">
        <v>1957</v>
      </c>
      <c r="B1955" s="18">
        <v>45503.708287037036</v>
      </c>
      <c r="C1955" s="2" t="s">
        <v>346</v>
      </c>
      <c r="D1955" s="2" t="s">
        <v>74</v>
      </c>
      <c r="E1955" s="2" t="s">
        <v>369</v>
      </c>
      <c r="F1955" s="2" t="s">
        <v>19</v>
      </c>
      <c r="G1955" s="3">
        <v>590000</v>
      </c>
      <c r="H1955" s="8">
        <v>1</v>
      </c>
      <c r="I1955" s="3">
        <v>295000</v>
      </c>
      <c r="J1955" s="3">
        <v>295000</v>
      </c>
    </row>
    <row r="1956" spans="1:10" x14ac:dyDescent="0.25">
      <c r="A1956" s="2">
        <v>1958</v>
      </c>
      <c r="B1956" s="18">
        <v>45503.708287037036</v>
      </c>
      <c r="C1956" s="2" t="s">
        <v>346</v>
      </c>
      <c r="D1956" s="2" t="s">
        <v>74</v>
      </c>
      <c r="E1956" s="2" t="s">
        <v>369</v>
      </c>
      <c r="F1956" s="2" t="s">
        <v>33</v>
      </c>
      <c r="G1956" s="3">
        <v>485000</v>
      </c>
      <c r="H1956" s="8">
        <v>1</v>
      </c>
      <c r="I1956" s="3">
        <v>242500</v>
      </c>
      <c r="J1956" s="3">
        <v>242500</v>
      </c>
    </row>
    <row r="1957" spans="1:10" x14ac:dyDescent="0.25">
      <c r="A1957" s="2">
        <v>1959</v>
      </c>
      <c r="B1957" s="18">
        <v>45503.708287037036</v>
      </c>
      <c r="C1957" s="2" t="s">
        <v>346</v>
      </c>
      <c r="D1957" s="2" t="s">
        <v>74</v>
      </c>
      <c r="E1957" s="2" t="s">
        <v>369</v>
      </c>
      <c r="F1957" s="2" t="s">
        <v>89</v>
      </c>
      <c r="G1957" s="3">
        <v>390000</v>
      </c>
      <c r="H1957" s="8">
        <v>12</v>
      </c>
      <c r="I1957" s="3">
        <v>0</v>
      </c>
      <c r="J1957" s="3">
        <v>0</v>
      </c>
    </row>
    <row r="1958" spans="1:10" x14ac:dyDescent="0.25">
      <c r="A1958" s="2">
        <v>1960</v>
      </c>
      <c r="B1958" s="18">
        <v>45503.708287037036</v>
      </c>
      <c r="C1958" s="2" t="s">
        <v>346</v>
      </c>
      <c r="D1958" s="2" t="s">
        <v>74</v>
      </c>
      <c r="E1958" s="2" t="s">
        <v>369</v>
      </c>
      <c r="F1958" s="2" t="s">
        <v>49</v>
      </c>
      <c r="G1958" s="3">
        <v>200000</v>
      </c>
      <c r="H1958" s="8">
        <v>3</v>
      </c>
      <c r="I1958" s="3">
        <v>0</v>
      </c>
      <c r="J1958" s="3">
        <v>0</v>
      </c>
    </row>
    <row r="1959" spans="1:10" x14ac:dyDescent="0.25">
      <c r="A1959" s="2">
        <v>1961</v>
      </c>
      <c r="B1959" s="18">
        <v>45445.708287037036</v>
      </c>
      <c r="C1959" s="2" t="s">
        <v>345</v>
      </c>
      <c r="D1959" s="2" t="s">
        <v>72</v>
      </c>
      <c r="E1959" s="2" t="s">
        <v>364</v>
      </c>
      <c r="F1959" s="2" t="s">
        <v>19</v>
      </c>
      <c r="G1959" s="3">
        <v>590000</v>
      </c>
      <c r="H1959" s="8">
        <v>2000</v>
      </c>
      <c r="I1959" s="3">
        <v>649000000</v>
      </c>
      <c r="J1959" s="3">
        <v>649000000</v>
      </c>
    </row>
    <row r="1960" spans="1:10" x14ac:dyDescent="0.25">
      <c r="A1960" s="2">
        <v>1962</v>
      </c>
      <c r="B1960" s="18">
        <v>45445.708287037036</v>
      </c>
      <c r="C1960" s="2" t="s">
        <v>345</v>
      </c>
      <c r="D1960" s="2" t="s">
        <v>72</v>
      </c>
      <c r="E1960" s="2" t="s">
        <v>364</v>
      </c>
      <c r="F1960" s="2" t="s">
        <v>89</v>
      </c>
      <c r="G1960" s="3">
        <v>390000</v>
      </c>
      <c r="H1960" s="8">
        <v>2000</v>
      </c>
      <c r="I1960" s="3">
        <v>0</v>
      </c>
      <c r="J1960" s="3">
        <v>0</v>
      </c>
    </row>
    <row r="1961" spans="1:10" x14ac:dyDescent="0.25">
      <c r="A1961" s="2">
        <v>1963</v>
      </c>
      <c r="B1961" s="18">
        <v>45446.708287037036</v>
      </c>
      <c r="C1961" s="2" t="s">
        <v>345</v>
      </c>
      <c r="D1961" s="2" t="s">
        <v>112</v>
      </c>
      <c r="E1961" s="2" t="s">
        <v>370</v>
      </c>
      <c r="F1961" s="2" t="s">
        <v>19</v>
      </c>
      <c r="G1961" s="3">
        <v>590000</v>
      </c>
      <c r="H1961" s="8">
        <v>2</v>
      </c>
      <c r="I1961" s="3">
        <v>772363.1</v>
      </c>
      <c r="J1961" s="3">
        <v>849599.4099999999</v>
      </c>
    </row>
    <row r="1962" spans="1:10" x14ac:dyDescent="0.25">
      <c r="A1962" s="2">
        <v>1964</v>
      </c>
      <c r="B1962" s="18">
        <v>45446.708287037036</v>
      </c>
      <c r="C1962" s="2" t="s">
        <v>345</v>
      </c>
      <c r="D1962" s="2" t="s">
        <v>112</v>
      </c>
      <c r="E1962" s="2" t="s">
        <v>370</v>
      </c>
      <c r="F1962" s="2" t="s">
        <v>61</v>
      </c>
      <c r="G1962" s="3">
        <v>890000</v>
      </c>
      <c r="H1962" s="8">
        <v>1</v>
      </c>
      <c r="I1962" s="3">
        <v>582545.05</v>
      </c>
      <c r="J1962" s="3">
        <v>640799.555</v>
      </c>
    </row>
    <row r="1963" spans="1:10" x14ac:dyDescent="0.25">
      <c r="A1963" s="2">
        <v>1965</v>
      </c>
      <c r="B1963" s="18">
        <v>45446.708287037036</v>
      </c>
      <c r="C1963" s="2" t="s">
        <v>345</v>
      </c>
      <c r="D1963" s="2" t="s">
        <v>112</v>
      </c>
      <c r="E1963" s="2" t="s">
        <v>370</v>
      </c>
      <c r="F1963" s="2" t="s">
        <v>83</v>
      </c>
      <c r="G1963" s="3">
        <v>790000</v>
      </c>
      <c r="H1963" s="8">
        <v>2</v>
      </c>
      <c r="I1963" s="3">
        <v>1034181.1</v>
      </c>
      <c r="J1963" s="3">
        <v>1137599.21</v>
      </c>
    </row>
    <row r="1964" spans="1:10" x14ac:dyDescent="0.25">
      <c r="A1964" s="2">
        <v>1966</v>
      </c>
      <c r="B1964" s="18">
        <v>45446.708287037036</v>
      </c>
      <c r="C1964" s="2" t="s">
        <v>345</v>
      </c>
      <c r="D1964" s="2" t="s">
        <v>112</v>
      </c>
      <c r="E1964" s="2" t="s">
        <v>370</v>
      </c>
      <c r="F1964" s="2" t="s">
        <v>35</v>
      </c>
      <c r="G1964" s="3">
        <v>525000</v>
      </c>
      <c r="H1964" s="8">
        <v>2</v>
      </c>
      <c r="I1964" s="3">
        <v>687272.25</v>
      </c>
      <c r="J1964" s="3">
        <v>755999.475</v>
      </c>
    </row>
    <row r="1965" spans="1:10" x14ac:dyDescent="0.25">
      <c r="A1965" s="2">
        <v>1967</v>
      </c>
      <c r="B1965" s="18">
        <v>45446.708287037036</v>
      </c>
      <c r="C1965" s="2" t="s">
        <v>345</v>
      </c>
      <c r="D1965" s="2" t="s">
        <v>112</v>
      </c>
      <c r="E1965" s="2" t="s">
        <v>370</v>
      </c>
      <c r="F1965" s="2" t="s">
        <v>31</v>
      </c>
      <c r="G1965" s="3">
        <v>745000</v>
      </c>
      <c r="H1965" s="8">
        <v>2</v>
      </c>
      <c r="I1965" s="3">
        <v>975272.05</v>
      </c>
      <c r="J1965" s="3">
        <v>1072799.2550000001</v>
      </c>
    </row>
    <row r="1966" spans="1:10" x14ac:dyDescent="0.25">
      <c r="A1966" s="2">
        <v>1968</v>
      </c>
      <c r="B1966" s="18">
        <v>45446.708287037036</v>
      </c>
      <c r="C1966" s="2" t="s">
        <v>345</v>
      </c>
      <c r="D1966" s="2" t="s">
        <v>90</v>
      </c>
      <c r="E1966" s="2" t="s">
        <v>365</v>
      </c>
      <c r="F1966" s="2" t="s">
        <v>19</v>
      </c>
      <c r="G1966" s="3">
        <v>590000</v>
      </c>
      <c r="H1966" s="8">
        <v>50</v>
      </c>
      <c r="I1966" s="3">
        <v>17700000</v>
      </c>
      <c r="J1966" s="3">
        <v>17700000</v>
      </c>
    </row>
    <row r="1967" spans="1:10" x14ac:dyDescent="0.25">
      <c r="A1967" s="2">
        <v>1969</v>
      </c>
      <c r="B1967" s="18">
        <v>45446.708287037036</v>
      </c>
      <c r="C1967" s="2" t="s">
        <v>345</v>
      </c>
      <c r="D1967" s="2" t="s">
        <v>90</v>
      </c>
      <c r="E1967" s="2" t="s">
        <v>365</v>
      </c>
      <c r="F1967" s="2" t="s">
        <v>29</v>
      </c>
      <c r="G1967" s="3">
        <v>590000</v>
      </c>
      <c r="H1967" s="8">
        <v>12</v>
      </c>
      <c r="I1967" s="3">
        <v>3540000</v>
      </c>
      <c r="J1967" s="3">
        <v>3540000</v>
      </c>
    </row>
    <row r="1968" spans="1:10" x14ac:dyDescent="0.25">
      <c r="A1968" s="2">
        <v>1970</v>
      </c>
      <c r="B1968" s="18">
        <v>45446.708287037036</v>
      </c>
      <c r="C1968" s="2" t="s">
        <v>345</v>
      </c>
      <c r="D1968" s="2" t="s">
        <v>90</v>
      </c>
      <c r="E1968" s="2" t="s">
        <v>365</v>
      </c>
      <c r="F1968" s="2" t="s">
        <v>35</v>
      </c>
      <c r="G1968" s="3">
        <v>525000</v>
      </c>
      <c r="H1968" s="8">
        <v>62</v>
      </c>
      <c r="I1968" s="3">
        <v>0</v>
      </c>
      <c r="J1968" s="3">
        <v>0</v>
      </c>
    </row>
    <row r="1969" spans="1:10" x14ac:dyDescent="0.25">
      <c r="A1969" s="2">
        <v>1971</v>
      </c>
      <c r="B1969" s="18">
        <v>45447.708287037036</v>
      </c>
      <c r="C1969" s="2" t="s">
        <v>345</v>
      </c>
      <c r="D1969" s="2" t="s">
        <v>260</v>
      </c>
      <c r="E1969" s="2" t="s">
        <v>364</v>
      </c>
      <c r="F1969" s="2" t="s">
        <v>19</v>
      </c>
      <c r="G1969" s="3">
        <v>590000</v>
      </c>
      <c r="H1969" s="8">
        <v>34</v>
      </c>
      <c r="I1969" s="3">
        <v>10030000</v>
      </c>
      <c r="J1969" s="3">
        <v>10030000</v>
      </c>
    </row>
    <row r="1970" spans="1:10" x14ac:dyDescent="0.25">
      <c r="A1970" s="2">
        <v>1972</v>
      </c>
      <c r="B1970" s="18">
        <v>45447.708287037036</v>
      </c>
      <c r="C1970" s="2" t="s">
        <v>345</v>
      </c>
      <c r="D1970" s="2" t="s">
        <v>260</v>
      </c>
      <c r="E1970" s="2" t="s">
        <v>364</v>
      </c>
      <c r="F1970" s="2" t="s">
        <v>31</v>
      </c>
      <c r="G1970" s="3">
        <v>745000</v>
      </c>
      <c r="H1970" s="8">
        <v>17</v>
      </c>
      <c r="I1970" s="3">
        <v>6332500</v>
      </c>
      <c r="J1970" s="3">
        <v>6332500</v>
      </c>
    </row>
    <row r="1971" spans="1:10" x14ac:dyDescent="0.25">
      <c r="A1971" s="2">
        <v>1973</v>
      </c>
      <c r="B1971" s="18">
        <v>45447.708287037036</v>
      </c>
      <c r="C1971" s="2" t="s">
        <v>345</v>
      </c>
      <c r="D1971" s="2" t="s">
        <v>260</v>
      </c>
      <c r="E1971" s="2" t="s">
        <v>364</v>
      </c>
      <c r="F1971" s="2" t="s">
        <v>57</v>
      </c>
      <c r="G1971" s="3">
        <v>745000</v>
      </c>
      <c r="H1971" s="8">
        <v>15</v>
      </c>
      <c r="I1971" s="3">
        <v>5587500</v>
      </c>
      <c r="J1971" s="3">
        <v>5587500</v>
      </c>
    </row>
    <row r="1972" spans="1:10" x14ac:dyDescent="0.25">
      <c r="A1972" s="2">
        <v>1974</v>
      </c>
      <c r="B1972" s="18">
        <v>45447.708287037036</v>
      </c>
      <c r="C1972" s="2" t="s">
        <v>345</v>
      </c>
      <c r="D1972" s="2" t="s">
        <v>260</v>
      </c>
      <c r="E1972" s="2" t="s">
        <v>364</v>
      </c>
      <c r="F1972" s="2" t="s">
        <v>23</v>
      </c>
      <c r="G1972" s="3">
        <v>775000</v>
      </c>
      <c r="H1972" s="8">
        <v>73</v>
      </c>
      <c r="I1972" s="3">
        <v>28287500</v>
      </c>
      <c r="J1972" s="3">
        <v>28287500</v>
      </c>
    </row>
    <row r="1973" spans="1:10" x14ac:dyDescent="0.25">
      <c r="A1973" s="2">
        <v>1975</v>
      </c>
      <c r="B1973" s="18">
        <v>45447.708287037036</v>
      </c>
      <c r="C1973" s="2" t="s">
        <v>345</v>
      </c>
      <c r="D1973" s="2" t="s">
        <v>260</v>
      </c>
      <c r="E1973" s="2" t="s">
        <v>364</v>
      </c>
      <c r="F1973" s="2" t="s">
        <v>35</v>
      </c>
      <c r="G1973" s="3">
        <v>525000</v>
      </c>
      <c r="H1973" s="8">
        <v>5</v>
      </c>
      <c r="I1973" s="3">
        <v>1312500</v>
      </c>
      <c r="J1973" s="3">
        <v>1312500</v>
      </c>
    </row>
    <row r="1974" spans="1:10" x14ac:dyDescent="0.25">
      <c r="A1974" s="2">
        <v>1976</v>
      </c>
      <c r="B1974" s="18">
        <v>45447.708287037036</v>
      </c>
      <c r="C1974" s="2" t="s">
        <v>345</v>
      </c>
      <c r="D1974" s="2" t="s">
        <v>260</v>
      </c>
      <c r="E1974" s="2" t="s">
        <v>364</v>
      </c>
      <c r="F1974" s="2" t="s">
        <v>61</v>
      </c>
      <c r="G1974" s="3">
        <v>890000</v>
      </c>
      <c r="H1974" s="8">
        <v>10</v>
      </c>
      <c r="I1974" s="3">
        <v>4450000</v>
      </c>
      <c r="J1974" s="3">
        <v>4450000</v>
      </c>
    </row>
    <row r="1975" spans="1:10" x14ac:dyDescent="0.25">
      <c r="A1975" s="2">
        <v>1977</v>
      </c>
      <c r="B1975" s="18">
        <v>45447.708287037036</v>
      </c>
      <c r="C1975" s="2" t="s">
        <v>345</v>
      </c>
      <c r="D1975" s="2" t="s">
        <v>260</v>
      </c>
      <c r="E1975" s="2" t="s">
        <v>364</v>
      </c>
      <c r="F1975" s="2" t="s">
        <v>89</v>
      </c>
      <c r="G1975" s="3">
        <v>390000</v>
      </c>
      <c r="H1975" s="8">
        <v>115</v>
      </c>
      <c r="I1975" s="3">
        <v>0</v>
      </c>
      <c r="J1975" s="3">
        <v>0</v>
      </c>
    </row>
    <row r="1976" spans="1:10" x14ac:dyDescent="0.25">
      <c r="A1976" s="2">
        <v>1978</v>
      </c>
      <c r="B1976" s="18">
        <v>45447.708287037036</v>
      </c>
      <c r="C1976" s="2" t="s">
        <v>345</v>
      </c>
      <c r="D1976" s="2" t="s">
        <v>260</v>
      </c>
      <c r="E1976" s="2" t="s">
        <v>364</v>
      </c>
      <c r="F1976" s="2" t="s">
        <v>49</v>
      </c>
      <c r="G1976" s="3">
        <v>200000</v>
      </c>
      <c r="H1976" s="8">
        <v>126</v>
      </c>
      <c r="I1976" s="3">
        <v>0</v>
      </c>
      <c r="J1976" s="3">
        <v>0</v>
      </c>
    </row>
    <row r="1977" spans="1:10" x14ac:dyDescent="0.25">
      <c r="A1977" s="2">
        <v>1979</v>
      </c>
      <c r="B1977" s="18">
        <v>45448.708287037036</v>
      </c>
      <c r="C1977" s="2" t="s">
        <v>345</v>
      </c>
      <c r="D1977" s="2" t="s">
        <v>121</v>
      </c>
      <c r="E1977" s="2" t="s">
        <v>370</v>
      </c>
      <c r="F1977" s="2" t="s">
        <v>19</v>
      </c>
      <c r="G1977" s="3">
        <v>590000</v>
      </c>
      <c r="H1977" s="8">
        <v>3</v>
      </c>
      <c r="I1977" s="3">
        <v>1158544.65</v>
      </c>
      <c r="J1977" s="3">
        <v>1274399.115</v>
      </c>
    </row>
    <row r="1978" spans="1:10" x14ac:dyDescent="0.25">
      <c r="A1978" s="2">
        <v>1980</v>
      </c>
      <c r="B1978" s="18">
        <v>45448.708287037036</v>
      </c>
      <c r="C1978" s="2" t="s">
        <v>345</v>
      </c>
      <c r="D1978" s="2" t="s">
        <v>121</v>
      </c>
      <c r="E1978" s="2" t="s">
        <v>370</v>
      </c>
      <c r="F1978" s="2" t="s">
        <v>61</v>
      </c>
      <c r="G1978" s="3">
        <v>890000</v>
      </c>
      <c r="H1978" s="8">
        <v>3</v>
      </c>
      <c r="I1978" s="3">
        <v>1747635.1500000001</v>
      </c>
      <c r="J1978" s="3">
        <v>1922398.665</v>
      </c>
    </row>
    <row r="1979" spans="1:10" x14ac:dyDescent="0.25">
      <c r="A1979" s="2">
        <v>1981</v>
      </c>
      <c r="B1979" s="18">
        <v>45448.708287037036</v>
      </c>
      <c r="C1979" s="2" t="s">
        <v>345</v>
      </c>
      <c r="D1979" s="2" t="s">
        <v>121</v>
      </c>
      <c r="E1979" s="2" t="s">
        <v>370</v>
      </c>
      <c r="F1979" s="2" t="s">
        <v>83</v>
      </c>
      <c r="G1979" s="3">
        <v>790000</v>
      </c>
      <c r="H1979" s="8">
        <v>3</v>
      </c>
      <c r="I1979" s="3">
        <v>1551271.65</v>
      </c>
      <c r="J1979" s="3">
        <v>1706398.815</v>
      </c>
    </row>
    <row r="1980" spans="1:10" x14ac:dyDescent="0.25">
      <c r="A1980" s="2">
        <v>1982</v>
      </c>
      <c r="B1980" s="18">
        <v>45448.708287037036</v>
      </c>
      <c r="C1980" s="2" t="s">
        <v>345</v>
      </c>
      <c r="D1980" s="2" t="s">
        <v>121</v>
      </c>
      <c r="E1980" s="2" t="s">
        <v>370</v>
      </c>
      <c r="F1980" s="2" t="s">
        <v>35</v>
      </c>
      <c r="G1980" s="3">
        <v>525000</v>
      </c>
      <c r="H1980" s="8">
        <v>3</v>
      </c>
      <c r="I1980" s="3">
        <v>1030908.375</v>
      </c>
      <c r="J1980" s="3">
        <v>1133999.2125</v>
      </c>
    </row>
    <row r="1981" spans="1:10" x14ac:dyDescent="0.25">
      <c r="A1981" s="2">
        <v>1983</v>
      </c>
      <c r="B1981" s="18">
        <v>45448.708287037036</v>
      </c>
      <c r="C1981" s="2" t="s">
        <v>345</v>
      </c>
      <c r="D1981" s="2" t="s">
        <v>121</v>
      </c>
      <c r="E1981" s="2" t="s">
        <v>370</v>
      </c>
      <c r="F1981" s="2" t="s">
        <v>31</v>
      </c>
      <c r="G1981" s="3">
        <v>745000</v>
      </c>
      <c r="H1981" s="8">
        <v>3</v>
      </c>
      <c r="I1981" s="3">
        <v>1462908.0750000002</v>
      </c>
      <c r="J1981" s="3">
        <v>1609198.8825000003</v>
      </c>
    </row>
    <row r="1982" spans="1:10" x14ac:dyDescent="0.25">
      <c r="A1982" s="2">
        <v>1984</v>
      </c>
      <c r="B1982" s="18">
        <v>45448.708287037036</v>
      </c>
      <c r="C1982" s="2" t="s">
        <v>345</v>
      </c>
      <c r="D1982" s="2" t="s">
        <v>121</v>
      </c>
      <c r="E1982" s="2" t="s">
        <v>370</v>
      </c>
      <c r="F1982" s="2" t="s">
        <v>57</v>
      </c>
      <c r="G1982" s="3">
        <v>745000</v>
      </c>
      <c r="H1982" s="8">
        <v>3</v>
      </c>
      <c r="I1982" s="3">
        <v>1462908.0750000002</v>
      </c>
      <c r="J1982" s="3">
        <v>1609198.8825000003</v>
      </c>
    </row>
    <row r="1983" spans="1:10" x14ac:dyDescent="0.25">
      <c r="A1983" s="2">
        <v>1985</v>
      </c>
      <c r="B1983" s="18">
        <v>45448.708287037036</v>
      </c>
      <c r="C1983" s="2" t="s">
        <v>345</v>
      </c>
      <c r="D1983" s="2" t="s">
        <v>121</v>
      </c>
      <c r="E1983" s="2" t="s">
        <v>370</v>
      </c>
      <c r="F1983" s="2" t="s">
        <v>29</v>
      </c>
      <c r="G1983" s="3">
        <v>590000</v>
      </c>
      <c r="H1983" s="8">
        <v>3</v>
      </c>
      <c r="I1983" s="3">
        <v>1158544.65</v>
      </c>
      <c r="J1983" s="3">
        <v>1274399.115</v>
      </c>
    </row>
    <row r="1984" spans="1:10" x14ac:dyDescent="0.25">
      <c r="A1984" s="2">
        <v>1986</v>
      </c>
      <c r="B1984" s="18">
        <v>45448.708287037036</v>
      </c>
      <c r="C1984" s="2" t="s">
        <v>345</v>
      </c>
      <c r="D1984" s="2" t="s">
        <v>311</v>
      </c>
      <c r="E1984" s="2" t="s">
        <v>369</v>
      </c>
      <c r="F1984" s="2" t="s">
        <v>21</v>
      </c>
      <c r="G1984" s="3">
        <v>890000</v>
      </c>
      <c r="H1984" s="8">
        <v>5</v>
      </c>
      <c r="I1984" s="3">
        <v>3337500</v>
      </c>
      <c r="J1984" s="3">
        <v>3337500</v>
      </c>
    </row>
    <row r="1985" spans="1:10" x14ac:dyDescent="0.25">
      <c r="A1985" s="2">
        <v>1987</v>
      </c>
      <c r="B1985" s="18">
        <v>45448.708287037036</v>
      </c>
      <c r="C1985" s="2" t="s">
        <v>345</v>
      </c>
      <c r="D1985" s="2" t="s">
        <v>311</v>
      </c>
      <c r="E1985" s="2" t="s">
        <v>369</v>
      </c>
      <c r="F1985" s="2" t="s">
        <v>31</v>
      </c>
      <c r="G1985" s="3">
        <v>745000</v>
      </c>
      <c r="H1985" s="8">
        <v>5</v>
      </c>
      <c r="I1985" s="3">
        <v>2793750</v>
      </c>
      <c r="J1985" s="3">
        <v>2793750</v>
      </c>
    </row>
    <row r="1986" spans="1:10" x14ac:dyDescent="0.25">
      <c r="A1986" s="2">
        <v>1988</v>
      </c>
      <c r="B1986" s="18">
        <v>45448.708287037036</v>
      </c>
      <c r="C1986" s="2" t="s">
        <v>345</v>
      </c>
      <c r="D1986" s="2" t="s">
        <v>311</v>
      </c>
      <c r="E1986" s="2" t="s">
        <v>369</v>
      </c>
      <c r="F1986" s="2" t="s">
        <v>57</v>
      </c>
      <c r="G1986" s="3">
        <v>745000</v>
      </c>
      <c r="H1986" s="8">
        <v>5</v>
      </c>
      <c r="I1986" s="3">
        <v>2793750</v>
      </c>
      <c r="J1986" s="3">
        <v>2793750</v>
      </c>
    </row>
    <row r="1987" spans="1:10" x14ac:dyDescent="0.25">
      <c r="A1987" s="2">
        <v>1989</v>
      </c>
      <c r="B1987" s="18">
        <v>45448.708287037036</v>
      </c>
      <c r="C1987" s="2" t="s">
        <v>345</v>
      </c>
      <c r="D1987" s="2" t="s">
        <v>311</v>
      </c>
      <c r="E1987" s="2" t="s">
        <v>369</v>
      </c>
      <c r="F1987" s="2" t="s">
        <v>83</v>
      </c>
      <c r="G1987" s="3">
        <v>790000</v>
      </c>
      <c r="H1987" s="8">
        <v>6</v>
      </c>
      <c r="I1987" s="3">
        <v>3555000</v>
      </c>
      <c r="J1987" s="3">
        <v>3555000</v>
      </c>
    </row>
    <row r="1988" spans="1:10" x14ac:dyDescent="0.25">
      <c r="A1988" s="2">
        <v>1990</v>
      </c>
      <c r="B1988" s="18">
        <v>45448.708287037036</v>
      </c>
      <c r="C1988" s="2" t="s">
        <v>345</v>
      </c>
      <c r="D1988" s="2" t="s">
        <v>311</v>
      </c>
      <c r="E1988" s="2" t="s">
        <v>369</v>
      </c>
      <c r="F1988" s="2" t="s">
        <v>21</v>
      </c>
      <c r="G1988" s="3">
        <v>890000</v>
      </c>
      <c r="H1988" s="8">
        <v>1</v>
      </c>
      <c r="I1988" s="3">
        <v>0</v>
      </c>
      <c r="J1988" s="3">
        <v>0</v>
      </c>
    </row>
    <row r="1989" spans="1:10" x14ac:dyDescent="0.25">
      <c r="A1989" s="2">
        <v>1991</v>
      </c>
      <c r="B1989" s="18">
        <v>45448.708287037036</v>
      </c>
      <c r="C1989" s="2" t="s">
        <v>345</v>
      </c>
      <c r="D1989" s="2" t="s">
        <v>311</v>
      </c>
      <c r="E1989" s="2" t="s">
        <v>369</v>
      </c>
      <c r="F1989" s="2" t="s">
        <v>31</v>
      </c>
      <c r="G1989" s="3">
        <v>745000</v>
      </c>
      <c r="H1989" s="8">
        <v>1</v>
      </c>
      <c r="I1989" s="3">
        <v>0</v>
      </c>
      <c r="J1989" s="3">
        <v>0</v>
      </c>
    </row>
    <row r="1990" spans="1:10" x14ac:dyDescent="0.25">
      <c r="A1990" s="2">
        <v>1992</v>
      </c>
      <c r="B1990" s="18">
        <v>45448.708287037036</v>
      </c>
      <c r="C1990" s="2" t="s">
        <v>345</v>
      </c>
      <c r="D1990" s="2" t="s">
        <v>311</v>
      </c>
      <c r="E1990" s="2" t="s">
        <v>369</v>
      </c>
      <c r="F1990" s="2" t="s">
        <v>57</v>
      </c>
      <c r="G1990" s="3">
        <v>745000</v>
      </c>
      <c r="H1990" s="8">
        <v>1</v>
      </c>
      <c r="I1990" s="3">
        <v>0</v>
      </c>
      <c r="J1990" s="3">
        <v>0</v>
      </c>
    </row>
    <row r="1991" spans="1:10" x14ac:dyDescent="0.25">
      <c r="A1991" s="2">
        <v>1993</v>
      </c>
      <c r="B1991" s="18">
        <v>45448.708287037036</v>
      </c>
      <c r="C1991" s="2" t="s">
        <v>345</v>
      </c>
      <c r="D1991" s="2" t="s">
        <v>311</v>
      </c>
      <c r="E1991" s="2" t="s">
        <v>369</v>
      </c>
      <c r="F1991" s="2" t="s">
        <v>83</v>
      </c>
      <c r="G1991" s="3">
        <v>790000</v>
      </c>
      <c r="H1991" s="8">
        <v>1</v>
      </c>
      <c r="I1991" s="3">
        <v>0</v>
      </c>
      <c r="J1991" s="3">
        <v>0</v>
      </c>
    </row>
    <row r="1992" spans="1:10" x14ac:dyDescent="0.25">
      <c r="A1992" s="2">
        <v>1994</v>
      </c>
      <c r="B1992" s="18">
        <v>45448.708287037036</v>
      </c>
      <c r="C1992" s="2" t="s">
        <v>345</v>
      </c>
      <c r="D1992" s="2" t="s">
        <v>311</v>
      </c>
      <c r="E1992" s="2" t="s">
        <v>369</v>
      </c>
      <c r="F1992" s="2" t="s">
        <v>89</v>
      </c>
      <c r="G1992" s="3">
        <v>390000</v>
      </c>
      <c r="H1992" s="8">
        <v>11</v>
      </c>
      <c r="I1992" s="3">
        <v>0</v>
      </c>
      <c r="J1992" s="3">
        <v>0</v>
      </c>
    </row>
    <row r="1993" spans="1:10" x14ac:dyDescent="0.25">
      <c r="A1993" s="2">
        <v>1995</v>
      </c>
      <c r="B1993" s="18">
        <v>45448.708287037036</v>
      </c>
      <c r="C1993" s="2" t="s">
        <v>345</v>
      </c>
      <c r="D1993" s="2" t="s">
        <v>311</v>
      </c>
      <c r="E1993" s="2" t="s">
        <v>369</v>
      </c>
      <c r="F1993" s="2" t="s">
        <v>49</v>
      </c>
      <c r="G1993" s="3">
        <v>200000</v>
      </c>
      <c r="H1993" s="8">
        <v>10</v>
      </c>
      <c r="I1993" s="3">
        <v>0</v>
      </c>
      <c r="J1993" s="3">
        <v>0</v>
      </c>
    </row>
    <row r="1994" spans="1:10" x14ac:dyDescent="0.25">
      <c r="A1994" s="2">
        <v>1996</v>
      </c>
      <c r="B1994" s="18">
        <v>45448.708287037036</v>
      </c>
      <c r="C1994" s="2" t="s">
        <v>345</v>
      </c>
      <c r="D1994" s="2" t="s">
        <v>115</v>
      </c>
      <c r="E1994" s="2" t="s">
        <v>370</v>
      </c>
      <c r="F1994" s="2" t="s">
        <v>19</v>
      </c>
      <c r="G1994" s="3">
        <v>590000</v>
      </c>
      <c r="H1994" s="8">
        <v>3</v>
      </c>
      <c r="I1994" s="3">
        <v>1158544.65</v>
      </c>
      <c r="J1994" s="3">
        <v>1274399.115</v>
      </c>
    </row>
    <row r="1995" spans="1:10" x14ac:dyDescent="0.25">
      <c r="A1995" s="2">
        <v>1997</v>
      </c>
      <c r="B1995" s="18">
        <v>45448.708287037036</v>
      </c>
      <c r="C1995" s="2" t="s">
        <v>345</v>
      </c>
      <c r="D1995" s="2" t="s">
        <v>115</v>
      </c>
      <c r="E1995" s="2" t="s">
        <v>370</v>
      </c>
      <c r="F1995" s="2" t="s">
        <v>61</v>
      </c>
      <c r="G1995" s="3">
        <v>890000</v>
      </c>
      <c r="H1995" s="8">
        <v>3</v>
      </c>
      <c r="I1995" s="3">
        <v>1747635.1500000001</v>
      </c>
      <c r="J1995" s="3">
        <v>1922398.665</v>
      </c>
    </row>
    <row r="1996" spans="1:10" x14ac:dyDescent="0.25">
      <c r="A1996" s="2">
        <v>1998</v>
      </c>
      <c r="B1996" s="18">
        <v>45448.708287037036</v>
      </c>
      <c r="C1996" s="2" t="s">
        <v>345</v>
      </c>
      <c r="D1996" s="2" t="s">
        <v>115</v>
      </c>
      <c r="E1996" s="2" t="s">
        <v>370</v>
      </c>
      <c r="F1996" s="2" t="s">
        <v>83</v>
      </c>
      <c r="G1996" s="3">
        <v>790000</v>
      </c>
      <c r="H1996" s="8">
        <v>3</v>
      </c>
      <c r="I1996" s="3">
        <v>1551271.65</v>
      </c>
      <c r="J1996" s="3">
        <v>1706398.815</v>
      </c>
    </row>
    <row r="1997" spans="1:10" x14ac:dyDescent="0.25">
      <c r="A1997" s="2">
        <v>1999</v>
      </c>
      <c r="B1997" s="18">
        <v>45448.708287037036</v>
      </c>
      <c r="C1997" s="2" t="s">
        <v>345</v>
      </c>
      <c r="D1997" s="2" t="s">
        <v>115</v>
      </c>
      <c r="E1997" s="2" t="s">
        <v>370</v>
      </c>
      <c r="F1997" s="2" t="s">
        <v>35</v>
      </c>
      <c r="G1997" s="3">
        <v>525000</v>
      </c>
      <c r="H1997" s="8">
        <v>3</v>
      </c>
      <c r="I1997" s="3">
        <v>1030908.375</v>
      </c>
      <c r="J1997" s="3">
        <v>1133999.2125</v>
      </c>
    </row>
    <row r="1998" spans="1:10" x14ac:dyDescent="0.25">
      <c r="A1998" s="2">
        <v>2000</v>
      </c>
      <c r="B1998" s="18">
        <v>45448.708287037036</v>
      </c>
      <c r="C1998" s="2" t="s">
        <v>345</v>
      </c>
      <c r="D1998" s="2" t="s">
        <v>115</v>
      </c>
      <c r="E1998" s="2" t="s">
        <v>370</v>
      </c>
      <c r="F1998" s="2" t="s">
        <v>31</v>
      </c>
      <c r="G1998" s="3">
        <v>745000</v>
      </c>
      <c r="H1998" s="8">
        <v>3</v>
      </c>
      <c r="I1998" s="3">
        <v>1462908.0750000002</v>
      </c>
      <c r="J1998" s="3">
        <v>1609198.8825000003</v>
      </c>
    </row>
    <row r="1999" spans="1:10" x14ac:dyDescent="0.25">
      <c r="A1999" s="2">
        <v>2001</v>
      </c>
      <c r="B1999" s="18">
        <v>45448.708287037036</v>
      </c>
      <c r="C1999" s="2" t="s">
        <v>345</v>
      </c>
      <c r="D1999" s="2" t="s">
        <v>115</v>
      </c>
      <c r="E1999" s="2" t="s">
        <v>370</v>
      </c>
      <c r="F1999" s="2" t="s">
        <v>57</v>
      </c>
      <c r="G1999" s="3">
        <v>745000</v>
      </c>
      <c r="H1999" s="8">
        <v>3</v>
      </c>
      <c r="I1999" s="3">
        <v>1462908.0750000002</v>
      </c>
      <c r="J1999" s="3">
        <v>1609198.8825000003</v>
      </c>
    </row>
    <row r="2000" spans="1:10" x14ac:dyDescent="0.25">
      <c r="A2000" s="2">
        <v>2002</v>
      </c>
      <c r="B2000" s="18">
        <v>45453.708287037036</v>
      </c>
      <c r="C2000" s="2" t="s">
        <v>345</v>
      </c>
      <c r="D2000" s="2" t="s">
        <v>68</v>
      </c>
      <c r="E2000" s="2" t="s">
        <v>363</v>
      </c>
      <c r="F2000" s="2" t="s">
        <v>57</v>
      </c>
      <c r="G2000" s="3">
        <v>745000</v>
      </c>
      <c r="H2000" s="8">
        <v>70</v>
      </c>
      <c r="I2000" s="3">
        <v>33897500</v>
      </c>
      <c r="J2000" s="3">
        <v>33897500</v>
      </c>
    </row>
    <row r="2001" spans="1:10" x14ac:dyDescent="0.25">
      <c r="A2001" s="2">
        <v>2003</v>
      </c>
      <c r="B2001" s="18">
        <v>45453.708287037036</v>
      </c>
      <c r="C2001" s="2" t="s">
        <v>345</v>
      </c>
      <c r="D2001" s="2" t="s">
        <v>68</v>
      </c>
      <c r="E2001" s="2" t="s">
        <v>363</v>
      </c>
      <c r="F2001" s="2" t="s">
        <v>31</v>
      </c>
      <c r="G2001" s="3">
        <v>745000</v>
      </c>
      <c r="H2001" s="8">
        <v>70</v>
      </c>
      <c r="I2001" s="3">
        <v>33897500</v>
      </c>
      <c r="J2001" s="3">
        <v>33897500</v>
      </c>
    </row>
    <row r="2002" spans="1:10" x14ac:dyDescent="0.25">
      <c r="A2002" s="2">
        <v>2004</v>
      </c>
      <c r="B2002" s="18">
        <v>45453.708287037036</v>
      </c>
      <c r="C2002" s="2" t="s">
        <v>345</v>
      </c>
      <c r="D2002" s="2" t="s">
        <v>114</v>
      </c>
      <c r="E2002" s="2" t="s">
        <v>370</v>
      </c>
      <c r="F2002" s="2" t="s">
        <v>19</v>
      </c>
      <c r="G2002" s="3">
        <v>590000</v>
      </c>
      <c r="H2002" s="8">
        <v>2</v>
      </c>
      <c r="I2002" s="3">
        <v>772363.1</v>
      </c>
      <c r="J2002" s="3">
        <v>849599.4099999999</v>
      </c>
    </row>
    <row r="2003" spans="1:10" x14ac:dyDescent="0.25">
      <c r="A2003" s="2">
        <v>2005</v>
      </c>
      <c r="B2003" s="18">
        <v>45453.708287037036</v>
      </c>
      <c r="C2003" s="2" t="s">
        <v>345</v>
      </c>
      <c r="D2003" s="2" t="s">
        <v>114</v>
      </c>
      <c r="E2003" s="2" t="s">
        <v>370</v>
      </c>
      <c r="F2003" s="2" t="s">
        <v>61</v>
      </c>
      <c r="G2003" s="3">
        <v>890000</v>
      </c>
      <c r="H2003" s="8">
        <v>3</v>
      </c>
      <c r="I2003" s="3">
        <v>1747635.1500000001</v>
      </c>
      <c r="J2003" s="3">
        <v>1922398.665</v>
      </c>
    </row>
    <row r="2004" spans="1:10" x14ac:dyDescent="0.25">
      <c r="A2004" s="2">
        <v>2006</v>
      </c>
      <c r="B2004" s="18">
        <v>45453.708287037036</v>
      </c>
      <c r="C2004" s="2" t="s">
        <v>345</v>
      </c>
      <c r="D2004" s="2" t="s">
        <v>114</v>
      </c>
      <c r="E2004" s="2" t="s">
        <v>370</v>
      </c>
      <c r="F2004" s="2" t="s">
        <v>83</v>
      </c>
      <c r="G2004" s="3">
        <v>790000</v>
      </c>
      <c r="H2004" s="8">
        <v>3</v>
      </c>
      <c r="I2004" s="3">
        <v>1551271.65</v>
      </c>
      <c r="J2004" s="3">
        <v>1706398.815</v>
      </c>
    </row>
    <row r="2005" spans="1:10" x14ac:dyDescent="0.25">
      <c r="A2005" s="2">
        <v>2007</v>
      </c>
      <c r="B2005" s="18">
        <v>45453.708287037036</v>
      </c>
      <c r="C2005" s="2" t="s">
        <v>345</v>
      </c>
      <c r="D2005" s="2" t="s">
        <v>114</v>
      </c>
      <c r="E2005" s="2" t="s">
        <v>370</v>
      </c>
      <c r="F2005" s="2" t="s">
        <v>35</v>
      </c>
      <c r="G2005" s="3">
        <v>525000</v>
      </c>
      <c r="H2005" s="8">
        <v>3</v>
      </c>
      <c r="I2005" s="3">
        <v>1030908.375</v>
      </c>
      <c r="J2005" s="3">
        <v>1133999.2125</v>
      </c>
    </row>
    <row r="2006" spans="1:10" x14ac:dyDescent="0.25">
      <c r="A2006" s="2">
        <v>2008</v>
      </c>
      <c r="B2006" s="18">
        <v>45453.708287037036</v>
      </c>
      <c r="C2006" s="2" t="s">
        <v>345</v>
      </c>
      <c r="D2006" s="2" t="s">
        <v>114</v>
      </c>
      <c r="E2006" s="2" t="s">
        <v>370</v>
      </c>
      <c r="F2006" s="2" t="s">
        <v>31</v>
      </c>
      <c r="G2006" s="3">
        <v>745000</v>
      </c>
      <c r="H2006" s="8">
        <v>4</v>
      </c>
      <c r="I2006" s="3">
        <v>1950544.1</v>
      </c>
      <c r="J2006" s="3">
        <v>2145598.5100000002</v>
      </c>
    </row>
    <row r="2007" spans="1:10" x14ac:dyDescent="0.25">
      <c r="A2007" s="2">
        <v>2009</v>
      </c>
      <c r="B2007" s="18">
        <v>45453.708287037036</v>
      </c>
      <c r="C2007" s="2" t="s">
        <v>345</v>
      </c>
      <c r="D2007" s="2" t="s">
        <v>114</v>
      </c>
      <c r="E2007" s="2" t="s">
        <v>370</v>
      </c>
      <c r="F2007" s="2" t="s">
        <v>57</v>
      </c>
      <c r="G2007" s="3">
        <v>745000</v>
      </c>
      <c r="H2007" s="8">
        <v>3</v>
      </c>
      <c r="I2007" s="3">
        <v>1462908.0750000002</v>
      </c>
      <c r="J2007" s="3">
        <v>1609198.8825000003</v>
      </c>
    </row>
    <row r="2008" spans="1:10" x14ac:dyDescent="0.25">
      <c r="A2008" s="2">
        <v>2010</v>
      </c>
      <c r="B2008" s="18">
        <v>45453.708287037036</v>
      </c>
      <c r="C2008" s="2" t="s">
        <v>345</v>
      </c>
      <c r="D2008" s="2" t="s">
        <v>12</v>
      </c>
      <c r="E2008" s="2" t="s">
        <v>367</v>
      </c>
      <c r="F2008" s="2" t="s">
        <v>31</v>
      </c>
      <c r="G2008" s="3">
        <v>745000</v>
      </c>
      <c r="H2008" s="8">
        <v>2</v>
      </c>
      <c r="I2008" s="3">
        <v>968500</v>
      </c>
      <c r="J2008" s="3">
        <v>968500</v>
      </c>
    </row>
    <row r="2009" spans="1:10" x14ac:dyDescent="0.25">
      <c r="A2009" s="2">
        <v>2011</v>
      </c>
      <c r="B2009" s="18">
        <v>45453.708287037036</v>
      </c>
      <c r="C2009" s="2" t="s">
        <v>345</v>
      </c>
      <c r="D2009" s="2" t="s">
        <v>12</v>
      </c>
      <c r="E2009" s="2" t="s">
        <v>367</v>
      </c>
      <c r="F2009" s="2" t="s">
        <v>47</v>
      </c>
      <c r="G2009" s="3">
        <v>200000</v>
      </c>
      <c r="H2009" s="8">
        <v>1</v>
      </c>
      <c r="I2009" s="3">
        <v>0</v>
      </c>
      <c r="J2009" s="3">
        <v>0</v>
      </c>
    </row>
    <row r="2010" spans="1:10" x14ac:dyDescent="0.25">
      <c r="A2010" s="2">
        <v>2012</v>
      </c>
      <c r="B2010" s="18">
        <v>45453.708287037036</v>
      </c>
      <c r="C2010" s="2" t="s">
        <v>345</v>
      </c>
      <c r="D2010" s="2" t="s">
        <v>12</v>
      </c>
      <c r="E2010" s="2" t="s">
        <v>367</v>
      </c>
      <c r="F2010" s="2" t="s">
        <v>49</v>
      </c>
      <c r="G2010" s="3">
        <v>200000</v>
      </c>
      <c r="H2010" s="8">
        <v>1</v>
      </c>
      <c r="I2010" s="3">
        <v>0</v>
      </c>
      <c r="J2010" s="3">
        <v>0</v>
      </c>
    </row>
    <row r="2011" spans="1:10" x14ac:dyDescent="0.25">
      <c r="A2011" s="2">
        <v>2013</v>
      </c>
      <c r="B2011" s="18">
        <v>45454.708287037036</v>
      </c>
      <c r="C2011" s="2" t="s">
        <v>345</v>
      </c>
      <c r="D2011" s="2" t="s">
        <v>287</v>
      </c>
      <c r="E2011" s="2" t="s">
        <v>369</v>
      </c>
      <c r="F2011" s="2" t="s">
        <v>29</v>
      </c>
      <c r="G2011" s="3">
        <v>590000</v>
      </c>
      <c r="H2011" s="8">
        <v>10</v>
      </c>
      <c r="I2011" s="3">
        <v>4425000</v>
      </c>
      <c r="J2011" s="3">
        <v>4425000</v>
      </c>
    </row>
    <row r="2012" spans="1:10" x14ac:dyDescent="0.25">
      <c r="A2012" s="2">
        <v>2014</v>
      </c>
      <c r="B2012" s="18">
        <v>45454.708287037036</v>
      </c>
      <c r="C2012" s="2" t="s">
        <v>345</v>
      </c>
      <c r="D2012" s="2" t="s">
        <v>287</v>
      </c>
      <c r="E2012" s="2" t="s">
        <v>369</v>
      </c>
      <c r="F2012" s="2" t="s">
        <v>29</v>
      </c>
      <c r="G2012" s="3">
        <v>590000</v>
      </c>
      <c r="H2012" s="8">
        <v>2</v>
      </c>
      <c r="I2012" s="3">
        <v>0</v>
      </c>
      <c r="J2012" s="3">
        <v>0</v>
      </c>
    </row>
    <row r="2013" spans="1:10" x14ac:dyDescent="0.25">
      <c r="A2013" s="2">
        <v>2015</v>
      </c>
      <c r="B2013" s="18">
        <v>45454.708287037036</v>
      </c>
      <c r="C2013" s="2" t="s">
        <v>345</v>
      </c>
      <c r="D2013" s="2" t="s">
        <v>287</v>
      </c>
      <c r="E2013" s="2" t="s">
        <v>369</v>
      </c>
      <c r="F2013" s="2" t="s">
        <v>89</v>
      </c>
      <c r="G2013" s="3">
        <v>390000</v>
      </c>
      <c r="H2013" s="8">
        <v>10</v>
      </c>
      <c r="I2013" s="3">
        <v>0</v>
      </c>
      <c r="J2013" s="3">
        <v>0</v>
      </c>
    </row>
    <row r="2014" spans="1:10" x14ac:dyDescent="0.25">
      <c r="A2014" s="2">
        <v>2016</v>
      </c>
      <c r="B2014" s="18">
        <v>45454.708287037036</v>
      </c>
      <c r="C2014" s="2" t="s">
        <v>345</v>
      </c>
      <c r="D2014" s="2" t="s">
        <v>292</v>
      </c>
      <c r="E2014" s="2" t="s">
        <v>369</v>
      </c>
      <c r="F2014" s="2" t="s">
        <v>29</v>
      </c>
      <c r="G2014" s="3">
        <v>590000</v>
      </c>
      <c r="H2014" s="8">
        <v>2</v>
      </c>
      <c r="I2014" s="3">
        <v>885000</v>
      </c>
      <c r="J2014" s="3">
        <v>885000</v>
      </c>
    </row>
    <row r="2015" spans="1:10" x14ac:dyDescent="0.25">
      <c r="A2015" s="2">
        <v>2017</v>
      </c>
      <c r="B2015" s="18">
        <v>45454.708287037036</v>
      </c>
      <c r="C2015" s="2" t="s">
        <v>345</v>
      </c>
      <c r="D2015" s="2" t="s">
        <v>292</v>
      </c>
      <c r="E2015" s="2" t="s">
        <v>369</v>
      </c>
      <c r="F2015" s="2" t="s">
        <v>61</v>
      </c>
      <c r="G2015" s="3">
        <v>890000</v>
      </c>
      <c r="H2015" s="8">
        <v>1</v>
      </c>
      <c r="I2015" s="3">
        <v>667500</v>
      </c>
      <c r="J2015" s="3">
        <v>667500</v>
      </c>
    </row>
    <row r="2016" spans="1:10" x14ac:dyDescent="0.25">
      <c r="A2016" s="2">
        <v>2018</v>
      </c>
      <c r="B2016" s="18">
        <v>45454.708287037036</v>
      </c>
      <c r="C2016" s="2" t="s">
        <v>345</v>
      </c>
      <c r="D2016" s="2" t="s">
        <v>292</v>
      </c>
      <c r="E2016" s="2" t="s">
        <v>369</v>
      </c>
      <c r="F2016" s="2" t="s">
        <v>31</v>
      </c>
      <c r="G2016" s="3">
        <v>745000</v>
      </c>
      <c r="H2016" s="8">
        <v>1</v>
      </c>
      <c r="I2016" s="3">
        <v>447000</v>
      </c>
      <c r="J2016" s="3">
        <v>447000</v>
      </c>
    </row>
    <row r="2017" spans="1:10" x14ac:dyDescent="0.25">
      <c r="A2017" s="2">
        <v>2019</v>
      </c>
      <c r="B2017" s="18">
        <v>45454.708287037036</v>
      </c>
      <c r="C2017" s="2" t="s">
        <v>345</v>
      </c>
      <c r="D2017" s="2" t="s">
        <v>292</v>
      </c>
      <c r="E2017" s="2" t="s">
        <v>369</v>
      </c>
      <c r="F2017" s="2" t="s">
        <v>35</v>
      </c>
      <c r="G2017" s="3">
        <v>525000</v>
      </c>
      <c r="H2017" s="8">
        <v>3</v>
      </c>
      <c r="I2017" s="3">
        <v>0</v>
      </c>
      <c r="J2017" s="3">
        <v>0</v>
      </c>
    </row>
    <row r="2018" spans="1:10" x14ac:dyDescent="0.25">
      <c r="A2018" s="2">
        <v>2020</v>
      </c>
      <c r="B2018" s="18">
        <v>45454.708287037036</v>
      </c>
      <c r="C2018" s="2" t="s">
        <v>345</v>
      </c>
      <c r="D2018" s="2" t="s">
        <v>292</v>
      </c>
      <c r="E2018" s="2" t="s">
        <v>369</v>
      </c>
      <c r="F2018" s="2" t="s">
        <v>49</v>
      </c>
      <c r="G2018" s="3">
        <v>200000</v>
      </c>
      <c r="H2018" s="8">
        <v>1</v>
      </c>
      <c r="I2018" s="3">
        <v>0</v>
      </c>
      <c r="J2018" s="3">
        <v>0</v>
      </c>
    </row>
    <row r="2019" spans="1:10" x14ac:dyDescent="0.25">
      <c r="A2019" s="2">
        <v>2021</v>
      </c>
      <c r="B2019" s="18">
        <v>45454.708287037036</v>
      </c>
      <c r="C2019" s="2" t="s">
        <v>345</v>
      </c>
      <c r="D2019" s="2" t="s">
        <v>255</v>
      </c>
      <c r="E2019" s="2" t="s">
        <v>367</v>
      </c>
      <c r="F2019" s="2" t="s">
        <v>49</v>
      </c>
      <c r="G2019" s="3">
        <v>200000</v>
      </c>
      <c r="H2019" s="8">
        <v>1</v>
      </c>
      <c r="I2019" s="3">
        <v>0</v>
      </c>
      <c r="J2019" s="3">
        <v>0</v>
      </c>
    </row>
    <row r="2020" spans="1:10" x14ac:dyDescent="0.25">
      <c r="A2020" s="2">
        <v>2022</v>
      </c>
      <c r="B2020" s="18">
        <v>45454.708287037036</v>
      </c>
      <c r="C2020" s="2" t="s">
        <v>345</v>
      </c>
      <c r="D2020" s="2" t="s">
        <v>52</v>
      </c>
      <c r="E2020" s="2" t="s">
        <v>396</v>
      </c>
      <c r="F2020" s="2" t="s">
        <v>29</v>
      </c>
      <c r="G2020" s="3">
        <v>590000</v>
      </c>
      <c r="H2020" s="8">
        <v>35</v>
      </c>
      <c r="I2020" s="3">
        <v>12390000</v>
      </c>
      <c r="J2020" s="3">
        <v>12390000</v>
      </c>
    </row>
    <row r="2021" spans="1:10" x14ac:dyDescent="0.25">
      <c r="A2021" s="2">
        <v>2023</v>
      </c>
      <c r="B2021" s="18">
        <v>45454.708287037036</v>
      </c>
      <c r="C2021" s="2" t="s">
        <v>345</v>
      </c>
      <c r="D2021" s="2" t="s">
        <v>52</v>
      </c>
      <c r="E2021" s="2" t="s">
        <v>396</v>
      </c>
      <c r="F2021" s="2" t="s">
        <v>89</v>
      </c>
      <c r="G2021" s="3">
        <v>390000</v>
      </c>
      <c r="H2021" s="8">
        <v>53</v>
      </c>
      <c r="I2021" s="3">
        <v>0</v>
      </c>
      <c r="J2021" s="3">
        <v>0</v>
      </c>
    </row>
    <row r="2022" spans="1:10" x14ac:dyDescent="0.25">
      <c r="A2022" s="2">
        <v>2024</v>
      </c>
      <c r="B2022" s="18">
        <v>45454.708287037036</v>
      </c>
      <c r="C2022" s="2" t="s">
        <v>345</v>
      </c>
      <c r="D2022" s="2" t="s">
        <v>52</v>
      </c>
      <c r="E2022" s="2" t="s">
        <v>396</v>
      </c>
      <c r="F2022" s="2" t="s">
        <v>19</v>
      </c>
      <c r="G2022" s="3">
        <v>590000</v>
      </c>
      <c r="H2022" s="8">
        <v>35</v>
      </c>
      <c r="I2022" s="3">
        <v>12390000</v>
      </c>
      <c r="J2022" s="3">
        <v>12390000</v>
      </c>
    </row>
    <row r="2023" spans="1:10" x14ac:dyDescent="0.25">
      <c r="A2023" s="2">
        <v>2025</v>
      </c>
      <c r="B2023" s="18">
        <v>45455.708287037036</v>
      </c>
      <c r="C2023" s="2" t="s">
        <v>345</v>
      </c>
      <c r="D2023" s="2" t="s">
        <v>2</v>
      </c>
      <c r="E2023" s="2" t="s">
        <v>370</v>
      </c>
      <c r="F2023" s="2" t="s">
        <v>29</v>
      </c>
      <c r="G2023" s="3">
        <v>590000</v>
      </c>
      <c r="H2023" s="8">
        <v>1</v>
      </c>
      <c r="I2023" s="3">
        <v>0</v>
      </c>
      <c r="J2023" s="3">
        <v>0</v>
      </c>
    </row>
    <row r="2024" spans="1:10" x14ac:dyDescent="0.25">
      <c r="A2024" s="2">
        <v>2026</v>
      </c>
      <c r="B2024" s="18">
        <v>45455.708287037036</v>
      </c>
      <c r="C2024" s="2" t="s">
        <v>345</v>
      </c>
      <c r="D2024" s="2" t="s">
        <v>2</v>
      </c>
      <c r="E2024" s="2" t="s">
        <v>370</v>
      </c>
      <c r="F2024" s="2" t="s">
        <v>19</v>
      </c>
      <c r="G2024" s="3">
        <v>590000</v>
      </c>
      <c r="H2024" s="8">
        <v>1</v>
      </c>
      <c r="I2024" s="3">
        <v>0</v>
      </c>
      <c r="J2024" s="3">
        <v>0</v>
      </c>
    </row>
    <row r="2025" spans="1:10" x14ac:dyDescent="0.25">
      <c r="A2025" s="2">
        <v>2027</v>
      </c>
      <c r="B2025" s="18">
        <v>45455.708287037036</v>
      </c>
      <c r="C2025" s="2" t="s">
        <v>345</v>
      </c>
      <c r="D2025" s="2" t="s">
        <v>2</v>
      </c>
      <c r="E2025" s="2" t="s">
        <v>370</v>
      </c>
      <c r="F2025" s="2" t="s">
        <v>61</v>
      </c>
      <c r="G2025" s="3">
        <v>890000</v>
      </c>
      <c r="H2025" s="8">
        <v>1</v>
      </c>
      <c r="I2025" s="3">
        <v>0</v>
      </c>
      <c r="J2025" s="3">
        <v>0</v>
      </c>
    </row>
    <row r="2026" spans="1:10" x14ac:dyDescent="0.25">
      <c r="A2026" s="2">
        <v>2028</v>
      </c>
      <c r="B2026" s="18">
        <v>45455.708287037036</v>
      </c>
      <c r="C2026" s="2" t="s">
        <v>345</v>
      </c>
      <c r="D2026" s="2" t="s">
        <v>2</v>
      </c>
      <c r="E2026" s="2" t="s">
        <v>370</v>
      </c>
      <c r="F2026" s="2" t="s">
        <v>83</v>
      </c>
      <c r="G2026" s="3">
        <v>790000</v>
      </c>
      <c r="H2026" s="8">
        <v>1</v>
      </c>
      <c r="I2026" s="3">
        <v>0</v>
      </c>
      <c r="J2026" s="3">
        <v>0</v>
      </c>
    </row>
    <row r="2027" spans="1:10" x14ac:dyDescent="0.25">
      <c r="A2027" s="2">
        <v>2029</v>
      </c>
      <c r="B2027" s="18">
        <v>45456.708287037036</v>
      </c>
      <c r="C2027" s="2" t="s">
        <v>345</v>
      </c>
      <c r="D2027" s="2" t="s">
        <v>272</v>
      </c>
      <c r="E2027" s="2" t="s">
        <v>369</v>
      </c>
      <c r="F2027" s="2" t="s">
        <v>29</v>
      </c>
      <c r="G2027" s="3">
        <v>590000</v>
      </c>
      <c r="H2027" s="8">
        <v>5</v>
      </c>
      <c r="I2027" s="3">
        <v>2212500</v>
      </c>
      <c r="J2027" s="3">
        <v>2212500</v>
      </c>
    </row>
    <row r="2028" spans="1:10" x14ac:dyDescent="0.25">
      <c r="A2028" s="2">
        <v>2030</v>
      </c>
      <c r="B2028" s="18">
        <v>45456.708287037036</v>
      </c>
      <c r="C2028" s="2" t="s">
        <v>345</v>
      </c>
      <c r="D2028" s="2" t="s">
        <v>272</v>
      </c>
      <c r="E2028" s="2" t="s">
        <v>369</v>
      </c>
      <c r="F2028" s="2" t="s">
        <v>29</v>
      </c>
      <c r="G2028" s="3">
        <v>590000</v>
      </c>
      <c r="H2028" s="8">
        <v>1</v>
      </c>
      <c r="I2028" s="3">
        <v>0</v>
      </c>
      <c r="J2028" s="3">
        <v>0</v>
      </c>
    </row>
    <row r="2029" spans="1:10" x14ac:dyDescent="0.25">
      <c r="A2029" s="2">
        <v>2031</v>
      </c>
      <c r="B2029" s="18">
        <v>45456.708287037036</v>
      </c>
      <c r="C2029" s="2" t="s">
        <v>345</v>
      </c>
      <c r="D2029" s="2" t="s">
        <v>272</v>
      </c>
      <c r="E2029" s="2" t="s">
        <v>369</v>
      </c>
      <c r="F2029" s="2" t="s">
        <v>19</v>
      </c>
      <c r="G2029" s="3">
        <v>590000</v>
      </c>
      <c r="H2029" s="8">
        <v>5</v>
      </c>
      <c r="I2029" s="3">
        <v>2212500</v>
      </c>
      <c r="J2029" s="3">
        <v>2212500</v>
      </c>
    </row>
    <row r="2030" spans="1:10" x14ac:dyDescent="0.25">
      <c r="A2030" s="2">
        <v>2032</v>
      </c>
      <c r="B2030" s="18">
        <v>45456.708287037036</v>
      </c>
      <c r="C2030" s="2" t="s">
        <v>345</v>
      </c>
      <c r="D2030" s="2" t="s">
        <v>272</v>
      </c>
      <c r="E2030" s="2" t="s">
        <v>369</v>
      </c>
      <c r="F2030" s="2" t="s">
        <v>19</v>
      </c>
      <c r="G2030" s="3">
        <v>590000</v>
      </c>
      <c r="H2030" s="8">
        <v>1</v>
      </c>
      <c r="I2030" s="3">
        <v>0</v>
      </c>
      <c r="J2030" s="3">
        <v>0</v>
      </c>
    </row>
    <row r="2031" spans="1:10" x14ac:dyDescent="0.25">
      <c r="A2031" s="2">
        <v>2033</v>
      </c>
      <c r="B2031" s="18">
        <v>45456.708287037036</v>
      </c>
      <c r="C2031" s="2" t="s">
        <v>345</v>
      </c>
      <c r="D2031" s="2" t="s">
        <v>272</v>
      </c>
      <c r="E2031" s="2" t="s">
        <v>369</v>
      </c>
      <c r="F2031" s="2" t="s">
        <v>89</v>
      </c>
      <c r="G2031" s="3">
        <v>390000</v>
      </c>
      <c r="H2031" s="8">
        <v>10</v>
      </c>
      <c r="I2031" s="3">
        <v>0</v>
      </c>
      <c r="J2031" s="3">
        <v>0</v>
      </c>
    </row>
    <row r="2032" spans="1:10" x14ac:dyDescent="0.25">
      <c r="A2032" s="2">
        <v>2034</v>
      </c>
      <c r="B2032" s="18">
        <v>45459.708287037036</v>
      </c>
      <c r="C2032" s="2" t="s">
        <v>345</v>
      </c>
      <c r="D2032" s="2" t="s">
        <v>90</v>
      </c>
      <c r="E2032" s="2" t="s">
        <v>365</v>
      </c>
      <c r="F2032" s="2" t="s">
        <v>29</v>
      </c>
      <c r="G2032" s="3">
        <v>590000</v>
      </c>
      <c r="H2032" s="8">
        <v>50</v>
      </c>
      <c r="I2032" s="3">
        <v>17700000</v>
      </c>
      <c r="J2032" s="3">
        <v>17700000</v>
      </c>
    </row>
    <row r="2033" spans="1:10" x14ac:dyDescent="0.25">
      <c r="A2033" s="2">
        <v>2035</v>
      </c>
      <c r="B2033" s="18">
        <v>45459.708287037036</v>
      </c>
      <c r="C2033" s="2" t="s">
        <v>345</v>
      </c>
      <c r="D2033" s="2" t="s">
        <v>90</v>
      </c>
      <c r="E2033" s="2" t="s">
        <v>365</v>
      </c>
      <c r="F2033" s="2" t="s">
        <v>35</v>
      </c>
      <c r="G2033" s="3">
        <v>525000</v>
      </c>
      <c r="H2033" s="8">
        <v>25</v>
      </c>
      <c r="I2033" s="3">
        <v>0</v>
      </c>
      <c r="J2033" s="3">
        <v>0</v>
      </c>
    </row>
    <row r="2034" spans="1:10" x14ac:dyDescent="0.25">
      <c r="A2034" s="2">
        <v>2036</v>
      </c>
      <c r="B2034" s="18">
        <v>45459.708287037036</v>
      </c>
      <c r="C2034" s="2" t="s">
        <v>345</v>
      </c>
      <c r="D2034" s="2" t="s">
        <v>90</v>
      </c>
      <c r="E2034" s="2" t="s">
        <v>365</v>
      </c>
      <c r="F2034" s="2" t="s">
        <v>89</v>
      </c>
      <c r="G2034" s="3">
        <v>390000</v>
      </c>
      <c r="H2034" s="8">
        <v>25</v>
      </c>
      <c r="I2034" s="3">
        <v>0</v>
      </c>
      <c r="J2034" s="3">
        <v>0</v>
      </c>
    </row>
    <row r="2035" spans="1:10" x14ac:dyDescent="0.25">
      <c r="A2035" s="2">
        <v>2037</v>
      </c>
      <c r="B2035" s="18">
        <v>45459.708287037036</v>
      </c>
      <c r="C2035" s="2" t="s">
        <v>345</v>
      </c>
      <c r="D2035" s="2" t="s">
        <v>253</v>
      </c>
      <c r="E2035" s="2" t="s">
        <v>370</v>
      </c>
      <c r="F2035" s="2" t="s">
        <v>421</v>
      </c>
      <c r="G2035" s="3">
        <v>0</v>
      </c>
      <c r="H2035" s="8">
        <v>0</v>
      </c>
      <c r="I2035" s="3">
        <v>0</v>
      </c>
      <c r="J2035" s="3">
        <v>0</v>
      </c>
    </row>
    <row r="2036" spans="1:10" x14ac:dyDescent="0.25">
      <c r="A2036" s="2">
        <v>2039</v>
      </c>
      <c r="B2036" s="18">
        <v>45445.708287037036</v>
      </c>
      <c r="C2036" s="2" t="s">
        <v>345</v>
      </c>
      <c r="D2036" s="2" t="s">
        <v>72</v>
      </c>
      <c r="E2036" s="2" t="s">
        <v>364</v>
      </c>
      <c r="F2036" s="2" t="s">
        <v>19</v>
      </c>
      <c r="G2036" s="3">
        <v>590000</v>
      </c>
      <c r="H2036" s="8">
        <v>200</v>
      </c>
      <c r="I2036" s="3">
        <v>0</v>
      </c>
      <c r="J2036" s="3">
        <v>0</v>
      </c>
    </row>
    <row r="2037" spans="1:10" x14ac:dyDescent="0.25">
      <c r="A2037" s="2">
        <v>2047</v>
      </c>
      <c r="B2037" s="18">
        <v>45459.708287037036</v>
      </c>
      <c r="C2037" s="2" t="s">
        <v>345</v>
      </c>
      <c r="D2037" s="2" t="s">
        <v>257</v>
      </c>
      <c r="E2037" s="2" t="s">
        <v>367</v>
      </c>
      <c r="F2037" s="2" t="s">
        <v>17</v>
      </c>
      <c r="G2037" s="3">
        <v>1250000</v>
      </c>
      <c r="H2037" s="8">
        <v>10</v>
      </c>
      <c r="I2037" s="3">
        <v>6250000</v>
      </c>
      <c r="J2037" s="3">
        <v>6250000</v>
      </c>
    </row>
    <row r="2038" spans="1:10" x14ac:dyDescent="0.25">
      <c r="A2038" s="2">
        <v>2048</v>
      </c>
      <c r="B2038" s="18">
        <v>45459.708287037036</v>
      </c>
      <c r="C2038" s="2" t="s">
        <v>345</v>
      </c>
      <c r="D2038" s="2" t="s">
        <v>257</v>
      </c>
      <c r="E2038" s="2" t="s">
        <v>367</v>
      </c>
      <c r="F2038" s="2" t="s">
        <v>89</v>
      </c>
      <c r="G2038" s="3">
        <v>390000</v>
      </c>
      <c r="H2038" s="8">
        <v>5</v>
      </c>
      <c r="I2038" s="3">
        <v>0</v>
      </c>
      <c r="J2038" s="3">
        <v>0</v>
      </c>
    </row>
    <row r="2039" spans="1:10" x14ac:dyDescent="0.25">
      <c r="A2039" s="2">
        <v>2049</v>
      </c>
      <c r="B2039" s="18">
        <v>45461.708287037036</v>
      </c>
      <c r="C2039" s="2" t="s">
        <v>345</v>
      </c>
      <c r="D2039" s="2" t="s">
        <v>119</v>
      </c>
      <c r="E2039" s="2" t="s">
        <v>370</v>
      </c>
      <c r="F2039" s="2" t="s">
        <v>29</v>
      </c>
      <c r="G2039" s="3">
        <v>590000</v>
      </c>
      <c r="H2039" s="8">
        <v>1</v>
      </c>
      <c r="I2039" s="3">
        <v>386181.55</v>
      </c>
      <c r="J2039" s="3">
        <v>424799.70499999996</v>
      </c>
    </row>
    <row r="2040" spans="1:10" x14ac:dyDescent="0.25">
      <c r="A2040" s="2">
        <v>2050</v>
      </c>
      <c r="B2040" s="18">
        <v>45461.708287037036</v>
      </c>
      <c r="C2040" s="2" t="s">
        <v>345</v>
      </c>
      <c r="D2040" s="2" t="s">
        <v>119</v>
      </c>
      <c r="E2040" s="2" t="s">
        <v>370</v>
      </c>
      <c r="F2040" s="2" t="s">
        <v>19</v>
      </c>
      <c r="G2040" s="3">
        <v>590000</v>
      </c>
      <c r="H2040" s="8">
        <v>1</v>
      </c>
      <c r="I2040" s="3">
        <v>386181.55</v>
      </c>
      <c r="J2040" s="3">
        <v>424799.70499999996</v>
      </c>
    </row>
    <row r="2041" spans="1:10" x14ac:dyDescent="0.25">
      <c r="A2041" s="2">
        <v>2051</v>
      </c>
      <c r="B2041" s="18">
        <v>45461.708287037036</v>
      </c>
      <c r="C2041" s="2" t="s">
        <v>345</v>
      </c>
      <c r="D2041" s="2" t="s">
        <v>119</v>
      </c>
      <c r="E2041" s="2" t="s">
        <v>370</v>
      </c>
      <c r="F2041" s="2" t="s">
        <v>61</v>
      </c>
      <c r="G2041" s="3">
        <v>890000</v>
      </c>
      <c r="H2041" s="8">
        <v>2</v>
      </c>
      <c r="I2041" s="3">
        <v>1165090.1</v>
      </c>
      <c r="J2041" s="3">
        <v>1281599.11</v>
      </c>
    </row>
    <row r="2042" spans="1:10" x14ac:dyDescent="0.25">
      <c r="A2042" s="2">
        <v>2052</v>
      </c>
      <c r="B2042" s="18">
        <v>45461.708287037036</v>
      </c>
      <c r="C2042" s="2" t="s">
        <v>345</v>
      </c>
      <c r="D2042" s="2" t="s">
        <v>119</v>
      </c>
      <c r="E2042" s="2" t="s">
        <v>370</v>
      </c>
      <c r="F2042" s="2" t="s">
        <v>83</v>
      </c>
      <c r="G2042" s="3">
        <v>790000</v>
      </c>
      <c r="H2042" s="8">
        <v>2</v>
      </c>
      <c r="I2042" s="3">
        <v>1034181.1</v>
      </c>
      <c r="J2042" s="3">
        <v>1137599.21</v>
      </c>
    </row>
    <row r="2043" spans="1:10" x14ac:dyDescent="0.25">
      <c r="A2043" s="2">
        <v>2053</v>
      </c>
      <c r="B2043" s="18">
        <v>45461.708287037036</v>
      </c>
      <c r="C2043" s="2" t="s">
        <v>345</v>
      </c>
      <c r="D2043" s="2" t="s">
        <v>119</v>
      </c>
      <c r="E2043" s="2" t="s">
        <v>370</v>
      </c>
      <c r="F2043" s="2" t="s">
        <v>35</v>
      </c>
      <c r="G2043" s="3">
        <v>525000</v>
      </c>
      <c r="H2043" s="8">
        <v>1</v>
      </c>
      <c r="I2043" s="3">
        <v>343636.125</v>
      </c>
      <c r="J2043" s="3">
        <v>377999.7375</v>
      </c>
    </row>
    <row r="2044" spans="1:10" x14ac:dyDescent="0.25">
      <c r="A2044" s="2">
        <v>2054</v>
      </c>
      <c r="B2044" s="18">
        <v>45461.708287037036</v>
      </c>
      <c r="C2044" s="2" t="s">
        <v>345</v>
      </c>
      <c r="D2044" s="2" t="s">
        <v>301</v>
      </c>
      <c r="E2044" s="2" t="s">
        <v>364</v>
      </c>
      <c r="F2044" s="2" t="s">
        <v>19</v>
      </c>
      <c r="G2044" s="3">
        <v>590000</v>
      </c>
      <c r="H2044" s="8">
        <v>15</v>
      </c>
      <c r="I2044" s="3">
        <v>5133000</v>
      </c>
      <c r="J2044" s="3">
        <v>5133000</v>
      </c>
    </row>
    <row r="2045" spans="1:10" x14ac:dyDescent="0.25">
      <c r="A2045" s="2">
        <v>2055</v>
      </c>
      <c r="B2045" s="18">
        <v>45461.708287037036</v>
      </c>
      <c r="C2045" s="2" t="s">
        <v>345</v>
      </c>
      <c r="D2045" s="2" t="s">
        <v>301</v>
      </c>
      <c r="E2045" s="2" t="s">
        <v>364</v>
      </c>
      <c r="F2045" s="2" t="s">
        <v>21</v>
      </c>
      <c r="G2045" s="3">
        <v>890000</v>
      </c>
      <c r="H2045" s="8">
        <v>2</v>
      </c>
      <c r="I2045" s="3">
        <v>1032400</v>
      </c>
      <c r="J2045" s="3">
        <v>1032400</v>
      </c>
    </row>
    <row r="2046" spans="1:10" x14ac:dyDescent="0.25">
      <c r="A2046" s="2">
        <v>2056</v>
      </c>
      <c r="B2046" s="18">
        <v>45461.708287037036</v>
      </c>
      <c r="C2046" s="2" t="s">
        <v>345</v>
      </c>
      <c r="D2046" s="2" t="s">
        <v>301</v>
      </c>
      <c r="E2046" s="2" t="s">
        <v>364</v>
      </c>
      <c r="F2046" s="2" t="s">
        <v>27</v>
      </c>
      <c r="G2046" s="3">
        <v>935000</v>
      </c>
      <c r="H2046" s="8">
        <v>2</v>
      </c>
      <c r="I2046" s="3">
        <v>1084600</v>
      </c>
      <c r="J2046" s="3">
        <v>1084600</v>
      </c>
    </row>
    <row r="2047" spans="1:10" x14ac:dyDescent="0.25">
      <c r="A2047" s="2">
        <v>2057</v>
      </c>
      <c r="B2047" s="18">
        <v>45461.708287037036</v>
      </c>
      <c r="C2047" s="2" t="s">
        <v>345</v>
      </c>
      <c r="D2047" s="2" t="s">
        <v>301</v>
      </c>
      <c r="E2047" s="2" t="s">
        <v>364</v>
      </c>
      <c r="F2047" s="2" t="s">
        <v>31</v>
      </c>
      <c r="G2047" s="3">
        <v>745000</v>
      </c>
      <c r="H2047" s="8">
        <v>2</v>
      </c>
      <c r="I2047" s="3">
        <v>864200</v>
      </c>
      <c r="J2047" s="3">
        <v>864200</v>
      </c>
    </row>
    <row r="2048" spans="1:10" x14ac:dyDescent="0.25">
      <c r="A2048" s="2">
        <v>2058</v>
      </c>
      <c r="B2048" s="18">
        <v>45461.708287037036</v>
      </c>
      <c r="C2048" s="2" t="s">
        <v>345</v>
      </c>
      <c r="D2048" s="2" t="s">
        <v>301</v>
      </c>
      <c r="E2048" s="2" t="s">
        <v>364</v>
      </c>
      <c r="F2048" s="2" t="s">
        <v>57</v>
      </c>
      <c r="G2048" s="3">
        <v>745000</v>
      </c>
      <c r="H2048" s="8">
        <v>5</v>
      </c>
      <c r="I2048" s="3">
        <v>2160500</v>
      </c>
      <c r="J2048" s="3">
        <v>2160500</v>
      </c>
    </row>
    <row r="2049" spans="1:10" x14ac:dyDescent="0.25">
      <c r="A2049" s="2">
        <v>2059</v>
      </c>
      <c r="B2049" s="18">
        <v>45461.708287037036</v>
      </c>
      <c r="C2049" s="2" t="s">
        <v>345</v>
      </c>
      <c r="D2049" s="2" t="s">
        <v>301</v>
      </c>
      <c r="E2049" s="2" t="s">
        <v>364</v>
      </c>
      <c r="F2049" s="2" t="s">
        <v>35</v>
      </c>
      <c r="G2049" s="3">
        <v>525000</v>
      </c>
      <c r="H2049" s="8">
        <v>26</v>
      </c>
      <c r="I2049" s="3">
        <v>0</v>
      </c>
      <c r="J2049" s="3">
        <v>0</v>
      </c>
    </row>
    <row r="2050" spans="1:10" x14ac:dyDescent="0.25">
      <c r="A2050" s="2">
        <v>2060</v>
      </c>
      <c r="B2050" s="18">
        <v>45461.708287037036</v>
      </c>
      <c r="C2050" s="2" t="s">
        <v>345</v>
      </c>
      <c r="D2050" s="2" t="s">
        <v>102</v>
      </c>
      <c r="E2050" s="2" t="s">
        <v>369</v>
      </c>
      <c r="F2050" s="2" t="s">
        <v>35</v>
      </c>
      <c r="G2050" s="3">
        <v>525000</v>
      </c>
      <c r="H2050" s="8">
        <v>2</v>
      </c>
      <c r="I2050" s="3">
        <v>199999.79999999993</v>
      </c>
      <c r="J2050" s="3">
        <v>199999.79999999993</v>
      </c>
    </row>
    <row r="2051" spans="1:10" x14ac:dyDescent="0.25">
      <c r="A2051" s="2">
        <v>2061</v>
      </c>
      <c r="B2051" s="18">
        <v>45461.708287037036</v>
      </c>
      <c r="C2051" s="2" t="s">
        <v>345</v>
      </c>
      <c r="D2051" s="2" t="s">
        <v>102</v>
      </c>
      <c r="E2051" s="2" t="s">
        <v>369</v>
      </c>
      <c r="F2051" s="2" t="s">
        <v>61</v>
      </c>
      <c r="G2051" s="3">
        <v>890000</v>
      </c>
      <c r="H2051" s="8">
        <v>5</v>
      </c>
      <c r="I2051" s="3">
        <v>2594999.7</v>
      </c>
      <c r="J2051" s="3">
        <v>2594999.7</v>
      </c>
    </row>
    <row r="2052" spans="1:10" x14ac:dyDescent="0.25">
      <c r="A2052" s="2">
        <v>2062</v>
      </c>
      <c r="B2052" s="18">
        <v>45463.708287037036</v>
      </c>
      <c r="C2052" s="2" t="s">
        <v>345</v>
      </c>
      <c r="D2052" s="2" t="s">
        <v>32</v>
      </c>
      <c r="E2052" s="2" t="s">
        <v>366</v>
      </c>
      <c r="F2052" s="2" t="s">
        <v>29</v>
      </c>
      <c r="G2052" s="3">
        <v>590000</v>
      </c>
      <c r="H2052" s="8">
        <v>1</v>
      </c>
      <c r="I2052" s="3">
        <v>0</v>
      </c>
      <c r="J2052" s="3">
        <v>0</v>
      </c>
    </row>
    <row r="2053" spans="1:10" x14ac:dyDescent="0.25">
      <c r="A2053" s="2">
        <v>2063</v>
      </c>
      <c r="B2053" s="18">
        <v>45463.708287037036</v>
      </c>
      <c r="C2053" s="2" t="s">
        <v>345</v>
      </c>
      <c r="D2053" s="2" t="s">
        <v>32</v>
      </c>
      <c r="E2053" s="2" t="s">
        <v>366</v>
      </c>
      <c r="F2053" s="2" t="s">
        <v>21</v>
      </c>
      <c r="G2053" s="3">
        <v>890000</v>
      </c>
      <c r="H2053" s="8">
        <v>1</v>
      </c>
      <c r="I2053" s="3">
        <v>0</v>
      </c>
      <c r="J2053" s="3">
        <v>0</v>
      </c>
    </row>
    <row r="2054" spans="1:10" x14ac:dyDescent="0.25">
      <c r="A2054" s="2">
        <v>2064</v>
      </c>
      <c r="B2054" s="18">
        <v>45463.708287037036</v>
      </c>
      <c r="C2054" s="2" t="s">
        <v>345</v>
      </c>
      <c r="D2054" s="2" t="s">
        <v>86</v>
      </c>
      <c r="E2054" s="2" t="s">
        <v>369</v>
      </c>
      <c r="F2054" s="2" t="s">
        <v>424</v>
      </c>
      <c r="G2054" s="3">
        <v>0</v>
      </c>
      <c r="H2054" s="8">
        <v>0</v>
      </c>
      <c r="I2054" s="3">
        <v>0</v>
      </c>
      <c r="J2054" s="3">
        <v>0</v>
      </c>
    </row>
    <row r="2055" spans="1:10" x14ac:dyDescent="0.25">
      <c r="A2055" s="2">
        <v>2065</v>
      </c>
      <c r="B2055" s="18">
        <v>45463.708287037036</v>
      </c>
      <c r="C2055" s="2" t="s">
        <v>345</v>
      </c>
      <c r="D2055" s="2" t="s">
        <v>96</v>
      </c>
      <c r="E2055" s="2" t="s">
        <v>369</v>
      </c>
      <c r="F2055" s="2" t="s">
        <v>59</v>
      </c>
      <c r="G2055" s="3">
        <v>475000</v>
      </c>
      <c r="H2055" s="8">
        <v>20</v>
      </c>
      <c r="I2055" s="3">
        <v>7125000</v>
      </c>
      <c r="J2055" s="3">
        <v>7125000</v>
      </c>
    </row>
    <row r="2056" spans="1:10" x14ac:dyDescent="0.25">
      <c r="A2056" s="2">
        <v>2066</v>
      </c>
      <c r="B2056" s="18">
        <v>45463.708287037036</v>
      </c>
      <c r="C2056" s="2" t="s">
        <v>345</v>
      </c>
      <c r="D2056" s="2" t="s">
        <v>96</v>
      </c>
      <c r="E2056" s="2" t="s">
        <v>369</v>
      </c>
      <c r="F2056" s="2" t="s">
        <v>59</v>
      </c>
      <c r="G2056" s="3">
        <v>475000</v>
      </c>
      <c r="H2056" s="8">
        <v>3</v>
      </c>
      <c r="I2056" s="3">
        <v>0</v>
      </c>
      <c r="J2056" s="3">
        <v>0</v>
      </c>
    </row>
    <row r="2057" spans="1:10" x14ac:dyDescent="0.25">
      <c r="A2057" s="2">
        <v>2067</v>
      </c>
      <c r="B2057" s="18">
        <v>45463.708287037036</v>
      </c>
      <c r="C2057" s="2" t="s">
        <v>345</v>
      </c>
      <c r="D2057" s="2" t="s">
        <v>96</v>
      </c>
      <c r="E2057" s="2" t="s">
        <v>369</v>
      </c>
      <c r="F2057" s="2" t="s">
        <v>33</v>
      </c>
      <c r="G2057" s="3">
        <v>485000</v>
      </c>
      <c r="H2057" s="8">
        <v>20</v>
      </c>
      <c r="I2057" s="3">
        <v>7275000</v>
      </c>
      <c r="J2057" s="3">
        <v>7275000</v>
      </c>
    </row>
    <row r="2058" spans="1:10" x14ac:dyDescent="0.25">
      <c r="A2058" s="2">
        <v>2068</v>
      </c>
      <c r="B2058" s="18">
        <v>45463.708287037036</v>
      </c>
      <c r="C2058" s="2" t="s">
        <v>345</v>
      </c>
      <c r="D2058" s="2" t="s">
        <v>96</v>
      </c>
      <c r="E2058" s="2" t="s">
        <v>369</v>
      </c>
      <c r="F2058" s="2" t="s">
        <v>33</v>
      </c>
      <c r="G2058" s="3">
        <v>485000</v>
      </c>
      <c r="H2058" s="8">
        <v>3</v>
      </c>
      <c r="I2058" s="3">
        <v>0</v>
      </c>
      <c r="J2058" s="3">
        <v>0</v>
      </c>
    </row>
    <row r="2059" spans="1:10" x14ac:dyDescent="0.25">
      <c r="A2059" s="2">
        <v>2069</v>
      </c>
      <c r="B2059" s="18">
        <v>45463.708287037036</v>
      </c>
      <c r="C2059" s="2" t="s">
        <v>345</v>
      </c>
      <c r="D2059" s="2" t="s">
        <v>96</v>
      </c>
      <c r="E2059" s="2" t="s">
        <v>369</v>
      </c>
      <c r="F2059" s="2" t="s">
        <v>29</v>
      </c>
      <c r="G2059" s="3">
        <v>590000</v>
      </c>
      <c r="H2059" s="8">
        <v>20</v>
      </c>
      <c r="I2059" s="3">
        <v>8850000</v>
      </c>
      <c r="J2059" s="3">
        <v>8850000</v>
      </c>
    </row>
    <row r="2060" spans="1:10" x14ac:dyDescent="0.25">
      <c r="A2060" s="2">
        <v>2070</v>
      </c>
      <c r="B2060" s="18">
        <v>45463.708287037036</v>
      </c>
      <c r="C2060" s="2" t="s">
        <v>345</v>
      </c>
      <c r="D2060" s="2" t="s">
        <v>96</v>
      </c>
      <c r="E2060" s="2" t="s">
        <v>369</v>
      </c>
      <c r="F2060" s="2" t="s">
        <v>29</v>
      </c>
      <c r="G2060" s="3">
        <v>590000</v>
      </c>
      <c r="H2060" s="8">
        <v>3</v>
      </c>
      <c r="I2060" s="3">
        <v>0</v>
      </c>
      <c r="J2060" s="3">
        <v>0</v>
      </c>
    </row>
    <row r="2061" spans="1:10" x14ac:dyDescent="0.25">
      <c r="A2061" s="2">
        <v>2071</v>
      </c>
      <c r="B2061" s="18">
        <v>45463.708287037036</v>
      </c>
      <c r="C2061" s="2" t="s">
        <v>345</v>
      </c>
      <c r="D2061" s="2" t="s">
        <v>96</v>
      </c>
      <c r="E2061" s="2" t="s">
        <v>369</v>
      </c>
      <c r="F2061" s="2" t="s">
        <v>49</v>
      </c>
      <c r="G2061" s="3">
        <v>200000</v>
      </c>
      <c r="H2061" s="8">
        <v>46</v>
      </c>
      <c r="I2061" s="3">
        <v>0</v>
      </c>
      <c r="J2061" s="3">
        <v>0</v>
      </c>
    </row>
    <row r="2062" spans="1:10" x14ac:dyDescent="0.25">
      <c r="A2062" s="2">
        <v>2072</v>
      </c>
      <c r="B2062" s="18">
        <v>45463.708287037036</v>
      </c>
      <c r="C2062" s="2" t="s">
        <v>345</v>
      </c>
      <c r="D2062" s="2" t="s">
        <v>96</v>
      </c>
      <c r="E2062" s="2" t="s">
        <v>369</v>
      </c>
      <c r="F2062" s="2" t="s">
        <v>89</v>
      </c>
      <c r="G2062" s="3">
        <v>390000</v>
      </c>
      <c r="H2062" s="8">
        <v>23</v>
      </c>
      <c r="I2062" s="3">
        <v>0</v>
      </c>
      <c r="J2062" s="3">
        <v>0</v>
      </c>
    </row>
    <row r="2063" spans="1:10" x14ac:dyDescent="0.25">
      <c r="A2063" s="2">
        <v>2073</v>
      </c>
      <c r="B2063" s="18">
        <v>45466.708287037036</v>
      </c>
      <c r="C2063" s="2" t="s">
        <v>345</v>
      </c>
      <c r="D2063" s="2" t="s">
        <v>112</v>
      </c>
      <c r="E2063" s="2" t="s">
        <v>370</v>
      </c>
      <c r="F2063" s="2" t="s">
        <v>29</v>
      </c>
      <c r="G2063" s="3">
        <v>590000</v>
      </c>
      <c r="H2063" s="8">
        <v>3</v>
      </c>
      <c r="I2063" s="3">
        <v>1158544.65</v>
      </c>
      <c r="J2063" s="3">
        <v>1274399.115</v>
      </c>
    </row>
    <row r="2064" spans="1:10" x14ac:dyDescent="0.25">
      <c r="A2064" s="2">
        <v>2074</v>
      </c>
      <c r="B2064" s="18">
        <v>45466.708287037036</v>
      </c>
      <c r="C2064" s="2" t="s">
        <v>345</v>
      </c>
      <c r="D2064" s="2" t="s">
        <v>112</v>
      </c>
      <c r="E2064" s="2" t="s">
        <v>370</v>
      </c>
      <c r="F2064" s="2" t="s">
        <v>61</v>
      </c>
      <c r="G2064" s="3">
        <v>890000</v>
      </c>
      <c r="H2064" s="8">
        <v>3</v>
      </c>
      <c r="I2064" s="3">
        <v>1747635.1500000001</v>
      </c>
      <c r="J2064" s="3">
        <v>1922398.665</v>
      </c>
    </row>
    <row r="2065" spans="1:10" x14ac:dyDescent="0.25">
      <c r="A2065" s="2">
        <v>2075</v>
      </c>
      <c r="B2065" s="18">
        <v>45466.708287037036</v>
      </c>
      <c r="C2065" s="2" t="s">
        <v>345</v>
      </c>
      <c r="D2065" s="2" t="s">
        <v>112</v>
      </c>
      <c r="E2065" s="2" t="s">
        <v>370</v>
      </c>
      <c r="F2065" s="2" t="s">
        <v>57</v>
      </c>
      <c r="G2065" s="3">
        <v>745000</v>
      </c>
      <c r="H2065" s="8">
        <v>3</v>
      </c>
      <c r="I2065" s="3">
        <v>1462908.0750000002</v>
      </c>
      <c r="J2065" s="3">
        <v>1609198.8825000003</v>
      </c>
    </row>
    <row r="2066" spans="1:10" x14ac:dyDescent="0.25">
      <c r="A2066" s="2">
        <v>2076</v>
      </c>
      <c r="B2066" s="18">
        <v>45466.708287037036</v>
      </c>
      <c r="C2066" s="2" t="s">
        <v>345</v>
      </c>
      <c r="D2066" s="2" t="s">
        <v>92</v>
      </c>
      <c r="E2066" s="2" t="s">
        <v>365</v>
      </c>
      <c r="F2066" s="2" t="s">
        <v>29</v>
      </c>
      <c r="G2066" s="3">
        <v>590000</v>
      </c>
      <c r="H2066" s="8">
        <v>10</v>
      </c>
      <c r="I2066" s="3">
        <v>3540000</v>
      </c>
      <c r="J2066" s="3">
        <v>3433800</v>
      </c>
    </row>
    <row r="2067" spans="1:10" x14ac:dyDescent="0.25">
      <c r="A2067" s="2">
        <v>2077</v>
      </c>
      <c r="B2067" s="18">
        <v>45466.708287037036</v>
      </c>
      <c r="C2067" s="2" t="s">
        <v>345</v>
      </c>
      <c r="D2067" s="2" t="s">
        <v>92</v>
      </c>
      <c r="E2067" s="2" t="s">
        <v>365</v>
      </c>
      <c r="F2067" s="2" t="s">
        <v>27</v>
      </c>
      <c r="G2067" s="3">
        <v>935000</v>
      </c>
      <c r="H2067" s="8">
        <v>10</v>
      </c>
      <c r="I2067" s="3">
        <v>5610000</v>
      </c>
      <c r="J2067" s="3">
        <v>5441700</v>
      </c>
    </row>
    <row r="2068" spans="1:10" x14ac:dyDescent="0.25">
      <c r="A2068" s="2">
        <v>2078</v>
      </c>
      <c r="B2068" s="18">
        <v>45466.708287037036</v>
      </c>
      <c r="C2068" s="2" t="s">
        <v>345</v>
      </c>
      <c r="D2068" s="2" t="s">
        <v>92</v>
      </c>
      <c r="E2068" s="2" t="s">
        <v>365</v>
      </c>
      <c r="F2068" s="2" t="s">
        <v>61</v>
      </c>
      <c r="G2068" s="3">
        <v>890000</v>
      </c>
      <c r="H2068" s="8">
        <v>10</v>
      </c>
      <c r="I2068" s="3">
        <v>5340000</v>
      </c>
      <c r="J2068" s="3">
        <v>5179800</v>
      </c>
    </row>
    <row r="2069" spans="1:10" x14ac:dyDescent="0.25">
      <c r="A2069" s="2">
        <v>2079</v>
      </c>
      <c r="B2069" s="18">
        <v>45466.708287037036</v>
      </c>
      <c r="C2069" s="2" t="s">
        <v>345</v>
      </c>
      <c r="D2069" s="2" t="s">
        <v>92</v>
      </c>
      <c r="E2069" s="2" t="s">
        <v>365</v>
      </c>
      <c r="F2069" s="2" t="s">
        <v>85</v>
      </c>
      <c r="G2069" s="3">
        <v>480000</v>
      </c>
      <c r="H2069" s="8">
        <v>10</v>
      </c>
      <c r="I2069" s="3">
        <v>2880000</v>
      </c>
      <c r="J2069" s="3">
        <v>2793600</v>
      </c>
    </row>
    <row r="2070" spans="1:10" x14ac:dyDescent="0.25">
      <c r="A2070" s="2">
        <v>2080</v>
      </c>
      <c r="B2070" s="18">
        <v>45466.708287037036</v>
      </c>
      <c r="C2070" s="2" t="s">
        <v>345</v>
      </c>
      <c r="D2070" s="2" t="s">
        <v>92</v>
      </c>
      <c r="E2070" s="2" t="s">
        <v>365</v>
      </c>
      <c r="F2070" s="2" t="s">
        <v>83</v>
      </c>
      <c r="G2070" s="3">
        <v>790000</v>
      </c>
      <c r="H2070" s="8">
        <v>10</v>
      </c>
      <c r="I2070" s="3">
        <v>4740000</v>
      </c>
      <c r="J2070" s="3">
        <v>4597800</v>
      </c>
    </row>
    <row r="2071" spans="1:10" x14ac:dyDescent="0.25">
      <c r="A2071" s="2">
        <v>2081</v>
      </c>
      <c r="B2071" s="18">
        <v>45466.708287037036</v>
      </c>
      <c r="C2071" s="2" t="s">
        <v>345</v>
      </c>
      <c r="D2071" s="2" t="s">
        <v>92</v>
      </c>
      <c r="E2071" s="2" t="s">
        <v>365</v>
      </c>
      <c r="F2071" s="2" t="s">
        <v>35</v>
      </c>
      <c r="G2071" s="3">
        <v>525000</v>
      </c>
      <c r="H2071" s="8">
        <v>10</v>
      </c>
      <c r="I2071" s="3">
        <v>3150000</v>
      </c>
      <c r="J2071" s="3">
        <v>3055500</v>
      </c>
    </row>
    <row r="2072" spans="1:10" x14ac:dyDescent="0.25">
      <c r="A2072" s="2">
        <v>2082</v>
      </c>
      <c r="B2072" s="18">
        <v>45466.708287037036</v>
      </c>
      <c r="C2072" s="2" t="s">
        <v>345</v>
      </c>
      <c r="D2072" s="2" t="s">
        <v>92</v>
      </c>
      <c r="E2072" s="2" t="s">
        <v>365</v>
      </c>
      <c r="F2072" s="2" t="s">
        <v>23</v>
      </c>
      <c r="G2072" s="3">
        <v>775000</v>
      </c>
      <c r="H2072" s="8">
        <v>10</v>
      </c>
      <c r="I2072" s="3">
        <v>4650000</v>
      </c>
      <c r="J2072" s="3">
        <v>4510500</v>
      </c>
    </row>
    <row r="2073" spans="1:10" x14ac:dyDescent="0.25">
      <c r="A2073" s="2">
        <v>2083</v>
      </c>
      <c r="B2073" s="18">
        <v>45466.708287037036</v>
      </c>
      <c r="C2073" s="2" t="s">
        <v>345</v>
      </c>
      <c r="D2073" s="2" t="s">
        <v>92</v>
      </c>
      <c r="E2073" s="2" t="s">
        <v>365</v>
      </c>
      <c r="F2073" s="2" t="s">
        <v>33</v>
      </c>
      <c r="G2073" s="3">
        <v>485000</v>
      </c>
      <c r="H2073" s="8">
        <v>10</v>
      </c>
      <c r="I2073" s="3">
        <v>2910000</v>
      </c>
      <c r="J2073" s="3">
        <v>2822700</v>
      </c>
    </row>
    <row r="2074" spans="1:10" x14ac:dyDescent="0.25">
      <c r="A2074" s="2">
        <v>2084</v>
      </c>
      <c r="B2074" s="18">
        <v>45466.708287037036</v>
      </c>
      <c r="C2074" s="2" t="s">
        <v>345</v>
      </c>
      <c r="D2074" s="2" t="s">
        <v>92</v>
      </c>
      <c r="E2074" s="2" t="s">
        <v>365</v>
      </c>
      <c r="F2074" s="2" t="s">
        <v>31</v>
      </c>
      <c r="G2074" s="3">
        <v>745000</v>
      </c>
      <c r="H2074" s="8">
        <v>10</v>
      </c>
      <c r="I2074" s="3">
        <v>4470000</v>
      </c>
      <c r="J2074" s="3">
        <v>4335900</v>
      </c>
    </row>
    <row r="2075" spans="1:10" x14ac:dyDescent="0.25">
      <c r="A2075" s="2">
        <v>2085</v>
      </c>
      <c r="B2075" s="18">
        <v>45466.708287037036</v>
      </c>
      <c r="C2075" s="2" t="s">
        <v>345</v>
      </c>
      <c r="D2075" s="2" t="s">
        <v>92</v>
      </c>
      <c r="E2075" s="2" t="s">
        <v>365</v>
      </c>
      <c r="F2075" s="2" t="s">
        <v>59</v>
      </c>
      <c r="G2075" s="3">
        <v>475000</v>
      </c>
      <c r="H2075" s="8">
        <v>10</v>
      </c>
      <c r="I2075" s="3">
        <v>2850000</v>
      </c>
      <c r="J2075" s="3">
        <v>2764500</v>
      </c>
    </row>
    <row r="2076" spans="1:10" x14ac:dyDescent="0.25">
      <c r="A2076" s="2">
        <v>2086</v>
      </c>
      <c r="B2076" s="18">
        <v>45466.708287037036</v>
      </c>
      <c r="C2076" s="2" t="s">
        <v>345</v>
      </c>
      <c r="D2076" s="2" t="s">
        <v>92</v>
      </c>
      <c r="E2076" s="2" t="s">
        <v>365</v>
      </c>
      <c r="F2076" s="2" t="s">
        <v>57</v>
      </c>
      <c r="G2076" s="3">
        <v>745000</v>
      </c>
      <c r="H2076" s="8">
        <v>10</v>
      </c>
      <c r="I2076" s="3">
        <v>4470000</v>
      </c>
      <c r="J2076" s="3">
        <v>4335900</v>
      </c>
    </row>
    <row r="2077" spans="1:10" x14ac:dyDescent="0.25">
      <c r="A2077" s="2">
        <v>2087</v>
      </c>
      <c r="B2077" s="18">
        <v>45466.708287037036</v>
      </c>
      <c r="C2077" s="2" t="s">
        <v>345</v>
      </c>
      <c r="D2077" s="2" t="s">
        <v>92</v>
      </c>
      <c r="E2077" s="2" t="s">
        <v>365</v>
      </c>
      <c r="F2077" s="2" t="s">
        <v>89</v>
      </c>
      <c r="G2077" s="3">
        <v>390000</v>
      </c>
      <c r="H2077" s="8">
        <v>50</v>
      </c>
      <c r="I2077" s="3">
        <v>0</v>
      </c>
      <c r="J2077" s="3">
        <v>0</v>
      </c>
    </row>
    <row r="2078" spans="1:10" x14ac:dyDescent="0.25">
      <c r="A2078" s="2">
        <v>2088</v>
      </c>
      <c r="B2078" s="18">
        <v>45466.708287037036</v>
      </c>
      <c r="C2078" s="2" t="s">
        <v>345</v>
      </c>
      <c r="D2078" s="2" t="s">
        <v>92</v>
      </c>
      <c r="E2078" s="2" t="s">
        <v>365</v>
      </c>
      <c r="F2078" s="2" t="s">
        <v>49</v>
      </c>
      <c r="G2078" s="3">
        <v>200000</v>
      </c>
      <c r="H2078" s="8">
        <v>20</v>
      </c>
      <c r="I2078" s="3">
        <v>0</v>
      </c>
      <c r="J2078" s="3">
        <v>0</v>
      </c>
    </row>
    <row r="2079" spans="1:10" x14ac:dyDescent="0.25">
      <c r="A2079" s="2">
        <v>2089</v>
      </c>
      <c r="B2079" s="18">
        <v>45466.708287037036</v>
      </c>
      <c r="C2079" s="2" t="s">
        <v>345</v>
      </c>
      <c r="D2079" s="2" t="s">
        <v>82</v>
      </c>
      <c r="E2079" s="2" t="s">
        <v>364</v>
      </c>
      <c r="F2079" s="2" t="s">
        <v>59</v>
      </c>
      <c r="G2079" s="3">
        <v>475000</v>
      </c>
      <c r="H2079" s="8">
        <v>1</v>
      </c>
      <c r="I2079" s="3">
        <v>0</v>
      </c>
      <c r="J2079" s="3">
        <v>0</v>
      </c>
    </row>
    <row r="2080" spans="1:10" x14ac:dyDescent="0.25">
      <c r="A2080" s="2">
        <v>2090</v>
      </c>
      <c r="B2080" s="18">
        <v>45466.708287037036</v>
      </c>
      <c r="C2080" s="2" t="s">
        <v>345</v>
      </c>
      <c r="D2080" s="2" t="s">
        <v>82</v>
      </c>
      <c r="E2080" s="2" t="s">
        <v>364</v>
      </c>
      <c r="F2080" s="2" t="s">
        <v>33</v>
      </c>
      <c r="G2080" s="3">
        <v>485000</v>
      </c>
      <c r="H2080" s="8">
        <v>1</v>
      </c>
      <c r="I2080" s="3">
        <v>0</v>
      </c>
      <c r="J2080" s="3">
        <v>0</v>
      </c>
    </row>
    <row r="2081" spans="1:10" x14ac:dyDescent="0.25">
      <c r="A2081" s="2">
        <v>2091</v>
      </c>
      <c r="B2081" s="18">
        <v>45466.708287037036</v>
      </c>
      <c r="C2081" s="2" t="s">
        <v>345</v>
      </c>
      <c r="D2081" s="2" t="s">
        <v>82</v>
      </c>
      <c r="E2081" s="2" t="s">
        <v>364</v>
      </c>
      <c r="F2081" s="2" t="s">
        <v>85</v>
      </c>
      <c r="G2081" s="3">
        <v>480000</v>
      </c>
      <c r="H2081" s="8">
        <v>1</v>
      </c>
      <c r="I2081" s="3">
        <v>0</v>
      </c>
      <c r="J2081" s="3">
        <v>0</v>
      </c>
    </row>
    <row r="2082" spans="1:10" x14ac:dyDescent="0.25">
      <c r="A2082" s="2">
        <v>2092</v>
      </c>
      <c r="B2082" s="18">
        <v>45466.708287037036</v>
      </c>
      <c r="C2082" s="2" t="s">
        <v>345</v>
      </c>
      <c r="D2082" s="2" t="s">
        <v>82</v>
      </c>
      <c r="E2082" s="2" t="s">
        <v>364</v>
      </c>
      <c r="F2082" s="2" t="s">
        <v>19</v>
      </c>
      <c r="G2082" s="3">
        <v>590000</v>
      </c>
      <c r="H2082" s="8">
        <v>1</v>
      </c>
      <c r="I2082" s="3">
        <v>0</v>
      </c>
      <c r="J2082" s="3">
        <v>0</v>
      </c>
    </row>
    <row r="2083" spans="1:10" x14ac:dyDescent="0.25">
      <c r="A2083" s="2">
        <v>2093</v>
      </c>
      <c r="B2083" s="18">
        <v>45466.708287037036</v>
      </c>
      <c r="C2083" s="2" t="s">
        <v>345</v>
      </c>
      <c r="D2083" s="2" t="s">
        <v>82</v>
      </c>
      <c r="E2083" s="2" t="s">
        <v>364</v>
      </c>
      <c r="F2083" s="2" t="s">
        <v>29</v>
      </c>
      <c r="G2083" s="3">
        <v>590000</v>
      </c>
      <c r="H2083" s="8">
        <v>1</v>
      </c>
      <c r="I2083" s="3">
        <v>0</v>
      </c>
      <c r="J2083" s="3">
        <v>0</v>
      </c>
    </row>
    <row r="2084" spans="1:10" x14ac:dyDescent="0.25">
      <c r="A2084" s="2">
        <v>2094</v>
      </c>
      <c r="B2084" s="18">
        <v>45466.708287037036</v>
      </c>
      <c r="C2084" s="2" t="s">
        <v>345</v>
      </c>
      <c r="D2084" s="2" t="s">
        <v>82</v>
      </c>
      <c r="E2084" s="2" t="s">
        <v>364</v>
      </c>
      <c r="F2084" s="2" t="s">
        <v>61</v>
      </c>
      <c r="G2084" s="3">
        <v>890000</v>
      </c>
      <c r="H2084" s="8">
        <v>1</v>
      </c>
      <c r="I2084" s="3">
        <v>0</v>
      </c>
      <c r="J2084" s="3">
        <v>0</v>
      </c>
    </row>
    <row r="2085" spans="1:10" x14ac:dyDescent="0.25">
      <c r="A2085" s="2">
        <v>2095</v>
      </c>
      <c r="B2085" s="18">
        <v>45466.708287037036</v>
      </c>
      <c r="C2085" s="2" t="s">
        <v>345</v>
      </c>
      <c r="D2085" s="2" t="s">
        <v>326</v>
      </c>
      <c r="E2085" s="2" t="s">
        <v>364</v>
      </c>
      <c r="F2085" s="2" t="s">
        <v>421</v>
      </c>
      <c r="G2085" s="3">
        <v>0</v>
      </c>
      <c r="H2085" s="8">
        <v>0</v>
      </c>
      <c r="I2085" s="3">
        <v>0</v>
      </c>
      <c r="J2085" s="3">
        <v>0</v>
      </c>
    </row>
    <row r="2086" spans="1:10" x14ac:dyDescent="0.25">
      <c r="A2086" s="2">
        <v>2098</v>
      </c>
      <c r="B2086" s="18">
        <v>45467.708287037036</v>
      </c>
      <c r="C2086" s="2" t="s">
        <v>345</v>
      </c>
      <c r="D2086" s="2" t="s">
        <v>260</v>
      </c>
      <c r="E2086" s="2" t="s">
        <v>364</v>
      </c>
      <c r="F2086" s="2" t="s">
        <v>31</v>
      </c>
      <c r="G2086" s="3">
        <v>745000</v>
      </c>
      <c r="H2086" s="8">
        <v>0</v>
      </c>
      <c r="I2086" s="3">
        <v>0</v>
      </c>
      <c r="J2086" s="3">
        <v>0</v>
      </c>
    </row>
    <row r="2087" spans="1:10" x14ac:dyDescent="0.25">
      <c r="A2087" s="2">
        <v>2099</v>
      </c>
      <c r="B2087" s="18">
        <v>45467.708287037036</v>
      </c>
      <c r="C2087" s="2" t="s">
        <v>345</v>
      </c>
      <c r="D2087" s="2" t="s">
        <v>260</v>
      </c>
      <c r="E2087" s="2" t="s">
        <v>364</v>
      </c>
      <c r="F2087" s="2" t="s">
        <v>57</v>
      </c>
      <c r="G2087" s="3">
        <v>745000</v>
      </c>
      <c r="H2087" s="8">
        <v>0</v>
      </c>
      <c r="I2087" s="3">
        <v>0</v>
      </c>
      <c r="J2087" s="3">
        <v>0</v>
      </c>
    </row>
    <row r="2088" spans="1:10" x14ac:dyDescent="0.25">
      <c r="A2088" s="2">
        <v>2100</v>
      </c>
      <c r="B2088" s="18">
        <v>45467.708287037036</v>
      </c>
      <c r="C2088" s="2" t="s">
        <v>345</v>
      </c>
      <c r="D2088" s="2" t="s">
        <v>260</v>
      </c>
      <c r="E2088" s="2" t="s">
        <v>364</v>
      </c>
      <c r="F2088" s="2" t="s">
        <v>61</v>
      </c>
      <c r="G2088" s="3">
        <v>890000</v>
      </c>
      <c r="H2088" s="8">
        <v>0</v>
      </c>
      <c r="I2088" s="3">
        <v>0</v>
      </c>
      <c r="J2088" s="3">
        <v>0</v>
      </c>
    </row>
    <row r="2089" spans="1:10" x14ac:dyDescent="0.25">
      <c r="A2089" s="2">
        <v>2101</v>
      </c>
      <c r="B2089" s="18">
        <v>45467.708287037036</v>
      </c>
      <c r="C2089" s="2" t="s">
        <v>345</v>
      </c>
      <c r="D2089" s="2" t="s">
        <v>260</v>
      </c>
      <c r="E2089" s="2" t="s">
        <v>364</v>
      </c>
      <c r="F2089" s="2" t="s">
        <v>33</v>
      </c>
      <c r="G2089" s="3">
        <v>485000</v>
      </c>
      <c r="H2089" s="8">
        <v>8</v>
      </c>
      <c r="I2089" s="3">
        <v>1940000</v>
      </c>
      <c r="J2089" s="3">
        <v>1940000</v>
      </c>
    </row>
    <row r="2090" spans="1:10" x14ac:dyDescent="0.25">
      <c r="A2090" s="2">
        <v>2102</v>
      </c>
      <c r="B2090" s="18">
        <v>45467.708287037036</v>
      </c>
      <c r="C2090" s="2" t="s">
        <v>345</v>
      </c>
      <c r="D2090" s="2" t="s">
        <v>260</v>
      </c>
      <c r="E2090" s="2" t="s">
        <v>364</v>
      </c>
      <c r="F2090" s="2" t="s">
        <v>59</v>
      </c>
      <c r="G2090" s="3">
        <v>475000</v>
      </c>
      <c r="H2090" s="8">
        <v>8</v>
      </c>
      <c r="I2090" s="3">
        <v>1900000</v>
      </c>
      <c r="J2090" s="3">
        <v>1900000</v>
      </c>
    </row>
    <row r="2091" spans="1:10" x14ac:dyDescent="0.25">
      <c r="A2091" s="2">
        <v>2103</v>
      </c>
      <c r="B2091" s="18">
        <v>45467.708287037036</v>
      </c>
      <c r="C2091" s="2" t="s">
        <v>345</v>
      </c>
      <c r="D2091" s="2" t="s">
        <v>260</v>
      </c>
      <c r="E2091" s="2" t="s">
        <v>364</v>
      </c>
      <c r="F2091" s="2" t="s">
        <v>49</v>
      </c>
      <c r="G2091" s="3">
        <v>200000</v>
      </c>
      <c r="H2091" s="8">
        <v>0</v>
      </c>
      <c r="I2091" s="3">
        <v>0</v>
      </c>
      <c r="J2091" s="3">
        <v>0</v>
      </c>
    </row>
    <row r="2092" spans="1:10" x14ac:dyDescent="0.25">
      <c r="A2092" s="2">
        <v>2104</v>
      </c>
      <c r="B2092" s="18">
        <v>45468.708287037036</v>
      </c>
      <c r="C2092" s="2" t="s">
        <v>345</v>
      </c>
      <c r="D2092" s="2" t="s">
        <v>74</v>
      </c>
      <c r="E2092" s="2" t="s">
        <v>369</v>
      </c>
      <c r="F2092" s="2" t="s">
        <v>421</v>
      </c>
      <c r="G2092" s="3">
        <v>0</v>
      </c>
      <c r="H2092" s="8">
        <v>0</v>
      </c>
      <c r="I2092" s="3">
        <v>0</v>
      </c>
      <c r="J2092" s="3">
        <v>0</v>
      </c>
    </row>
    <row r="2093" spans="1:10" x14ac:dyDescent="0.25">
      <c r="A2093" s="2">
        <v>2105</v>
      </c>
      <c r="B2093" s="18">
        <v>45468.708287037036</v>
      </c>
      <c r="C2093" s="2" t="s">
        <v>345</v>
      </c>
      <c r="D2093" s="2" t="s">
        <v>74</v>
      </c>
      <c r="E2093" s="2" t="s">
        <v>369</v>
      </c>
      <c r="F2093" s="2" t="s">
        <v>424</v>
      </c>
      <c r="G2093" s="3">
        <v>0</v>
      </c>
      <c r="H2093" s="8">
        <v>0</v>
      </c>
      <c r="I2093" s="3">
        <v>0</v>
      </c>
      <c r="J2093" s="3">
        <v>0</v>
      </c>
    </row>
    <row r="2094" spans="1:10" x14ac:dyDescent="0.25">
      <c r="A2094" s="2">
        <v>2110</v>
      </c>
      <c r="B2094" s="18">
        <v>45468.708287037036</v>
      </c>
      <c r="C2094" s="2" t="s">
        <v>345</v>
      </c>
      <c r="D2094" s="2" t="s">
        <v>323</v>
      </c>
      <c r="E2094" s="2" t="s">
        <v>364</v>
      </c>
      <c r="F2094" s="2" t="s">
        <v>89</v>
      </c>
      <c r="G2094" s="3">
        <v>390000</v>
      </c>
      <c r="H2094" s="8">
        <v>35</v>
      </c>
      <c r="I2094" s="3">
        <v>0</v>
      </c>
      <c r="J2094" s="3">
        <v>0</v>
      </c>
    </row>
    <row r="2095" spans="1:10" x14ac:dyDescent="0.25">
      <c r="A2095" s="2">
        <v>2111</v>
      </c>
      <c r="B2095" s="18">
        <v>45468.708287037036</v>
      </c>
      <c r="C2095" s="2" t="s">
        <v>345</v>
      </c>
      <c r="D2095" s="2" t="s">
        <v>255</v>
      </c>
      <c r="E2095" s="2" t="s">
        <v>367</v>
      </c>
      <c r="F2095" s="2" t="s">
        <v>33</v>
      </c>
      <c r="G2095" s="3">
        <v>485000</v>
      </c>
      <c r="H2095" s="8">
        <v>1</v>
      </c>
      <c r="I2095" s="3">
        <v>0</v>
      </c>
      <c r="J2095" s="3">
        <v>0</v>
      </c>
    </row>
    <row r="2096" spans="1:10" x14ac:dyDescent="0.25">
      <c r="A2096" s="2">
        <v>2112</v>
      </c>
      <c r="B2096" s="18">
        <v>45468.708287037036</v>
      </c>
      <c r="C2096" s="2" t="s">
        <v>345</v>
      </c>
      <c r="D2096" s="2" t="s">
        <v>255</v>
      </c>
      <c r="E2096" s="2" t="s">
        <v>367</v>
      </c>
      <c r="F2096" s="2" t="s">
        <v>59</v>
      </c>
      <c r="G2096" s="3">
        <v>475000</v>
      </c>
      <c r="H2096" s="8">
        <v>1</v>
      </c>
      <c r="I2096" s="3">
        <v>0</v>
      </c>
      <c r="J2096" s="3">
        <v>0</v>
      </c>
    </row>
    <row r="2097" spans="1:10" x14ac:dyDescent="0.25">
      <c r="A2097" s="2">
        <v>2113</v>
      </c>
      <c r="B2097" s="18">
        <v>45468.708287037036</v>
      </c>
      <c r="C2097" s="2" t="s">
        <v>345</v>
      </c>
      <c r="D2097" s="2" t="s">
        <v>322</v>
      </c>
      <c r="E2097" s="2" t="s">
        <v>366</v>
      </c>
      <c r="F2097" s="2" t="s">
        <v>29</v>
      </c>
      <c r="G2097" s="3">
        <v>590000</v>
      </c>
      <c r="H2097" s="8">
        <v>10</v>
      </c>
      <c r="I2097" s="3">
        <v>2950000</v>
      </c>
      <c r="J2097" s="3">
        <v>2950000</v>
      </c>
    </row>
    <row r="2098" spans="1:10" x14ac:dyDescent="0.25">
      <c r="A2098" s="2">
        <v>2114</v>
      </c>
      <c r="B2098" s="18">
        <v>45468.708287037036</v>
      </c>
      <c r="C2098" s="2" t="s">
        <v>345</v>
      </c>
      <c r="D2098" s="2" t="s">
        <v>322</v>
      </c>
      <c r="E2098" s="2" t="s">
        <v>366</v>
      </c>
      <c r="F2098" s="2" t="s">
        <v>19</v>
      </c>
      <c r="G2098" s="3">
        <v>590000</v>
      </c>
      <c r="H2098" s="8">
        <v>10</v>
      </c>
      <c r="I2098" s="3">
        <v>2950000</v>
      </c>
      <c r="J2098" s="3">
        <v>2950000</v>
      </c>
    </row>
    <row r="2099" spans="1:10" x14ac:dyDescent="0.25">
      <c r="A2099" s="2">
        <v>2115</v>
      </c>
      <c r="B2099" s="18">
        <v>45468.708287037036</v>
      </c>
      <c r="C2099" s="2" t="s">
        <v>345</v>
      </c>
      <c r="D2099" s="2" t="s">
        <v>322</v>
      </c>
      <c r="E2099" s="2" t="s">
        <v>366</v>
      </c>
      <c r="F2099" s="2" t="s">
        <v>35</v>
      </c>
      <c r="G2099" s="3">
        <v>525000</v>
      </c>
      <c r="H2099" s="8">
        <v>5</v>
      </c>
      <c r="I2099" s="3">
        <v>1312500</v>
      </c>
      <c r="J2099" s="3">
        <v>1312500</v>
      </c>
    </row>
    <row r="2100" spans="1:10" x14ac:dyDescent="0.25">
      <c r="A2100" s="2">
        <v>2116</v>
      </c>
      <c r="B2100" s="18">
        <v>45468.708287037036</v>
      </c>
      <c r="C2100" s="2" t="s">
        <v>345</v>
      </c>
      <c r="D2100" s="2" t="s">
        <v>322</v>
      </c>
      <c r="E2100" s="2" t="s">
        <v>366</v>
      </c>
      <c r="F2100" s="2" t="s">
        <v>61</v>
      </c>
      <c r="G2100" s="3">
        <v>890000</v>
      </c>
      <c r="H2100" s="8">
        <v>10</v>
      </c>
      <c r="I2100" s="3">
        <v>4450000</v>
      </c>
      <c r="J2100" s="3">
        <v>4450000</v>
      </c>
    </row>
    <row r="2101" spans="1:10" x14ac:dyDescent="0.25">
      <c r="A2101" s="2">
        <v>2117</v>
      </c>
      <c r="B2101" s="18">
        <v>45468.708287037036</v>
      </c>
      <c r="C2101" s="2" t="s">
        <v>345</v>
      </c>
      <c r="D2101" s="2" t="s">
        <v>72</v>
      </c>
      <c r="E2101" s="2" t="s">
        <v>364</v>
      </c>
      <c r="F2101" s="2" t="s">
        <v>31</v>
      </c>
      <c r="G2101" s="3">
        <v>745000</v>
      </c>
      <c r="H2101" s="8">
        <v>576</v>
      </c>
      <c r="I2101" s="3">
        <v>257472000</v>
      </c>
      <c r="J2101" s="3">
        <v>257472000</v>
      </c>
    </row>
    <row r="2102" spans="1:10" x14ac:dyDescent="0.25">
      <c r="A2102" s="2">
        <v>2118</v>
      </c>
      <c r="B2102" s="18">
        <v>45468.708287037036</v>
      </c>
      <c r="C2102" s="2" t="s">
        <v>345</v>
      </c>
      <c r="D2102" s="2" t="s">
        <v>72</v>
      </c>
      <c r="E2102" s="2" t="s">
        <v>364</v>
      </c>
      <c r="F2102" s="2" t="s">
        <v>33</v>
      </c>
      <c r="G2102" s="3">
        <v>485000</v>
      </c>
      <c r="H2102" s="8">
        <v>288</v>
      </c>
      <c r="I2102" s="3">
        <v>0</v>
      </c>
      <c r="J2102" s="3">
        <v>0</v>
      </c>
    </row>
    <row r="2103" spans="1:10" x14ac:dyDescent="0.25">
      <c r="A2103" s="2">
        <v>2119</v>
      </c>
      <c r="B2103" s="18">
        <v>45468.708287037036</v>
      </c>
      <c r="C2103" s="2" t="s">
        <v>345</v>
      </c>
      <c r="D2103" s="2" t="s">
        <v>72</v>
      </c>
      <c r="E2103" s="2" t="s">
        <v>364</v>
      </c>
      <c r="F2103" s="2" t="s">
        <v>59</v>
      </c>
      <c r="G2103" s="3">
        <v>475000</v>
      </c>
      <c r="H2103" s="8">
        <v>288</v>
      </c>
      <c r="I2103" s="3">
        <v>0</v>
      </c>
      <c r="J2103" s="3">
        <v>0</v>
      </c>
    </row>
    <row r="2104" spans="1:10" x14ac:dyDescent="0.25">
      <c r="A2104" s="2">
        <v>2122</v>
      </c>
      <c r="B2104" s="18">
        <v>45469.708287037036</v>
      </c>
      <c r="C2104" s="2" t="s">
        <v>345</v>
      </c>
      <c r="D2104" s="2" t="s">
        <v>323</v>
      </c>
      <c r="E2104" s="2" t="s">
        <v>364</v>
      </c>
      <c r="F2104" s="2" t="s">
        <v>59</v>
      </c>
      <c r="G2104" s="3">
        <v>475000</v>
      </c>
      <c r="H2104" s="8">
        <v>1</v>
      </c>
      <c r="I2104" s="3">
        <v>0</v>
      </c>
      <c r="J2104" s="3">
        <v>0</v>
      </c>
    </row>
    <row r="2105" spans="1:10" x14ac:dyDescent="0.25">
      <c r="A2105" s="2">
        <v>2123</v>
      </c>
      <c r="B2105" s="18">
        <v>45469.708287037036</v>
      </c>
      <c r="C2105" s="2" t="s">
        <v>345</v>
      </c>
      <c r="D2105" s="2" t="s">
        <v>323</v>
      </c>
      <c r="E2105" s="2" t="s">
        <v>364</v>
      </c>
      <c r="F2105" s="2" t="s">
        <v>33</v>
      </c>
      <c r="G2105" s="3">
        <v>485000</v>
      </c>
      <c r="H2105" s="8">
        <v>1</v>
      </c>
      <c r="I2105" s="3">
        <v>0</v>
      </c>
      <c r="J2105" s="3">
        <v>0</v>
      </c>
    </row>
    <row r="2106" spans="1:10" x14ac:dyDescent="0.25">
      <c r="A2106" s="2">
        <v>2124</v>
      </c>
      <c r="B2106" s="18">
        <v>45469.708287037036</v>
      </c>
      <c r="C2106" s="2" t="s">
        <v>345</v>
      </c>
      <c r="D2106" s="2" t="s">
        <v>323</v>
      </c>
      <c r="E2106" s="2" t="s">
        <v>364</v>
      </c>
      <c r="F2106" s="2" t="s">
        <v>85</v>
      </c>
      <c r="G2106" s="3">
        <v>480000</v>
      </c>
      <c r="H2106" s="8">
        <v>1</v>
      </c>
      <c r="I2106" s="3">
        <v>0</v>
      </c>
      <c r="J2106" s="3">
        <v>0</v>
      </c>
    </row>
    <row r="2107" spans="1:10" x14ac:dyDescent="0.25">
      <c r="A2107" s="2">
        <v>2125</v>
      </c>
      <c r="B2107" s="18">
        <v>45469.708287037036</v>
      </c>
      <c r="C2107" s="2" t="s">
        <v>345</v>
      </c>
      <c r="D2107" s="2" t="s">
        <v>323</v>
      </c>
      <c r="E2107" s="2" t="s">
        <v>364</v>
      </c>
      <c r="F2107" s="2" t="s">
        <v>23</v>
      </c>
      <c r="G2107" s="3">
        <v>775000</v>
      </c>
      <c r="H2107" s="8">
        <v>1</v>
      </c>
      <c r="I2107" s="3">
        <v>0</v>
      </c>
      <c r="J2107" s="3">
        <v>0</v>
      </c>
    </row>
    <row r="2108" spans="1:10" x14ac:dyDescent="0.25">
      <c r="A2108" s="2">
        <v>2126</v>
      </c>
      <c r="B2108" s="18">
        <v>45469.708287037036</v>
      </c>
      <c r="C2108" s="2" t="s">
        <v>345</v>
      </c>
      <c r="D2108" s="2" t="s">
        <v>323</v>
      </c>
      <c r="E2108" s="2" t="s">
        <v>364</v>
      </c>
      <c r="F2108" s="2" t="s">
        <v>61</v>
      </c>
      <c r="G2108" s="3">
        <v>890000</v>
      </c>
      <c r="H2108" s="8">
        <v>1</v>
      </c>
      <c r="I2108" s="3">
        <v>0</v>
      </c>
      <c r="J2108" s="3">
        <v>0</v>
      </c>
    </row>
    <row r="2109" spans="1:10" x14ac:dyDescent="0.25">
      <c r="A2109" s="2">
        <v>2127</v>
      </c>
      <c r="B2109" s="18">
        <v>45469.708287037036</v>
      </c>
      <c r="C2109" s="2" t="s">
        <v>345</v>
      </c>
      <c r="D2109" s="2" t="s">
        <v>323</v>
      </c>
      <c r="E2109" s="2" t="s">
        <v>364</v>
      </c>
      <c r="F2109" s="2" t="s">
        <v>35</v>
      </c>
      <c r="G2109" s="3">
        <v>525000</v>
      </c>
      <c r="H2109" s="8">
        <v>1</v>
      </c>
      <c r="I2109" s="3">
        <v>0</v>
      </c>
      <c r="J2109" s="3">
        <v>0</v>
      </c>
    </row>
    <row r="2110" spans="1:10" x14ac:dyDescent="0.25">
      <c r="A2110" s="2">
        <v>2128</v>
      </c>
      <c r="B2110" s="18">
        <v>45469.708287037036</v>
      </c>
      <c r="C2110" s="2" t="s">
        <v>345</v>
      </c>
      <c r="D2110" s="2" t="s">
        <v>323</v>
      </c>
      <c r="E2110" s="2" t="s">
        <v>364</v>
      </c>
      <c r="F2110" s="2" t="s">
        <v>19</v>
      </c>
      <c r="G2110" s="3">
        <v>590000</v>
      </c>
      <c r="H2110" s="8">
        <v>1</v>
      </c>
      <c r="I2110" s="3">
        <v>0</v>
      </c>
      <c r="J2110" s="3">
        <v>0</v>
      </c>
    </row>
    <row r="2111" spans="1:10" x14ac:dyDescent="0.25">
      <c r="A2111" s="2">
        <v>2129</v>
      </c>
      <c r="B2111" s="18">
        <v>45469.708287037036</v>
      </c>
      <c r="C2111" s="2" t="s">
        <v>345</v>
      </c>
      <c r="D2111" s="2" t="s">
        <v>323</v>
      </c>
      <c r="E2111" s="2" t="s">
        <v>364</v>
      </c>
      <c r="F2111" s="2" t="s">
        <v>29</v>
      </c>
      <c r="G2111" s="3">
        <v>590000</v>
      </c>
      <c r="H2111" s="8">
        <v>1</v>
      </c>
      <c r="I2111" s="3">
        <v>0</v>
      </c>
      <c r="J2111" s="3">
        <v>0</v>
      </c>
    </row>
    <row r="2112" spans="1:10" x14ac:dyDescent="0.25">
      <c r="A2112" s="2">
        <v>2130</v>
      </c>
      <c r="B2112" s="18">
        <v>45469.708287037036</v>
      </c>
      <c r="C2112" s="2" t="s">
        <v>345</v>
      </c>
      <c r="D2112" s="2" t="s">
        <v>323</v>
      </c>
      <c r="E2112" s="2" t="s">
        <v>364</v>
      </c>
      <c r="F2112" s="2" t="s">
        <v>89</v>
      </c>
      <c r="G2112" s="3">
        <v>390000</v>
      </c>
      <c r="H2112" s="8">
        <v>1</v>
      </c>
      <c r="I2112" s="3">
        <v>0</v>
      </c>
      <c r="J2112" s="3">
        <v>0</v>
      </c>
    </row>
    <row r="2113" spans="1:10" x14ac:dyDescent="0.25">
      <c r="A2113" s="2">
        <v>2131</v>
      </c>
      <c r="B2113" s="18">
        <v>45469.708287037036</v>
      </c>
      <c r="C2113" s="2" t="s">
        <v>345</v>
      </c>
      <c r="D2113" s="2" t="s">
        <v>80</v>
      </c>
      <c r="E2113" s="2" t="s">
        <v>364</v>
      </c>
      <c r="F2113" s="2" t="s">
        <v>19</v>
      </c>
      <c r="G2113" s="3">
        <v>590000</v>
      </c>
      <c r="H2113" s="8">
        <v>1</v>
      </c>
      <c r="I2113" s="3">
        <v>0</v>
      </c>
      <c r="J2113" s="3">
        <v>0</v>
      </c>
    </row>
    <row r="2114" spans="1:10" x14ac:dyDescent="0.25">
      <c r="A2114" s="2">
        <v>2132</v>
      </c>
      <c r="B2114" s="18">
        <v>45469.708287037036</v>
      </c>
      <c r="C2114" s="2" t="s">
        <v>345</v>
      </c>
      <c r="D2114" s="2" t="s">
        <v>80</v>
      </c>
      <c r="E2114" s="2" t="s">
        <v>364</v>
      </c>
      <c r="F2114" s="2" t="s">
        <v>33</v>
      </c>
      <c r="G2114" s="3">
        <v>485000</v>
      </c>
      <c r="H2114" s="8">
        <v>1</v>
      </c>
      <c r="I2114" s="3">
        <v>0</v>
      </c>
      <c r="J2114" s="3">
        <v>0</v>
      </c>
    </row>
    <row r="2115" spans="1:10" x14ac:dyDescent="0.25">
      <c r="A2115" s="2">
        <v>2133</v>
      </c>
      <c r="B2115" s="18">
        <v>45469.708287037036</v>
      </c>
      <c r="C2115" s="2" t="s">
        <v>345</v>
      </c>
      <c r="D2115" s="2" t="s">
        <v>80</v>
      </c>
      <c r="E2115" s="2" t="s">
        <v>364</v>
      </c>
      <c r="F2115" s="2" t="s">
        <v>59</v>
      </c>
      <c r="G2115" s="3">
        <v>475000</v>
      </c>
      <c r="H2115" s="8">
        <v>1</v>
      </c>
      <c r="I2115" s="3">
        <v>0</v>
      </c>
      <c r="J2115" s="3">
        <v>0</v>
      </c>
    </row>
    <row r="2116" spans="1:10" x14ac:dyDescent="0.25">
      <c r="A2116" s="2">
        <v>2134</v>
      </c>
      <c r="B2116" s="18">
        <v>45469.708287037036</v>
      </c>
      <c r="C2116" s="2" t="s">
        <v>345</v>
      </c>
      <c r="D2116" s="2" t="s">
        <v>80</v>
      </c>
      <c r="E2116" s="2" t="s">
        <v>364</v>
      </c>
      <c r="F2116" s="2" t="s">
        <v>23</v>
      </c>
      <c r="G2116" s="3">
        <v>775000</v>
      </c>
      <c r="H2116" s="8">
        <v>1</v>
      </c>
      <c r="I2116" s="3">
        <v>0</v>
      </c>
      <c r="J2116" s="3">
        <v>0</v>
      </c>
    </row>
    <row r="2117" spans="1:10" x14ac:dyDescent="0.25">
      <c r="A2117" s="2">
        <v>2135</v>
      </c>
      <c r="B2117" s="18">
        <v>45469.708287037036</v>
      </c>
      <c r="C2117" s="2" t="s">
        <v>345</v>
      </c>
      <c r="D2117" s="2" t="s">
        <v>127</v>
      </c>
      <c r="E2117" s="2" t="s">
        <v>364</v>
      </c>
      <c r="F2117" s="2" t="s">
        <v>19</v>
      </c>
      <c r="G2117" s="3">
        <v>590000</v>
      </c>
      <c r="H2117" s="8">
        <v>1</v>
      </c>
      <c r="I2117" s="3">
        <v>0</v>
      </c>
      <c r="J2117" s="3">
        <v>0</v>
      </c>
    </row>
    <row r="2118" spans="1:10" x14ac:dyDescent="0.25">
      <c r="A2118" s="2">
        <v>2136</v>
      </c>
      <c r="B2118" s="18">
        <v>45469.708287037036</v>
      </c>
      <c r="C2118" s="2" t="s">
        <v>345</v>
      </c>
      <c r="D2118" s="2" t="s">
        <v>127</v>
      </c>
      <c r="E2118" s="2" t="s">
        <v>364</v>
      </c>
      <c r="F2118" s="2" t="s">
        <v>29</v>
      </c>
      <c r="G2118" s="3">
        <v>590000</v>
      </c>
      <c r="H2118" s="8">
        <v>1</v>
      </c>
      <c r="I2118" s="3">
        <v>0</v>
      </c>
      <c r="J2118" s="3">
        <v>0</v>
      </c>
    </row>
    <row r="2119" spans="1:10" x14ac:dyDescent="0.25">
      <c r="A2119" s="2">
        <v>2137</v>
      </c>
      <c r="B2119" s="18">
        <v>45469.708287037036</v>
      </c>
      <c r="C2119" s="2" t="s">
        <v>345</v>
      </c>
      <c r="D2119" s="2" t="s">
        <v>127</v>
      </c>
      <c r="E2119" s="2" t="s">
        <v>364</v>
      </c>
      <c r="F2119" s="2" t="s">
        <v>33</v>
      </c>
      <c r="G2119" s="3">
        <v>485000</v>
      </c>
      <c r="H2119" s="8">
        <v>1</v>
      </c>
      <c r="I2119" s="3">
        <v>0</v>
      </c>
      <c r="J2119" s="3">
        <v>0</v>
      </c>
    </row>
    <row r="2120" spans="1:10" x14ac:dyDescent="0.25">
      <c r="A2120" s="2">
        <v>2138</v>
      </c>
      <c r="B2120" s="18">
        <v>45469.708287037036</v>
      </c>
      <c r="C2120" s="2" t="s">
        <v>345</v>
      </c>
      <c r="D2120" s="2" t="s">
        <v>127</v>
      </c>
      <c r="E2120" s="2" t="s">
        <v>364</v>
      </c>
      <c r="F2120" s="2" t="s">
        <v>23</v>
      </c>
      <c r="G2120" s="3">
        <v>775000</v>
      </c>
      <c r="H2120" s="8">
        <v>1</v>
      </c>
      <c r="I2120" s="3">
        <v>0</v>
      </c>
      <c r="J2120" s="3">
        <v>0</v>
      </c>
    </row>
    <row r="2121" spans="1:10" x14ac:dyDescent="0.25">
      <c r="A2121" s="2">
        <v>2139</v>
      </c>
      <c r="B2121" s="18">
        <v>45469.708287037036</v>
      </c>
      <c r="C2121" s="2" t="s">
        <v>345</v>
      </c>
      <c r="D2121" s="2" t="s">
        <v>12</v>
      </c>
      <c r="E2121" s="2" t="s">
        <v>367</v>
      </c>
      <c r="F2121" s="2" t="s">
        <v>19</v>
      </c>
      <c r="G2121" s="3">
        <v>590000</v>
      </c>
      <c r="H2121" s="8">
        <v>2</v>
      </c>
      <c r="I2121" s="3">
        <v>767000</v>
      </c>
      <c r="J2121" s="3">
        <v>767000</v>
      </c>
    </row>
    <row r="2122" spans="1:10" x14ac:dyDescent="0.25">
      <c r="A2122" s="2">
        <v>2140</v>
      </c>
      <c r="B2122" s="18">
        <v>45469.708287037036</v>
      </c>
      <c r="C2122" s="2" t="s">
        <v>345</v>
      </c>
      <c r="D2122" s="2" t="s">
        <v>12</v>
      </c>
      <c r="E2122" s="2" t="s">
        <v>367</v>
      </c>
      <c r="F2122" s="2" t="s">
        <v>33</v>
      </c>
      <c r="G2122" s="3">
        <v>485000</v>
      </c>
      <c r="H2122" s="8">
        <v>2</v>
      </c>
      <c r="I2122" s="3">
        <v>630500</v>
      </c>
      <c r="J2122" s="3">
        <v>630500</v>
      </c>
    </row>
    <row r="2123" spans="1:10" x14ac:dyDescent="0.25">
      <c r="A2123" s="2">
        <v>2141</v>
      </c>
      <c r="B2123" s="18">
        <v>45469.708287037036</v>
      </c>
      <c r="C2123" s="2" t="s">
        <v>345</v>
      </c>
      <c r="D2123" s="2" t="s">
        <v>12</v>
      </c>
      <c r="E2123" s="2" t="s">
        <v>367</v>
      </c>
      <c r="F2123" s="2" t="s">
        <v>89</v>
      </c>
      <c r="G2123" s="3">
        <v>390000</v>
      </c>
      <c r="H2123" s="8">
        <v>2</v>
      </c>
      <c r="I2123" s="3">
        <v>0</v>
      </c>
      <c r="J2123" s="3">
        <v>0</v>
      </c>
    </row>
    <row r="2124" spans="1:10" x14ac:dyDescent="0.25">
      <c r="A2124" s="2">
        <v>2142</v>
      </c>
      <c r="B2124" s="18">
        <v>45469.708287037036</v>
      </c>
      <c r="C2124" s="2" t="s">
        <v>345</v>
      </c>
      <c r="D2124" s="2" t="s">
        <v>12</v>
      </c>
      <c r="E2124" s="2" t="s">
        <v>367</v>
      </c>
      <c r="F2124" s="2" t="s">
        <v>47</v>
      </c>
      <c r="G2124" s="3">
        <v>200000</v>
      </c>
      <c r="H2124" s="8">
        <v>1</v>
      </c>
      <c r="I2124" s="3">
        <v>0</v>
      </c>
      <c r="J2124" s="3">
        <v>0</v>
      </c>
    </row>
    <row r="2125" spans="1:10" x14ac:dyDescent="0.25">
      <c r="A2125" s="2">
        <v>2143</v>
      </c>
      <c r="B2125" s="18">
        <v>45469.708287037036</v>
      </c>
      <c r="C2125" s="2" t="s">
        <v>345</v>
      </c>
      <c r="D2125" s="2" t="s">
        <v>12</v>
      </c>
      <c r="E2125" s="2" t="s">
        <v>367</v>
      </c>
      <c r="F2125" s="2" t="s">
        <v>49</v>
      </c>
      <c r="G2125" s="3">
        <v>200000</v>
      </c>
      <c r="H2125" s="8">
        <v>1</v>
      </c>
      <c r="I2125" s="3">
        <v>0</v>
      </c>
      <c r="J2125" s="3">
        <v>0</v>
      </c>
    </row>
    <row r="2126" spans="1:10" x14ac:dyDescent="0.25">
      <c r="A2126" s="2">
        <v>2144</v>
      </c>
      <c r="B2126" s="18">
        <v>45469.708287037036</v>
      </c>
      <c r="C2126" s="2" t="s">
        <v>345</v>
      </c>
      <c r="D2126" s="2" t="s">
        <v>127</v>
      </c>
      <c r="E2126" s="2" t="s">
        <v>364</v>
      </c>
      <c r="F2126" s="2" t="s">
        <v>59</v>
      </c>
      <c r="G2126" s="3">
        <v>475000</v>
      </c>
      <c r="H2126" s="8">
        <v>1</v>
      </c>
      <c r="I2126" s="3">
        <v>0</v>
      </c>
      <c r="J2126" s="3">
        <v>0</v>
      </c>
    </row>
    <row r="2127" spans="1:10" x14ac:dyDescent="0.25">
      <c r="A2127" s="2">
        <v>2145</v>
      </c>
      <c r="B2127" s="18">
        <v>45470.708287037036</v>
      </c>
      <c r="C2127" s="2" t="s">
        <v>345</v>
      </c>
      <c r="D2127" s="2" t="s">
        <v>308</v>
      </c>
      <c r="E2127" s="2" t="s">
        <v>366</v>
      </c>
      <c r="F2127" s="2" t="s">
        <v>33</v>
      </c>
      <c r="G2127" s="3">
        <v>485000</v>
      </c>
      <c r="H2127" s="8">
        <v>30</v>
      </c>
      <c r="I2127" s="3">
        <v>7275000</v>
      </c>
      <c r="J2127" s="3">
        <v>7275000</v>
      </c>
    </row>
    <row r="2128" spans="1:10" x14ac:dyDescent="0.25">
      <c r="A2128" s="2">
        <v>2146</v>
      </c>
      <c r="B2128" s="18">
        <v>45470.708287037036</v>
      </c>
      <c r="C2128" s="2" t="s">
        <v>345</v>
      </c>
      <c r="D2128" s="2" t="s">
        <v>308</v>
      </c>
      <c r="E2128" s="2" t="s">
        <v>366</v>
      </c>
      <c r="F2128" s="2" t="s">
        <v>59</v>
      </c>
      <c r="G2128" s="3">
        <v>475000</v>
      </c>
      <c r="H2128" s="8">
        <v>50</v>
      </c>
      <c r="I2128" s="3">
        <v>11875000</v>
      </c>
      <c r="J2128" s="3">
        <v>11875000</v>
      </c>
    </row>
    <row r="2129" spans="1:10" x14ac:dyDescent="0.25">
      <c r="A2129" s="2">
        <v>2147</v>
      </c>
      <c r="B2129" s="18">
        <v>45470.708287037036</v>
      </c>
      <c r="C2129" s="2" t="s">
        <v>345</v>
      </c>
      <c r="D2129" s="2" t="s">
        <v>337</v>
      </c>
      <c r="E2129" s="2" t="s">
        <v>363</v>
      </c>
      <c r="F2129" s="2" t="s">
        <v>85</v>
      </c>
      <c r="G2129" s="3">
        <v>480000</v>
      </c>
      <c r="H2129" s="8">
        <v>120</v>
      </c>
      <c r="I2129" s="3">
        <v>40320000</v>
      </c>
      <c r="J2129" s="3">
        <v>40320000</v>
      </c>
    </row>
    <row r="2130" spans="1:10" x14ac:dyDescent="0.25">
      <c r="A2130" s="2">
        <v>2148</v>
      </c>
      <c r="B2130" s="18">
        <v>45470.708287037036</v>
      </c>
      <c r="C2130" s="2" t="s">
        <v>345</v>
      </c>
      <c r="D2130" s="2" t="s">
        <v>337</v>
      </c>
      <c r="E2130" s="2" t="s">
        <v>363</v>
      </c>
      <c r="F2130" s="2" t="s">
        <v>59</v>
      </c>
      <c r="G2130" s="3">
        <v>475000</v>
      </c>
      <c r="H2130" s="8">
        <v>120</v>
      </c>
      <c r="I2130" s="3">
        <v>39900000</v>
      </c>
      <c r="J2130" s="3">
        <v>39900000</v>
      </c>
    </row>
    <row r="2131" spans="1:10" x14ac:dyDescent="0.25">
      <c r="A2131" s="2">
        <v>2149</v>
      </c>
      <c r="B2131" s="18">
        <v>45470.708287037036</v>
      </c>
      <c r="C2131" s="2" t="s">
        <v>345</v>
      </c>
      <c r="D2131" s="2" t="s">
        <v>337</v>
      </c>
      <c r="E2131" s="2" t="s">
        <v>363</v>
      </c>
      <c r="F2131" s="2" t="s">
        <v>33</v>
      </c>
      <c r="G2131" s="3">
        <v>485000</v>
      </c>
      <c r="H2131" s="8">
        <v>120</v>
      </c>
      <c r="I2131" s="3">
        <v>40740000</v>
      </c>
      <c r="J2131" s="3">
        <v>40740000</v>
      </c>
    </row>
    <row r="2132" spans="1:10" x14ac:dyDescent="0.25">
      <c r="A2132" s="2">
        <v>2150</v>
      </c>
      <c r="B2132" s="18">
        <v>45470.708287037036</v>
      </c>
      <c r="C2132" s="2" t="s">
        <v>345</v>
      </c>
      <c r="D2132" s="2" t="s">
        <v>337</v>
      </c>
      <c r="E2132" s="2" t="s">
        <v>363</v>
      </c>
      <c r="F2132" s="2" t="s">
        <v>23</v>
      </c>
      <c r="G2132" s="3">
        <v>775000</v>
      </c>
      <c r="H2132" s="8">
        <v>120</v>
      </c>
      <c r="I2132" s="3">
        <v>65100000</v>
      </c>
      <c r="J2132" s="3">
        <v>65100000</v>
      </c>
    </row>
    <row r="2133" spans="1:10" x14ac:dyDescent="0.25">
      <c r="A2133" s="2">
        <v>2151</v>
      </c>
      <c r="B2133" s="18">
        <v>45470.708287037036</v>
      </c>
      <c r="C2133" s="2" t="s">
        <v>345</v>
      </c>
      <c r="D2133" s="2" t="s">
        <v>337</v>
      </c>
      <c r="E2133" s="2" t="s">
        <v>363</v>
      </c>
      <c r="F2133" s="2" t="s">
        <v>19</v>
      </c>
      <c r="G2133" s="3">
        <v>590000</v>
      </c>
      <c r="H2133" s="8">
        <v>90</v>
      </c>
      <c r="I2133" s="3">
        <v>37170000</v>
      </c>
      <c r="J2133" s="3">
        <v>37170000</v>
      </c>
    </row>
    <row r="2134" spans="1:10" x14ac:dyDescent="0.25">
      <c r="A2134" s="2">
        <v>2152</v>
      </c>
      <c r="B2134" s="18">
        <v>45470.708287037036</v>
      </c>
      <c r="C2134" s="2" t="s">
        <v>345</v>
      </c>
      <c r="D2134" s="2" t="s">
        <v>337</v>
      </c>
      <c r="E2134" s="2" t="s">
        <v>363</v>
      </c>
      <c r="F2134" s="2" t="s">
        <v>89</v>
      </c>
      <c r="G2134" s="3">
        <v>390000</v>
      </c>
      <c r="H2134" s="8">
        <v>480</v>
      </c>
      <c r="I2134" s="3">
        <v>0</v>
      </c>
      <c r="J2134" s="3">
        <v>0</v>
      </c>
    </row>
    <row r="2135" spans="1:10" x14ac:dyDescent="0.25">
      <c r="A2135" s="2">
        <v>2153</v>
      </c>
      <c r="B2135" s="18">
        <v>45471.708287037036</v>
      </c>
      <c r="C2135" s="2" t="s">
        <v>345</v>
      </c>
      <c r="D2135" s="2" t="s">
        <v>302</v>
      </c>
      <c r="E2135" s="2" t="s">
        <v>364</v>
      </c>
      <c r="F2135" s="2" t="s">
        <v>19</v>
      </c>
      <c r="G2135" s="3">
        <v>590000</v>
      </c>
      <c r="H2135" s="8">
        <v>30</v>
      </c>
      <c r="I2135" s="3">
        <v>10266000</v>
      </c>
      <c r="J2135" s="3">
        <v>10266000</v>
      </c>
    </row>
    <row r="2136" spans="1:10" x14ac:dyDescent="0.25">
      <c r="A2136" s="2">
        <v>2154</v>
      </c>
      <c r="B2136" s="18">
        <v>45471.708287037036</v>
      </c>
      <c r="C2136" s="2" t="s">
        <v>345</v>
      </c>
      <c r="D2136" s="2" t="s">
        <v>302</v>
      </c>
      <c r="E2136" s="2" t="s">
        <v>364</v>
      </c>
      <c r="F2136" s="2" t="s">
        <v>35</v>
      </c>
      <c r="G2136" s="3">
        <v>525000</v>
      </c>
      <c r="H2136" s="8">
        <v>30</v>
      </c>
      <c r="I2136" s="3">
        <v>0</v>
      </c>
      <c r="J2136" s="3">
        <v>0</v>
      </c>
    </row>
    <row r="2137" spans="1:10" x14ac:dyDescent="0.25">
      <c r="A2137" s="2">
        <v>2155</v>
      </c>
      <c r="B2137" s="18">
        <v>45470.708287037036</v>
      </c>
      <c r="C2137" s="2" t="s">
        <v>345</v>
      </c>
      <c r="D2137" s="2" t="s">
        <v>337</v>
      </c>
      <c r="E2137" s="2" t="s">
        <v>363</v>
      </c>
      <c r="F2137" s="2" t="s">
        <v>49</v>
      </c>
      <c r="G2137" s="3">
        <v>200000</v>
      </c>
      <c r="H2137" s="8">
        <v>90</v>
      </c>
      <c r="I2137" s="3">
        <v>0</v>
      </c>
      <c r="J2137" s="3">
        <v>0</v>
      </c>
    </row>
    <row r="2138" spans="1:10" x14ac:dyDescent="0.25">
      <c r="A2138" s="2">
        <v>2156</v>
      </c>
      <c r="B2138" s="18">
        <v>45471.708287037036</v>
      </c>
      <c r="C2138" s="2" t="s">
        <v>345</v>
      </c>
      <c r="D2138" s="2" t="s">
        <v>44</v>
      </c>
      <c r="E2138" s="2" t="s">
        <v>367</v>
      </c>
      <c r="F2138" s="2" t="s">
        <v>83</v>
      </c>
      <c r="G2138" s="3">
        <v>790000</v>
      </c>
      <c r="H2138" s="8">
        <v>1</v>
      </c>
      <c r="I2138" s="3">
        <v>474000</v>
      </c>
      <c r="J2138" s="3">
        <v>474000</v>
      </c>
    </row>
    <row r="2139" spans="1:10" x14ac:dyDescent="0.25">
      <c r="A2139" s="2">
        <v>2157</v>
      </c>
      <c r="B2139" s="18">
        <v>45472.708287037036</v>
      </c>
      <c r="C2139" s="2" t="s">
        <v>345</v>
      </c>
      <c r="D2139" s="2" t="s">
        <v>337</v>
      </c>
      <c r="E2139" s="2" t="s">
        <v>363</v>
      </c>
      <c r="F2139" s="2" t="s">
        <v>49</v>
      </c>
      <c r="G2139" s="3">
        <v>200000</v>
      </c>
      <c r="H2139" s="8">
        <v>-80</v>
      </c>
      <c r="I2139" s="3">
        <v>0</v>
      </c>
      <c r="J2139" s="3">
        <v>0</v>
      </c>
    </row>
    <row r="2140" spans="1:10" x14ac:dyDescent="0.25">
      <c r="A2140" s="2">
        <v>2158</v>
      </c>
      <c r="B2140" s="18">
        <v>45472.708287037036</v>
      </c>
      <c r="C2140" s="2" t="s">
        <v>345</v>
      </c>
      <c r="D2140" s="2" t="s">
        <v>337</v>
      </c>
      <c r="E2140" s="2" t="s">
        <v>363</v>
      </c>
      <c r="F2140" s="2" t="s">
        <v>89</v>
      </c>
      <c r="G2140" s="3">
        <v>390000</v>
      </c>
      <c r="H2140" s="8">
        <v>80</v>
      </c>
      <c r="I2140" s="3">
        <v>0</v>
      </c>
      <c r="J2140" s="3">
        <v>0</v>
      </c>
    </row>
    <row r="2141" spans="1:10" x14ac:dyDescent="0.25">
      <c r="A2141" s="2">
        <v>2159</v>
      </c>
      <c r="B2141" s="18">
        <v>45472.708287037036</v>
      </c>
      <c r="C2141" s="2" t="s">
        <v>345</v>
      </c>
      <c r="D2141" s="2" t="s">
        <v>253</v>
      </c>
      <c r="E2141" s="2" t="s">
        <v>370</v>
      </c>
      <c r="F2141" s="2" t="s">
        <v>27</v>
      </c>
      <c r="G2141" s="3">
        <v>935000</v>
      </c>
      <c r="H2141" s="8">
        <v>2</v>
      </c>
      <c r="I2141" s="3">
        <v>1346400</v>
      </c>
      <c r="J2141" s="3">
        <v>1346400</v>
      </c>
    </row>
    <row r="2142" spans="1:10" x14ac:dyDescent="0.25">
      <c r="A2142" s="2">
        <v>2160</v>
      </c>
      <c r="B2142" s="18">
        <v>45472.708287037036</v>
      </c>
      <c r="C2142" s="2" t="s">
        <v>345</v>
      </c>
      <c r="D2142" s="2" t="s">
        <v>253</v>
      </c>
      <c r="E2142" s="2" t="s">
        <v>370</v>
      </c>
      <c r="F2142" s="2" t="s">
        <v>61</v>
      </c>
      <c r="G2142" s="3">
        <v>890000</v>
      </c>
      <c r="H2142" s="8">
        <v>5</v>
      </c>
      <c r="I2142" s="3">
        <v>3204000</v>
      </c>
      <c r="J2142" s="3">
        <v>3204000</v>
      </c>
    </row>
    <row r="2143" spans="1:10" x14ac:dyDescent="0.25">
      <c r="A2143" s="2">
        <v>2161</v>
      </c>
      <c r="B2143" s="18">
        <v>45472.708287037036</v>
      </c>
      <c r="C2143" s="2" t="s">
        <v>345</v>
      </c>
      <c r="D2143" s="2" t="s">
        <v>253</v>
      </c>
      <c r="E2143" s="2" t="s">
        <v>370</v>
      </c>
      <c r="F2143" s="2" t="s">
        <v>83</v>
      </c>
      <c r="G2143" s="3">
        <v>790000</v>
      </c>
      <c r="H2143" s="8">
        <v>2</v>
      </c>
      <c r="I2143" s="3">
        <v>1137600</v>
      </c>
      <c r="J2143" s="3">
        <v>1137600</v>
      </c>
    </row>
    <row r="2144" spans="1:10" x14ac:dyDescent="0.25">
      <c r="A2144" s="2">
        <v>2162</v>
      </c>
      <c r="B2144" s="18">
        <v>45472.708287037036</v>
      </c>
      <c r="C2144" s="2" t="s">
        <v>345</v>
      </c>
      <c r="D2144" s="2" t="s">
        <v>253</v>
      </c>
      <c r="E2144" s="2" t="s">
        <v>370</v>
      </c>
      <c r="F2144" s="2" t="s">
        <v>57</v>
      </c>
      <c r="G2144" s="3">
        <v>745000</v>
      </c>
      <c r="H2144" s="8">
        <v>2</v>
      </c>
      <c r="I2144" s="3">
        <v>1072800</v>
      </c>
      <c r="J2144" s="3">
        <v>1072800</v>
      </c>
    </row>
    <row r="2145" spans="1:10" x14ac:dyDescent="0.25">
      <c r="A2145" s="2">
        <v>2163</v>
      </c>
      <c r="B2145" s="18">
        <v>45472.708287037036</v>
      </c>
      <c r="C2145" s="2" t="s">
        <v>345</v>
      </c>
      <c r="D2145" s="2" t="s">
        <v>253</v>
      </c>
      <c r="E2145" s="2" t="s">
        <v>370</v>
      </c>
      <c r="F2145" s="2" t="s">
        <v>31</v>
      </c>
      <c r="G2145" s="3">
        <v>745000</v>
      </c>
      <c r="H2145" s="8">
        <v>1</v>
      </c>
      <c r="I2145" s="3">
        <v>536400</v>
      </c>
      <c r="J2145" s="3">
        <v>536400</v>
      </c>
    </row>
    <row r="2146" spans="1:10" x14ac:dyDescent="0.25">
      <c r="A2146" s="2">
        <v>2164</v>
      </c>
      <c r="B2146" s="18">
        <v>45472.708287037036</v>
      </c>
      <c r="C2146" s="2" t="s">
        <v>345</v>
      </c>
      <c r="D2146" s="2" t="s">
        <v>253</v>
      </c>
      <c r="E2146" s="2" t="s">
        <v>370</v>
      </c>
      <c r="F2146" s="2" t="s">
        <v>19</v>
      </c>
      <c r="G2146" s="3">
        <v>590000</v>
      </c>
      <c r="H2146" s="8">
        <v>1</v>
      </c>
      <c r="I2146" s="3">
        <v>424800</v>
      </c>
      <c r="J2146" s="3">
        <v>424800</v>
      </c>
    </row>
    <row r="2147" spans="1:10" x14ac:dyDescent="0.25">
      <c r="A2147" s="2">
        <v>2165</v>
      </c>
      <c r="B2147" s="18">
        <v>45418.708287037036</v>
      </c>
      <c r="C2147" s="2" t="s">
        <v>344</v>
      </c>
      <c r="D2147" s="2" t="s">
        <v>301</v>
      </c>
      <c r="E2147" s="2" t="s">
        <v>364</v>
      </c>
      <c r="F2147" s="2" t="s">
        <v>19</v>
      </c>
      <c r="G2147" s="3">
        <v>590000</v>
      </c>
      <c r="H2147" s="8">
        <v>15</v>
      </c>
      <c r="I2147" s="3">
        <v>5133000</v>
      </c>
      <c r="J2147" s="3">
        <v>5133000</v>
      </c>
    </row>
    <row r="2148" spans="1:10" x14ac:dyDescent="0.25">
      <c r="A2148" s="2">
        <v>2166</v>
      </c>
      <c r="B2148" s="18">
        <v>45418.708287037036</v>
      </c>
      <c r="C2148" s="2" t="s">
        <v>344</v>
      </c>
      <c r="D2148" s="2" t="s">
        <v>301</v>
      </c>
      <c r="E2148" s="2" t="s">
        <v>364</v>
      </c>
      <c r="F2148" s="2" t="s">
        <v>21</v>
      </c>
      <c r="G2148" s="3">
        <v>890000</v>
      </c>
      <c r="H2148" s="8">
        <v>2</v>
      </c>
      <c r="I2148" s="3">
        <v>1032400</v>
      </c>
      <c r="J2148" s="3">
        <v>1032400</v>
      </c>
    </row>
    <row r="2149" spans="1:10" x14ac:dyDescent="0.25">
      <c r="A2149" s="2">
        <v>2167</v>
      </c>
      <c r="B2149" s="18">
        <v>45418.708287037036</v>
      </c>
      <c r="C2149" s="2" t="s">
        <v>344</v>
      </c>
      <c r="D2149" s="2" t="s">
        <v>301</v>
      </c>
      <c r="E2149" s="2" t="s">
        <v>364</v>
      </c>
      <c r="F2149" s="2" t="s">
        <v>27</v>
      </c>
      <c r="G2149" s="3">
        <v>935000</v>
      </c>
      <c r="H2149" s="8">
        <v>2</v>
      </c>
      <c r="I2149" s="3">
        <v>1084600</v>
      </c>
      <c r="J2149" s="3">
        <v>1084600</v>
      </c>
    </row>
    <row r="2150" spans="1:10" x14ac:dyDescent="0.25">
      <c r="A2150" s="2">
        <v>2168</v>
      </c>
      <c r="B2150" s="18">
        <v>45418.708287037036</v>
      </c>
      <c r="C2150" s="2" t="s">
        <v>344</v>
      </c>
      <c r="D2150" s="2" t="s">
        <v>301</v>
      </c>
      <c r="E2150" s="2" t="s">
        <v>364</v>
      </c>
      <c r="F2150" s="2" t="s">
        <v>35</v>
      </c>
      <c r="G2150" s="3">
        <v>525000</v>
      </c>
      <c r="H2150" s="8">
        <v>3</v>
      </c>
      <c r="I2150" s="3">
        <v>913500</v>
      </c>
      <c r="J2150" s="3">
        <v>913500</v>
      </c>
    </row>
    <row r="2151" spans="1:10" x14ac:dyDescent="0.25">
      <c r="A2151" s="2">
        <v>2169</v>
      </c>
      <c r="B2151" s="18">
        <v>45418.708287037036</v>
      </c>
      <c r="C2151" s="2" t="s">
        <v>344</v>
      </c>
      <c r="D2151" s="2" t="s">
        <v>301</v>
      </c>
      <c r="E2151" s="2" t="s">
        <v>364</v>
      </c>
      <c r="F2151" s="2" t="s">
        <v>31</v>
      </c>
      <c r="G2151" s="3">
        <v>745000</v>
      </c>
      <c r="H2151" s="8">
        <v>2</v>
      </c>
      <c r="I2151" s="3">
        <v>864200</v>
      </c>
      <c r="J2151" s="3">
        <v>864200</v>
      </c>
    </row>
    <row r="2152" spans="1:10" x14ac:dyDescent="0.25">
      <c r="A2152" s="2">
        <v>2170</v>
      </c>
      <c r="B2152" s="18">
        <v>45418.708287037036</v>
      </c>
      <c r="C2152" s="2" t="s">
        <v>344</v>
      </c>
      <c r="D2152" s="2" t="s">
        <v>301</v>
      </c>
      <c r="E2152" s="2" t="s">
        <v>364</v>
      </c>
      <c r="F2152" s="2" t="s">
        <v>81</v>
      </c>
      <c r="G2152" s="3">
        <v>790000</v>
      </c>
      <c r="H2152" s="8">
        <v>2</v>
      </c>
      <c r="I2152" s="3">
        <v>916400</v>
      </c>
      <c r="J2152" s="3">
        <v>916400</v>
      </c>
    </row>
    <row r="2153" spans="1:10" x14ac:dyDescent="0.25">
      <c r="A2153" s="2">
        <v>2171</v>
      </c>
      <c r="B2153" s="18">
        <v>45418.708287037036</v>
      </c>
      <c r="C2153" s="2" t="s">
        <v>344</v>
      </c>
      <c r="D2153" s="2" t="s">
        <v>301</v>
      </c>
      <c r="E2153" s="2" t="s">
        <v>364</v>
      </c>
      <c r="F2153" s="2" t="s">
        <v>61</v>
      </c>
      <c r="G2153" s="3">
        <v>890000</v>
      </c>
      <c r="H2153" s="8">
        <v>3</v>
      </c>
      <c r="I2153" s="3">
        <v>1548600</v>
      </c>
      <c r="J2153" s="3">
        <v>1548600</v>
      </c>
    </row>
    <row r="2154" spans="1:10" x14ac:dyDescent="0.25">
      <c r="A2154" s="2">
        <v>2172</v>
      </c>
      <c r="B2154" s="18">
        <v>45418.708287037036</v>
      </c>
      <c r="C2154" s="2" t="s">
        <v>344</v>
      </c>
      <c r="D2154" s="2" t="s">
        <v>301</v>
      </c>
      <c r="E2154" s="2" t="s">
        <v>364</v>
      </c>
      <c r="F2154" s="2" t="s">
        <v>43</v>
      </c>
      <c r="G2154" s="3">
        <v>100000</v>
      </c>
      <c r="H2154" s="8">
        <v>29</v>
      </c>
      <c r="I2154" s="3">
        <v>0</v>
      </c>
      <c r="J2154" s="3">
        <v>0</v>
      </c>
    </row>
    <row r="2155" spans="1:10" x14ac:dyDescent="0.25">
      <c r="A2155" s="2">
        <v>2173</v>
      </c>
      <c r="B2155" s="18">
        <v>45419.708287037036</v>
      </c>
      <c r="C2155" s="2" t="s">
        <v>344</v>
      </c>
      <c r="D2155" s="2" t="s">
        <v>302</v>
      </c>
      <c r="E2155" s="2" t="s">
        <v>364</v>
      </c>
      <c r="F2155" s="2" t="s">
        <v>19</v>
      </c>
      <c r="G2155" s="3">
        <v>590000</v>
      </c>
      <c r="H2155" s="8">
        <v>16</v>
      </c>
      <c r="I2155" s="3">
        <v>5475200</v>
      </c>
      <c r="J2155" s="3">
        <v>5475200</v>
      </c>
    </row>
    <row r="2156" spans="1:10" x14ac:dyDescent="0.25">
      <c r="A2156" s="2">
        <v>2174</v>
      </c>
      <c r="B2156" s="18">
        <v>45419.708287037036</v>
      </c>
      <c r="C2156" s="2" t="s">
        <v>344</v>
      </c>
      <c r="D2156" s="2" t="s">
        <v>302</v>
      </c>
      <c r="E2156" s="2" t="s">
        <v>364</v>
      </c>
      <c r="F2156" s="2" t="s">
        <v>27</v>
      </c>
      <c r="G2156" s="3">
        <v>935000</v>
      </c>
      <c r="H2156" s="8">
        <v>2</v>
      </c>
      <c r="I2156" s="3">
        <v>1084600</v>
      </c>
      <c r="J2156" s="3">
        <v>1084600</v>
      </c>
    </row>
    <row r="2157" spans="1:10" x14ac:dyDescent="0.25">
      <c r="A2157" s="2">
        <v>2175</v>
      </c>
      <c r="B2157" s="18">
        <v>45419.708287037036</v>
      </c>
      <c r="C2157" s="2" t="s">
        <v>344</v>
      </c>
      <c r="D2157" s="2" t="s">
        <v>302</v>
      </c>
      <c r="E2157" s="2" t="s">
        <v>364</v>
      </c>
      <c r="F2157" s="2" t="s">
        <v>35</v>
      </c>
      <c r="G2157" s="3">
        <v>525000</v>
      </c>
      <c r="H2157" s="8">
        <v>2</v>
      </c>
      <c r="I2157" s="3">
        <v>609000</v>
      </c>
      <c r="J2157" s="3">
        <v>609000</v>
      </c>
    </row>
    <row r="2158" spans="1:10" x14ac:dyDescent="0.25">
      <c r="A2158" s="2">
        <v>2176</v>
      </c>
      <c r="B2158" s="18">
        <v>45419.708287037036</v>
      </c>
      <c r="C2158" s="2" t="s">
        <v>344</v>
      </c>
      <c r="D2158" s="2" t="s">
        <v>302</v>
      </c>
      <c r="E2158" s="2" t="s">
        <v>364</v>
      </c>
      <c r="F2158" s="2" t="s">
        <v>57</v>
      </c>
      <c r="G2158" s="3">
        <v>745000</v>
      </c>
      <c r="H2158" s="8">
        <v>5</v>
      </c>
      <c r="I2158" s="3">
        <v>2160500</v>
      </c>
      <c r="J2158" s="3">
        <v>2160500</v>
      </c>
    </row>
    <row r="2159" spans="1:10" x14ac:dyDescent="0.25">
      <c r="A2159" s="2">
        <v>2177</v>
      </c>
      <c r="B2159" s="18">
        <v>45419.708287037036</v>
      </c>
      <c r="C2159" s="2" t="s">
        <v>344</v>
      </c>
      <c r="D2159" s="2" t="s">
        <v>302</v>
      </c>
      <c r="E2159" s="2" t="s">
        <v>364</v>
      </c>
      <c r="F2159" s="2" t="s">
        <v>61</v>
      </c>
      <c r="G2159" s="3">
        <v>890000</v>
      </c>
      <c r="H2159" s="8">
        <v>2</v>
      </c>
      <c r="I2159" s="3">
        <v>1032400</v>
      </c>
      <c r="J2159" s="3">
        <v>1032400</v>
      </c>
    </row>
    <row r="2160" spans="1:10" x14ac:dyDescent="0.25">
      <c r="A2160" s="2">
        <v>2178</v>
      </c>
      <c r="B2160" s="18">
        <v>45419.708287037036</v>
      </c>
      <c r="C2160" s="2" t="s">
        <v>344</v>
      </c>
      <c r="D2160" s="2" t="s">
        <v>302</v>
      </c>
      <c r="E2160" s="2" t="s">
        <v>364</v>
      </c>
      <c r="F2160" s="2" t="s">
        <v>43</v>
      </c>
      <c r="G2160" s="3">
        <v>100000</v>
      </c>
      <c r="H2160" s="8">
        <v>27</v>
      </c>
      <c r="I2160" s="3">
        <v>0</v>
      </c>
      <c r="J2160" s="3">
        <v>0</v>
      </c>
    </row>
    <row r="2161" spans="1:10" x14ac:dyDescent="0.25">
      <c r="A2161" s="2">
        <v>2179</v>
      </c>
      <c r="B2161" s="18">
        <v>45420.708287037036</v>
      </c>
      <c r="C2161" s="2" t="s">
        <v>344</v>
      </c>
      <c r="D2161" s="2" t="s">
        <v>284</v>
      </c>
      <c r="E2161" s="2" t="s">
        <v>369</v>
      </c>
      <c r="F2161" s="2" t="s">
        <v>89</v>
      </c>
      <c r="G2161" s="3">
        <v>390000</v>
      </c>
      <c r="H2161" s="8">
        <v>85</v>
      </c>
      <c r="I2161" s="3">
        <v>0</v>
      </c>
      <c r="J2161" s="3">
        <v>0</v>
      </c>
    </row>
    <row r="2162" spans="1:10" x14ac:dyDescent="0.25">
      <c r="A2162" s="2">
        <v>2182</v>
      </c>
      <c r="B2162" s="18">
        <v>45421.708287037036</v>
      </c>
      <c r="C2162" s="2" t="s">
        <v>344</v>
      </c>
      <c r="D2162" s="2" t="s">
        <v>232</v>
      </c>
      <c r="E2162" s="2" t="s">
        <v>367</v>
      </c>
      <c r="F2162" s="2" t="s">
        <v>81</v>
      </c>
      <c r="G2162" s="3">
        <v>790000</v>
      </c>
      <c r="H2162" s="8">
        <v>1</v>
      </c>
      <c r="I2162" s="3">
        <v>695200</v>
      </c>
      <c r="J2162" s="3">
        <v>695200</v>
      </c>
    </row>
    <row r="2163" spans="1:10" x14ac:dyDescent="0.25">
      <c r="A2163" s="2">
        <v>2183</v>
      </c>
      <c r="B2163" s="18">
        <v>45421.708287037036</v>
      </c>
      <c r="C2163" s="2" t="s">
        <v>344</v>
      </c>
      <c r="D2163" s="2" t="s">
        <v>232</v>
      </c>
      <c r="E2163" s="2" t="s">
        <v>367</v>
      </c>
      <c r="F2163" s="2" t="s">
        <v>89</v>
      </c>
      <c r="G2163" s="3">
        <v>390000</v>
      </c>
      <c r="H2163" s="8">
        <v>1</v>
      </c>
      <c r="I2163" s="3">
        <v>0</v>
      </c>
      <c r="J2163" s="3">
        <v>0</v>
      </c>
    </row>
    <row r="2164" spans="1:10" x14ac:dyDescent="0.25">
      <c r="A2164" s="2">
        <v>2184</v>
      </c>
      <c r="B2164" s="18">
        <v>45422.708287037036</v>
      </c>
      <c r="C2164" s="2" t="s">
        <v>344</v>
      </c>
      <c r="D2164" s="2" t="s">
        <v>86</v>
      </c>
      <c r="E2164" s="2" t="s">
        <v>369</v>
      </c>
      <c r="F2164" s="2" t="s">
        <v>57</v>
      </c>
      <c r="G2164" s="3">
        <v>745000</v>
      </c>
      <c r="H2164" s="8">
        <v>23</v>
      </c>
      <c r="I2164" s="3">
        <v>8567500</v>
      </c>
      <c r="J2164" s="3">
        <v>8567500</v>
      </c>
    </row>
    <row r="2165" spans="1:10" x14ac:dyDescent="0.25">
      <c r="A2165" s="2">
        <v>2185</v>
      </c>
      <c r="B2165" s="18">
        <v>45422.708287037036</v>
      </c>
      <c r="C2165" s="2" t="s">
        <v>344</v>
      </c>
      <c r="D2165" s="2" t="s">
        <v>86</v>
      </c>
      <c r="E2165" s="2" t="s">
        <v>369</v>
      </c>
      <c r="F2165" s="2" t="s">
        <v>31</v>
      </c>
      <c r="G2165" s="3">
        <v>745000</v>
      </c>
      <c r="H2165" s="8">
        <v>28</v>
      </c>
      <c r="I2165" s="3">
        <v>10430000</v>
      </c>
      <c r="J2165" s="3">
        <v>10430000</v>
      </c>
    </row>
    <row r="2166" spans="1:10" x14ac:dyDescent="0.25">
      <c r="A2166" s="2">
        <v>2186</v>
      </c>
      <c r="B2166" s="18">
        <v>45422.708287037036</v>
      </c>
      <c r="C2166" s="2" t="s">
        <v>344</v>
      </c>
      <c r="D2166" s="2" t="s">
        <v>86</v>
      </c>
      <c r="E2166" s="2" t="s">
        <v>369</v>
      </c>
      <c r="F2166" s="2" t="s">
        <v>23</v>
      </c>
      <c r="G2166" s="3">
        <v>775000</v>
      </c>
      <c r="H2166" s="8">
        <v>3</v>
      </c>
      <c r="I2166" s="3">
        <v>1162500</v>
      </c>
      <c r="J2166" s="3">
        <v>1162500</v>
      </c>
    </row>
    <row r="2167" spans="1:10" x14ac:dyDescent="0.25">
      <c r="A2167" s="2">
        <v>2187</v>
      </c>
      <c r="B2167" s="18">
        <v>45422.708287037036</v>
      </c>
      <c r="C2167" s="2" t="s">
        <v>344</v>
      </c>
      <c r="D2167" s="2" t="s">
        <v>86</v>
      </c>
      <c r="E2167" s="2" t="s">
        <v>369</v>
      </c>
      <c r="F2167" s="2" t="s">
        <v>47</v>
      </c>
      <c r="G2167" s="3">
        <v>200000</v>
      </c>
      <c r="H2167" s="8">
        <v>51</v>
      </c>
      <c r="I2167" s="3">
        <v>0</v>
      </c>
      <c r="J2167" s="3">
        <v>0</v>
      </c>
    </row>
    <row r="2168" spans="1:10" x14ac:dyDescent="0.25">
      <c r="A2168" s="2">
        <v>2188</v>
      </c>
      <c r="B2168" s="18">
        <v>45424.708287037036</v>
      </c>
      <c r="C2168" s="2" t="s">
        <v>344</v>
      </c>
      <c r="D2168" s="2" t="s">
        <v>301</v>
      </c>
      <c r="E2168" s="2" t="s">
        <v>364</v>
      </c>
      <c r="F2168" s="2" t="s">
        <v>19</v>
      </c>
      <c r="G2168" s="3">
        <v>590000</v>
      </c>
      <c r="H2168" s="8">
        <v>5</v>
      </c>
      <c r="I2168" s="3">
        <v>1711000</v>
      </c>
      <c r="J2168" s="3">
        <v>1711000</v>
      </c>
    </row>
    <row r="2169" spans="1:10" x14ac:dyDescent="0.25">
      <c r="A2169" s="2">
        <v>2189</v>
      </c>
      <c r="B2169" s="18">
        <v>45424.708287037036</v>
      </c>
      <c r="C2169" s="2" t="s">
        <v>344</v>
      </c>
      <c r="D2169" s="2" t="s">
        <v>301</v>
      </c>
      <c r="E2169" s="2" t="s">
        <v>364</v>
      </c>
      <c r="F2169" s="2" t="s">
        <v>21</v>
      </c>
      <c r="G2169" s="3">
        <v>890000</v>
      </c>
      <c r="H2169" s="8">
        <v>4</v>
      </c>
      <c r="I2169" s="3">
        <v>2064800</v>
      </c>
      <c r="J2169" s="3">
        <v>2064800</v>
      </c>
    </row>
    <row r="2170" spans="1:10" x14ac:dyDescent="0.25">
      <c r="A2170" s="2">
        <v>2190</v>
      </c>
      <c r="B2170" s="18">
        <v>45424.708287037036</v>
      </c>
      <c r="C2170" s="2" t="s">
        <v>344</v>
      </c>
      <c r="D2170" s="2" t="s">
        <v>301</v>
      </c>
      <c r="E2170" s="2" t="s">
        <v>364</v>
      </c>
      <c r="F2170" s="2" t="s">
        <v>27</v>
      </c>
      <c r="G2170" s="3">
        <v>935000</v>
      </c>
      <c r="H2170" s="8">
        <v>2</v>
      </c>
      <c r="I2170" s="3">
        <v>1084600</v>
      </c>
      <c r="J2170" s="3">
        <v>1084600</v>
      </c>
    </row>
    <row r="2171" spans="1:10" x14ac:dyDescent="0.25">
      <c r="A2171" s="2">
        <v>2191</v>
      </c>
      <c r="B2171" s="18">
        <v>45424.708287037036</v>
      </c>
      <c r="C2171" s="2" t="s">
        <v>344</v>
      </c>
      <c r="D2171" s="2" t="s">
        <v>301</v>
      </c>
      <c r="E2171" s="2" t="s">
        <v>364</v>
      </c>
      <c r="F2171" s="2" t="s">
        <v>35</v>
      </c>
      <c r="G2171" s="3">
        <v>525000</v>
      </c>
      <c r="H2171" s="8">
        <v>2</v>
      </c>
      <c r="I2171" s="3">
        <v>609000</v>
      </c>
      <c r="J2171" s="3">
        <v>609000</v>
      </c>
    </row>
    <row r="2172" spans="1:10" x14ac:dyDescent="0.25">
      <c r="A2172" s="2">
        <v>2192</v>
      </c>
      <c r="B2172" s="18">
        <v>45424.708287037036</v>
      </c>
      <c r="C2172" s="2" t="s">
        <v>344</v>
      </c>
      <c r="D2172" s="2" t="s">
        <v>301</v>
      </c>
      <c r="E2172" s="2" t="s">
        <v>364</v>
      </c>
      <c r="F2172" s="2" t="s">
        <v>31</v>
      </c>
      <c r="G2172" s="3">
        <v>745000</v>
      </c>
      <c r="H2172" s="8">
        <v>2</v>
      </c>
      <c r="I2172" s="3">
        <v>864200</v>
      </c>
      <c r="J2172" s="3">
        <v>864200</v>
      </c>
    </row>
    <row r="2173" spans="1:10" x14ac:dyDescent="0.25">
      <c r="A2173" s="2">
        <v>2193</v>
      </c>
      <c r="B2173" s="18">
        <v>45424.708287037036</v>
      </c>
      <c r="C2173" s="2" t="s">
        <v>344</v>
      </c>
      <c r="D2173" s="2" t="s">
        <v>301</v>
      </c>
      <c r="E2173" s="2" t="s">
        <v>364</v>
      </c>
      <c r="F2173" s="2" t="s">
        <v>57</v>
      </c>
      <c r="G2173" s="3">
        <v>745000</v>
      </c>
      <c r="H2173" s="8">
        <v>6</v>
      </c>
      <c r="I2173" s="3">
        <v>2592600</v>
      </c>
      <c r="J2173" s="3">
        <v>2592600</v>
      </c>
    </row>
    <row r="2174" spans="1:10" x14ac:dyDescent="0.25">
      <c r="A2174" s="2">
        <v>2194</v>
      </c>
      <c r="B2174" s="18">
        <v>45424.708287037036</v>
      </c>
      <c r="C2174" s="2" t="s">
        <v>344</v>
      </c>
      <c r="D2174" s="2" t="s">
        <v>301</v>
      </c>
      <c r="E2174" s="2" t="s">
        <v>364</v>
      </c>
      <c r="F2174" s="2" t="s">
        <v>81</v>
      </c>
      <c r="G2174" s="3">
        <v>790000</v>
      </c>
      <c r="H2174" s="8">
        <v>1</v>
      </c>
      <c r="I2174" s="3">
        <v>458200</v>
      </c>
      <c r="J2174" s="3">
        <v>458200</v>
      </c>
    </row>
    <row r="2175" spans="1:10" x14ac:dyDescent="0.25">
      <c r="A2175" s="2">
        <v>2195</v>
      </c>
      <c r="B2175" s="18">
        <v>45424.708287037036</v>
      </c>
      <c r="C2175" s="2" t="s">
        <v>344</v>
      </c>
      <c r="D2175" s="2" t="s">
        <v>301</v>
      </c>
      <c r="E2175" s="2" t="s">
        <v>364</v>
      </c>
      <c r="F2175" s="2" t="s">
        <v>61</v>
      </c>
      <c r="G2175" s="3">
        <v>890000</v>
      </c>
      <c r="H2175" s="8">
        <v>4</v>
      </c>
      <c r="I2175" s="3">
        <v>2064800</v>
      </c>
      <c r="J2175" s="3">
        <v>2064800</v>
      </c>
    </row>
    <row r="2176" spans="1:10" x14ac:dyDescent="0.25">
      <c r="A2176" s="2">
        <v>2196</v>
      </c>
      <c r="B2176" s="18">
        <v>45424.708287037036</v>
      </c>
      <c r="C2176" s="2" t="s">
        <v>344</v>
      </c>
      <c r="D2176" s="2" t="s">
        <v>301</v>
      </c>
      <c r="E2176" s="2" t="s">
        <v>364</v>
      </c>
      <c r="F2176" s="2" t="s">
        <v>43</v>
      </c>
      <c r="G2176" s="3">
        <v>100000</v>
      </c>
      <c r="H2176" s="8">
        <v>26</v>
      </c>
      <c r="I2176" s="3">
        <v>0</v>
      </c>
      <c r="J2176" s="3">
        <v>0</v>
      </c>
    </row>
    <row r="2177" spans="1:10" x14ac:dyDescent="0.25">
      <c r="A2177" s="2">
        <v>2197</v>
      </c>
      <c r="B2177" s="18">
        <v>45429.708287037036</v>
      </c>
      <c r="C2177" s="2" t="s">
        <v>344</v>
      </c>
      <c r="D2177" s="2" t="s">
        <v>301</v>
      </c>
      <c r="E2177" s="2" t="s">
        <v>364</v>
      </c>
      <c r="F2177" s="2" t="s">
        <v>19</v>
      </c>
      <c r="G2177" s="3">
        <v>590000</v>
      </c>
      <c r="H2177" s="8">
        <v>21</v>
      </c>
      <c r="I2177" s="3">
        <v>7186200</v>
      </c>
      <c r="J2177" s="3">
        <v>7186200</v>
      </c>
    </row>
    <row r="2178" spans="1:10" x14ac:dyDescent="0.25">
      <c r="A2178" s="2">
        <v>2198</v>
      </c>
      <c r="B2178" s="18">
        <v>45429.708287037036</v>
      </c>
      <c r="C2178" s="2" t="s">
        <v>344</v>
      </c>
      <c r="D2178" s="2" t="s">
        <v>301</v>
      </c>
      <c r="E2178" s="2" t="s">
        <v>364</v>
      </c>
      <c r="F2178" s="2" t="s">
        <v>21</v>
      </c>
      <c r="G2178" s="3">
        <v>890000</v>
      </c>
      <c r="H2178" s="8">
        <v>1</v>
      </c>
      <c r="I2178" s="3">
        <v>516200</v>
      </c>
      <c r="J2178" s="3">
        <v>516200</v>
      </c>
    </row>
    <row r="2179" spans="1:10" x14ac:dyDescent="0.25">
      <c r="A2179" s="2">
        <v>2199</v>
      </c>
      <c r="B2179" s="18">
        <v>45429.708287037036</v>
      </c>
      <c r="C2179" s="2" t="s">
        <v>344</v>
      </c>
      <c r="D2179" s="2" t="s">
        <v>301</v>
      </c>
      <c r="E2179" s="2" t="s">
        <v>364</v>
      </c>
      <c r="F2179" s="2" t="s">
        <v>27</v>
      </c>
      <c r="G2179" s="3">
        <v>935000</v>
      </c>
      <c r="H2179" s="8">
        <v>2</v>
      </c>
      <c r="I2179" s="3">
        <v>1084600</v>
      </c>
      <c r="J2179" s="3">
        <v>1084600</v>
      </c>
    </row>
    <row r="2180" spans="1:10" x14ac:dyDescent="0.25">
      <c r="A2180" s="2">
        <v>2200</v>
      </c>
      <c r="B2180" s="18">
        <v>45429.708287037036</v>
      </c>
      <c r="C2180" s="2" t="s">
        <v>344</v>
      </c>
      <c r="D2180" s="2" t="s">
        <v>301</v>
      </c>
      <c r="E2180" s="2" t="s">
        <v>364</v>
      </c>
      <c r="F2180" s="2" t="s">
        <v>31</v>
      </c>
      <c r="G2180" s="3">
        <v>745000</v>
      </c>
      <c r="H2180" s="8">
        <v>2</v>
      </c>
      <c r="I2180" s="3">
        <v>864200</v>
      </c>
      <c r="J2180" s="3">
        <v>864200</v>
      </c>
    </row>
    <row r="2181" spans="1:10" x14ac:dyDescent="0.25">
      <c r="A2181" s="2">
        <v>2201</v>
      </c>
      <c r="B2181" s="18">
        <v>45429.708287037036</v>
      </c>
      <c r="C2181" s="2" t="s">
        <v>344</v>
      </c>
      <c r="D2181" s="2" t="s">
        <v>301</v>
      </c>
      <c r="E2181" s="2" t="s">
        <v>364</v>
      </c>
      <c r="F2181" s="2" t="s">
        <v>57</v>
      </c>
      <c r="G2181" s="3">
        <v>745000</v>
      </c>
      <c r="H2181" s="8">
        <v>1</v>
      </c>
      <c r="I2181" s="3">
        <v>432100</v>
      </c>
      <c r="J2181" s="3">
        <v>432100</v>
      </c>
    </row>
    <row r="2182" spans="1:10" x14ac:dyDescent="0.25">
      <c r="A2182" s="2">
        <v>2202</v>
      </c>
      <c r="B2182" s="18">
        <v>45429.708287037036</v>
      </c>
      <c r="C2182" s="2" t="s">
        <v>344</v>
      </c>
      <c r="D2182" s="2" t="s">
        <v>301</v>
      </c>
      <c r="E2182" s="2" t="s">
        <v>364</v>
      </c>
      <c r="F2182" s="2" t="s">
        <v>43</v>
      </c>
      <c r="G2182" s="3">
        <v>100000</v>
      </c>
      <c r="H2182" s="8">
        <v>27</v>
      </c>
      <c r="I2182" s="3">
        <v>0</v>
      </c>
      <c r="J2182" s="3">
        <v>0</v>
      </c>
    </row>
    <row r="2183" spans="1:10" x14ac:dyDescent="0.25">
      <c r="A2183" s="2">
        <v>2203</v>
      </c>
      <c r="B2183" s="18">
        <v>45432.708287037036</v>
      </c>
      <c r="C2183" s="2" t="s">
        <v>344</v>
      </c>
      <c r="D2183" s="2" t="s">
        <v>119</v>
      </c>
      <c r="E2183" s="2" t="s">
        <v>370</v>
      </c>
      <c r="F2183" s="2" t="s">
        <v>31</v>
      </c>
      <c r="G2183" s="3">
        <v>745000</v>
      </c>
      <c r="H2183" s="8">
        <v>2</v>
      </c>
      <c r="I2183" s="3">
        <v>975272.05</v>
      </c>
      <c r="J2183" s="3">
        <v>1072799.2550000001</v>
      </c>
    </row>
    <row r="2184" spans="1:10" x14ac:dyDescent="0.25">
      <c r="A2184" s="2">
        <v>2204</v>
      </c>
      <c r="B2184" s="18">
        <v>45432.708287037036</v>
      </c>
      <c r="C2184" s="2" t="s">
        <v>344</v>
      </c>
      <c r="D2184" s="2" t="s">
        <v>119</v>
      </c>
      <c r="E2184" s="2" t="s">
        <v>370</v>
      </c>
      <c r="F2184" s="2" t="s">
        <v>57</v>
      </c>
      <c r="G2184" s="3">
        <v>745000</v>
      </c>
      <c r="H2184" s="8">
        <v>2</v>
      </c>
      <c r="I2184" s="3">
        <v>975272.05</v>
      </c>
      <c r="J2184" s="3">
        <v>1072799.2550000001</v>
      </c>
    </row>
    <row r="2185" spans="1:10" x14ac:dyDescent="0.25">
      <c r="A2185" s="2">
        <v>2205</v>
      </c>
      <c r="B2185" s="18">
        <v>45432.708287037036</v>
      </c>
      <c r="C2185" s="2" t="s">
        <v>344</v>
      </c>
      <c r="D2185" s="2" t="s">
        <v>120</v>
      </c>
      <c r="E2185" s="2" t="s">
        <v>370</v>
      </c>
      <c r="F2185" s="2" t="s">
        <v>31</v>
      </c>
      <c r="G2185" s="3">
        <v>745000</v>
      </c>
      <c r="H2185" s="8">
        <v>2</v>
      </c>
      <c r="I2185" s="3">
        <v>975272.05</v>
      </c>
      <c r="J2185" s="3">
        <v>1072799.2550000001</v>
      </c>
    </row>
    <row r="2186" spans="1:10" x14ac:dyDescent="0.25">
      <c r="A2186" s="2">
        <v>2206</v>
      </c>
      <c r="B2186" s="18">
        <v>45432.708287037036</v>
      </c>
      <c r="C2186" s="2" t="s">
        <v>344</v>
      </c>
      <c r="D2186" s="2" t="s">
        <v>120</v>
      </c>
      <c r="E2186" s="2" t="s">
        <v>370</v>
      </c>
      <c r="F2186" s="2" t="s">
        <v>57</v>
      </c>
      <c r="G2186" s="3">
        <v>745000</v>
      </c>
      <c r="H2186" s="8">
        <v>2</v>
      </c>
      <c r="I2186" s="3">
        <v>975272.05</v>
      </c>
      <c r="J2186" s="3">
        <v>1072799.2550000001</v>
      </c>
    </row>
    <row r="2187" spans="1:10" x14ac:dyDescent="0.25">
      <c r="A2187" s="2">
        <v>2207</v>
      </c>
      <c r="B2187" s="18">
        <v>45432.708287037036</v>
      </c>
      <c r="C2187" s="2" t="s">
        <v>344</v>
      </c>
      <c r="D2187" s="2" t="s">
        <v>56</v>
      </c>
      <c r="E2187" s="2" t="s">
        <v>370</v>
      </c>
      <c r="F2187" s="2" t="s">
        <v>31</v>
      </c>
      <c r="G2187" s="3">
        <v>745000</v>
      </c>
      <c r="H2187" s="8">
        <v>1</v>
      </c>
      <c r="I2187" s="3">
        <v>0</v>
      </c>
      <c r="J2187" s="3">
        <v>0</v>
      </c>
    </row>
    <row r="2188" spans="1:10" x14ac:dyDescent="0.25">
      <c r="A2188" s="2">
        <v>2208</v>
      </c>
      <c r="B2188" s="18">
        <v>45432.708287037036</v>
      </c>
      <c r="C2188" s="2" t="s">
        <v>344</v>
      </c>
      <c r="D2188" s="2" t="s">
        <v>56</v>
      </c>
      <c r="E2188" s="2" t="s">
        <v>370</v>
      </c>
      <c r="F2188" s="2" t="s">
        <v>57</v>
      </c>
      <c r="G2188" s="3">
        <v>745000</v>
      </c>
      <c r="H2188" s="8">
        <v>1</v>
      </c>
      <c r="I2188" s="3">
        <v>0</v>
      </c>
      <c r="J2188" s="3">
        <v>0</v>
      </c>
    </row>
    <row r="2189" spans="1:10" x14ac:dyDescent="0.25">
      <c r="A2189" s="2">
        <v>2209</v>
      </c>
      <c r="B2189" s="18">
        <v>45432.708287037036</v>
      </c>
      <c r="C2189" s="2" t="s">
        <v>344</v>
      </c>
      <c r="D2189" s="2" t="s">
        <v>56</v>
      </c>
      <c r="E2189" s="2" t="s">
        <v>370</v>
      </c>
      <c r="F2189" s="2" t="s">
        <v>81</v>
      </c>
      <c r="G2189" s="3">
        <v>790000</v>
      </c>
      <c r="H2189" s="8">
        <v>1</v>
      </c>
      <c r="I2189" s="3">
        <v>0</v>
      </c>
      <c r="J2189" s="3">
        <v>0</v>
      </c>
    </row>
    <row r="2190" spans="1:10" x14ac:dyDescent="0.25">
      <c r="A2190" s="2">
        <v>2210</v>
      </c>
      <c r="B2190" s="18">
        <v>45432.708287037036</v>
      </c>
      <c r="C2190" s="2" t="s">
        <v>344</v>
      </c>
      <c r="D2190" s="2" t="s">
        <v>56</v>
      </c>
      <c r="E2190" s="2" t="s">
        <v>370</v>
      </c>
      <c r="F2190" s="2" t="s">
        <v>19</v>
      </c>
      <c r="G2190" s="3">
        <v>590000</v>
      </c>
      <c r="H2190" s="8">
        <v>1</v>
      </c>
      <c r="I2190" s="3">
        <v>0</v>
      </c>
      <c r="J2190" s="3">
        <v>0</v>
      </c>
    </row>
    <row r="2191" spans="1:10" x14ac:dyDescent="0.25">
      <c r="A2191" s="2">
        <v>2211</v>
      </c>
      <c r="B2191" s="18">
        <v>45432.708287037036</v>
      </c>
      <c r="C2191" s="2" t="s">
        <v>344</v>
      </c>
      <c r="D2191" s="2" t="s">
        <v>56</v>
      </c>
      <c r="E2191" s="2" t="s">
        <v>370</v>
      </c>
      <c r="F2191" s="2" t="s">
        <v>27</v>
      </c>
      <c r="G2191" s="3">
        <v>935000</v>
      </c>
      <c r="H2191" s="8">
        <v>1</v>
      </c>
      <c r="I2191" s="3">
        <v>0</v>
      </c>
      <c r="J2191" s="3">
        <v>0</v>
      </c>
    </row>
    <row r="2192" spans="1:10" x14ac:dyDescent="0.25">
      <c r="A2192" s="2">
        <v>2212</v>
      </c>
      <c r="B2192" s="18">
        <v>45433.708287037036</v>
      </c>
      <c r="C2192" s="2" t="s">
        <v>344</v>
      </c>
      <c r="D2192" s="2" t="s">
        <v>118</v>
      </c>
      <c r="E2192" s="2" t="s">
        <v>370</v>
      </c>
      <c r="F2192" s="2" t="s">
        <v>29</v>
      </c>
      <c r="G2192" s="3">
        <v>590000</v>
      </c>
      <c r="H2192" s="8">
        <v>2</v>
      </c>
      <c r="I2192" s="3">
        <v>772363.1</v>
      </c>
      <c r="J2192" s="3">
        <v>849599.4099999999</v>
      </c>
    </row>
    <row r="2193" spans="1:10" x14ac:dyDescent="0.25">
      <c r="A2193" s="2">
        <v>2213</v>
      </c>
      <c r="B2193" s="18">
        <v>45433.708287037036</v>
      </c>
      <c r="C2193" s="2" t="s">
        <v>344</v>
      </c>
      <c r="D2193" s="2" t="s">
        <v>118</v>
      </c>
      <c r="E2193" s="2" t="s">
        <v>370</v>
      </c>
      <c r="F2193" s="2" t="s">
        <v>19</v>
      </c>
      <c r="G2193" s="3">
        <v>590000</v>
      </c>
      <c r="H2193" s="8">
        <v>2</v>
      </c>
      <c r="I2193" s="3">
        <v>772363.1</v>
      </c>
      <c r="J2193" s="3">
        <v>849599.4099999999</v>
      </c>
    </row>
    <row r="2194" spans="1:10" x14ac:dyDescent="0.25">
      <c r="A2194" s="2">
        <v>2214</v>
      </c>
      <c r="B2194" s="18">
        <v>45433.708287037036</v>
      </c>
      <c r="C2194" s="2" t="s">
        <v>344</v>
      </c>
      <c r="D2194" s="2" t="s">
        <v>118</v>
      </c>
      <c r="E2194" s="2" t="s">
        <v>370</v>
      </c>
      <c r="F2194" s="2" t="s">
        <v>61</v>
      </c>
      <c r="G2194" s="3">
        <v>890000</v>
      </c>
      <c r="H2194" s="8">
        <v>2</v>
      </c>
      <c r="I2194" s="3">
        <v>1165090.1</v>
      </c>
      <c r="J2194" s="3">
        <v>1281599.11</v>
      </c>
    </row>
    <row r="2195" spans="1:10" x14ac:dyDescent="0.25">
      <c r="A2195" s="2">
        <v>2215</v>
      </c>
      <c r="B2195" s="18">
        <v>45433.708287037036</v>
      </c>
      <c r="C2195" s="2" t="s">
        <v>344</v>
      </c>
      <c r="D2195" s="2" t="s">
        <v>118</v>
      </c>
      <c r="E2195" s="2" t="s">
        <v>370</v>
      </c>
      <c r="F2195" s="2" t="s">
        <v>81</v>
      </c>
      <c r="G2195" s="3">
        <v>790000</v>
      </c>
      <c r="H2195" s="8">
        <v>2</v>
      </c>
      <c r="I2195" s="3">
        <v>1034181.1</v>
      </c>
      <c r="J2195" s="3">
        <v>1137599.21</v>
      </c>
    </row>
    <row r="2196" spans="1:10" x14ac:dyDescent="0.25">
      <c r="A2196" s="2">
        <v>2216</v>
      </c>
      <c r="B2196" s="18">
        <v>45433.708287037036</v>
      </c>
      <c r="C2196" s="2" t="s">
        <v>344</v>
      </c>
      <c r="D2196" s="2" t="s">
        <v>118</v>
      </c>
      <c r="E2196" s="2" t="s">
        <v>370</v>
      </c>
      <c r="F2196" s="2" t="s">
        <v>35</v>
      </c>
      <c r="G2196" s="3">
        <v>525000</v>
      </c>
      <c r="H2196" s="8">
        <v>2</v>
      </c>
      <c r="I2196" s="3">
        <v>687272.25</v>
      </c>
      <c r="J2196" s="3">
        <v>755999.475</v>
      </c>
    </row>
    <row r="2197" spans="1:10" x14ac:dyDescent="0.25">
      <c r="A2197" s="2">
        <v>2217</v>
      </c>
      <c r="B2197" s="18">
        <v>45433.708287037036</v>
      </c>
      <c r="C2197" s="2" t="s">
        <v>344</v>
      </c>
      <c r="D2197" s="2" t="s">
        <v>118</v>
      </c>
      <c r="E2197" s="2" t="s">
        <v>370</v>
      </c>
      <c r="F2197" s="2" t="s">
        <v>31</v>
      </c>
      <c r="G2197" s="3">
        <v>745000</v>
      </c>
      <c r="H2197" s="8">
        <v>2</v>
      </c>
      <c r="I2197" s="3">
        <v>975272.05</v>
      </c>
      <c r="J2197" s="3">
        <v>1072799.2550000001</v>
      </c>
    </row>
    <row r="2198" spans="1:10" x14ac:dyDescent="0.25">
      <c r="A2198" s="2">
        <v>2218</v>
      </c>
      <c r="B2198" s="18">
        <v>45433.708287037036</v>
      </c>
      <c r="C2198" s="2" t="s">
        <v>344</v>
      </c>
      <c r="D2198" s="2" t="s">
        <v>118</v>
      </c>
      <c r="E2198" s="2" t="s">
        <v>370</v>
      </c>
      <c r="F2198" s="2" t="s">
        <v>57</v>
      </c>
      <c r="G2198" s="3">
        <v>745000</v>
      </c>
      <c r="H2198" s="8">
        <v>2</v>
      </c>
      <c r="I2198" s="3">
        <v>975272.05</v>
      </c>
      <c r="J2198" s="3">
        <v>1072799.2550000001</v>
      </c>
    </row>
    <row r="2199" spans="1:10" x14ac:dyDescent="0.25">
      <c r="A2199" s="2">
        <v>2219</v>
      </c>
      <c r="B2199" s="18">
        <v>45433.708287037036</v>
      </c>
      <c r="C2199" s="2" t="s">
        <v>344</v>
      </c>
      <c r="D2199" s="2" t="s">
        <v>331</v>
      </c>
      <c r="E2199" s="2" t="s">
        <v>368</v>
      </c>
      <c r="F2199" s="2" t="s">
        <v>43</v>
      </c>
      <c r="G2199" s="3">
        <v>100000</v>
      </c>
      <c r="H2199" s="8">
        <v>43</v>
      </c>
      <c r="I2199" s="3">
        <v>0</v>
      </c>
      <c r="J2199" s="3">
        <v>0</v>
      </c>
    </row>
    <row r="2200" spans="1:10" x14ac:dyDescent="0.25">
      <c r="A2200" s="2">
        <v>2220</v>
      </c>
      <c r="B2200" s="18">
        <v>45433.708287037036</v>
      </c>
      <c r="C2200" s="2" t="s">
        <v>344</v>
      </c>
      <c r="D2200" s="2" t="s">
        <v>302</v>
      </c>
      <c r="E2200" s="2" t="s">
        <v>364</v>
      </c>
      <c r="F2200" s="2" t="s">
        <v>19</v>
      </c>
      <c r="G2200" s="3">
        <v>590000</v>
      </c>
      <c r="H2200" s="8">
        <v>13</v>
      </c>
      <c r="I2200" s="3">
        <v>4448600</v>
      </c>
      <c r="J2200" s="3">
        <v>4448600</v>
      </c>
    </row>
    <row r="2201" spans="1:10" x14ac:dyDescent="0.25">
      <c r="A2201" s="2">
        <v>2221</v>
      </c>
      <c r="B2201" s="18">
        <v>45433.708287037036</v>
      </c>
      <c r="C2201" s="2" t="s">
        <v>344</v>
      </c>
      <c r="D2201" s="2" t="s">
        <v>302</v>
      </c>
      <c r="E2201" s="2" t="s">
        <v>364</v>
      </c>
      <c r="F2201" s="2" t="s">
        <v>21</v>
      </c>
      <c r="G2201" s="3">
        <v>890000</v>
      </c>
      <c r="H2201" s="8">
        <v>3</v>
      </c>
      <c r="I2201" s="3">
        <v>1548600</v>
      </c>
      <c r="J2201" s="3">
        <v>1548600</v>
      </c>
    </row>
    <row r="2202" spans="1:10" x14ac:dyDescent="0.25">
      <c r="A2202" s="2">
        <v>2222</v>
      </c>
      <c r="B2202" s="18">
        <v>45433.708287037036</v>
      </c>
      <c r="C2202" s="2" t="s">
        <v>344</v>
      </c>
      <c r="D2202" s="2" t="s">
        <v>302</v>
      </c>
      <c r="E2202" s="2" t="s">
        <v>364</v>
      </c>
      <c r="F2202" s="2" t="s">
        <v>27</v>
      </c>
      <c r="G2202" s="3">
        <v>935000</v>
      </c>
      <c r="H2202" s="8">
        <v>7</v>
      </c>
      <c r="I2202" s="3">
        <v>3796100</v>
      </c>
      <c r="J2202" s="3">
        <v>3796100</v>
      </c>
    </row>
    <row r="2203" spans="1:10" x14ac:dyDescent="0.25">
      <c r="A2203" s="2">
        <v>2223</v>
      </c>
      <c r="B2203" s="18">
        <v>45433.708287037036</v>
      </c>
      <c r="C2203" s="2" t="s">
        <v>344</v>
      </c>
      <c r="D2203" s="2" t="s">
        <v>302</v>
      </c>
      <c r="E2203" s="2" t="s">
        <v>364</v>
      </c>
      <c r="F2203" s="2" t="s">
        <v>31</v>
      </c>
      <c r="G2203" s="3">
        <v>745000</v>
      </c>
      <c r="H2203" s="8">
        <v>1</v>
      </c>
      <c r="I2203" s="3">
        <v>432100</v>
      </c>
      <c r="J2203" s="3">
        <v>432100</v>
      </c>
    </row>
    <row r="2204" spans="1:10" x14ac:dyDescent="0.25">
      <c r="A2204" s="2">
        <v>2224</v>
      </c>
      <c r="B2204" s="18">
        <v>45433.708287037036</v>
      </c>
      <c r="C2204" s="2" t="s">
        <v>344</v>
      </c>
      <c r="D2204" s="2" t="s">
        <v>302</v>
      </c>
      <c r="E2204" s="2" t="s">
        <v>364</v>
      </c>
      <c r="F2204" s="2" t="s">
        <v>43</v>
      </c>
      <c r="G2204" s="3">
        <v>100000</v>
      </c>
      <c r="H2204" s="8">
        <v>24</v>
      </c>
      <c r="I2204" s="3">
        <v>0</v>
      </c>
      <c r="J2204" s="3">
        <v>0</v>
      </c>
    </row>
    <row r="2205" spans="1:10" x14ac:dyDescent="0.25">
      <c r="A2205" s="2">
        <v>2228</v>
      </c>
      <c r="B2205" s="18">
        <v>45439.708287037036</v>
      </c>
      <c r="C2205" s="2" t="s">
        <v>344</v>
      </c>
      <c r="D2205" s="2" t="s">
        <v>113</v>
      </c>
      <c r="E2205" s="2" t="s">
        <v>370</v>
      </c>
      <c r="F2205" s="2" t="s">
        <v>31</v>
      </c>
      <c r="G2205" s="3">
        <v>745000</v>
      </c>
      <c r="H2205" s="8">
        <v>2</v>
      </c>
      <c r="I2205" s="3">
        <v>975272.05</v>
      </c>
      <c r="J2205" s="3">
        <v>1072799.2550000001</v>
      </c>
    </row>
    <row r="2206" spans="1:10" x14ac:dyDescent="0.25">
      <c r="A2206" s="2">
        <v>2229</v>
      </c>
      <c r="B2206" s="18">
        <v>45439.708287037036</v>
      </c>
      <c r="C2206" s="2" t="s">
        <v>344</v>
      </c>
      <c r="D2206" s="2" t="s">
        <v>113</v>
      </c>
      <c r="E2206" s="2" t="s">
        <v>370</v>
      </c>
      <c r="F2206" s="2" t="s">
        <v>57</v>
      </c>
      <c r="G2206" s="3">
        <v>745000</v>
      </c>
      <c r="H2206" s="8">
        <v>2</v>
      </c>
      <c r="I2206" s="3">
        <v>975272.05</v>
      </c>
      <c r="J2206" s="3">
        <v>1072799.2550000001</v>
      </c>
    </row>
    <row r="2207" spans="1:10" x14ac:dyDescent="0.25">
      <c r="A2207" s="2">
        <v>2230</v>
      </c>
      <c r="B2207" s="18">
        <v>45439.708287037036</v>
      </c>
      <c r="C2207" s="2" t="s">
        <v>344</v>
      </c>
      <c r="D2207" s="2" t="s">
        <v>117</v>
      </c>
      <c r="E2207" s="2" t="s">
        <v>370</v>
      </c>
      <c r="F2207" s="2" t="s">
        <v>81</v>
      </c>
      <c r="G2207" s="3">
        <v>790000</v>
      </c>
      <c r="H2207" s="8">
        <v>3</v>
      </c>
      <c r="I2207" s="3">
        <v>1551271.65</v>
      </c>
      <c r="J2207" s="3">
        <v>1706398.815</v>
      </c>
    </row>
    <row r="2208" spans="1:10" x14ac:dyDescent="0.25">
      <c r="A2208" s="2">
        <v>2231</v>
      </c>
      <c r="B2208" s="18">
        <v>45439.708287037036</v>
      </c>
      <c r="C2208" s="2" t="s">
        <v>344</v>
      </c>
      <c r="D2208" s="2" t="s">
        <v>117</v>
      </c>
      <c r="E2208" s="2" t="s">
        <v>370</v>
      </c>
      <c r="F2208" s="2" t="s">
        <v>35</v>
      </c>
      <c r="G2208" s="3">
        <v>525000</v>
      </c>
      <c r="H2208" s="8">
        <v>3</v>
      </c>
      <c r="I2208" s="3">
        <v>1030908.375</v>
      </c>
      <c r="J2208" s="3">
        <v>1133999.2125</v>
      </c>
    </row>
    <row r="2209" spans="1:10" x14ac:dyDescent="0.25">
      <c r="A2209" s="2">
        <v>2232</v>
      </c>
      <c r="B2209" s="18">
        <v>45439.708287037036</v>
      </c>
      <c r="C2209" s="2" t="s">
        <v>344</v>
      </c>
      <c r="D2209" s="2" t="s">
        <v>20</v>
      </c>
      <c r="E2209" s="2" t="s">
        <v>370</v>
      </c>
      <c r="F2209" s="2" t="s">
        <v>31</v>
      </c>
      <c r="G2209" s="3">
        <v>745000</v>
      </c>
      <c r="H2209" s="8">
        <v>2</v>
      </c>
      <c r="I2209" s="3">
        <v>975272.05</v>
      </c>
      <c r="J2209" s="3">
        <v>1072799.2550000001</v>
      </c>
    </row>
    <row r="2210" spans="1:10" x14ac:dyDescent="0.25">
      <c r="A2210" s="2">
        <v>2233</v>
      </c>
      <c r="B2210" s="18">
        <v>45439.708287037036</v>
      </c>
      <c r="C2210" s="2" t="s">
        <v>344</v>
      </c>
      <c r="D2210" s="2" t="s">
        <v>20</v>
      </c>
      <c r="E2210" s="2" t="s">
        <v>370</v>
      </c>
      <c r="F2210" s="2" t="s">
        <v>57</v>
      </c>
      <c r="G2210" s="3">
        <v>745000</v>
      </c>
      <c r="H2210" s="8">
        <v>2</v>
      </c>
      <c r="I2210" s="3">
        <v>975272.05</v>
      </c>
      <c r="J2210" s="3">
        <v>1072799.2550000001</v>
      </c>
    </row>
    <row r="2211" spans="1:10" x14ac:dyDescent="0.25">
      <c r="A2211" s="2">
        <v>2234</v>
      </c>
      <c r="B2211" s="18">
        <v>45439.708287037036</v>
      </c>
      <c r="C2211" s="2" t="s">
        <v>344</v>
      </c>
      <c r="D2211" s="2" t="s">
        <v>119</v>
      </c>
      <c r="E2211" s="2" t="s">
        <v>370</v>
      </c>
      <c r="F2211" s="2" t="s">
        <v>81</v>
      </c>
      <c r="G2211" s="3">
        <v>790000</v>
      </c>
      <c r="H2211" s="8">
        <v>2</v>
      </c>
      <c r="I2211" s="3">
        <v>1034181.1</v>
      </c>
      <c r="J2211" s="3">
        <v>1137599.21</v>
      </c>
    </row>
    <row r="2212" spans="1:10" x14ac:dyDescent="0.25">
      <c r="A2212" s="2">
        <v>2235</v>
      </c>
      <c r="B2212" s="18">
        <v>45439.708287037036</v>
      </c>
      <c r="C2212" s="2" t="s">
        <v>344</v>
      </c>
      <c r="D2212" s="2" t="s">
        <v>119</v>
      </c>
      <c r="E2212" s="2" t="s">
        <v>370</v>
      </c>
      <c r="F2212" s="2" t="s">
        <v>35</v>
      </c>
      <c r="G2212" s="3">
        <v>525000</v>
      </c>
      <c r="H2212" s="8">
        <v>2</v>
      </c>
      <c r="I2212" s="3">
        <v>687272.25</v>
      </c>
      <c r="J2212" s="3">
        <v>755999.475</v>
      </c>
    </row>
    <row r="2213" spans="1:10" x14ac:dyDescent="0.25">
      <c r="A2213" s="2">
        <v>2236</v>
      </c>
      <c r="B2213" s="18">
        <v>45439.708287037036</v>
      </c>
      <c r="C2213" s="2" t="s">
        <v>344</v>
      </c>
      <c r="D2213" s="2" t="s">
        <v>119</v>
      </c>
      <c r="E2213" s="2" t="s">
        <v>370</v>
      </c>
      <c r="F2213" s="2" t="s">
        <v>19</v>
      </c>
      <c r="G2213" s="3">
        <v>590000</v>
      </c>
      <c r="H2213" s="8">
        <v>2</v>
      </c>
      <c r="I2213" s="3">
        <v>772363.1</v>
      </c>
      <c r="J2213" s="3">
        <v>849599.4099999999</v>
      </c>
    </row>
    <row r="2214" spans="1:10" x14ac:dyDescent="0.25">
      <c r="A2214" s="2">
        <v>2237</v>
      </c>
      <c r="B2214" s="18">
        <v>45439.708287037036</v>
      </c>
      <c r="C2214" s="2" t="s">
        <v>344</v>
      </c>
      <c r="D2214" s="2" t="s">
        <v>119</v>
      </c>
      <c r="E2214" s="2" t="s">
        <v>370</v>
      </c>
      <c r="F2214" s="2" t="s">
        <v>61</v>
      </c>
      <c r="G2214" s="3">
        <v>890000</v>
      </c>
      <c r="H2214" s="8">
        <v>2</v>
      </c>
      <c r="I2214" s="3">
        <v>1165090.1</v>
      </c>
      <c r="J2214" s="3">
        <v>1281599.11</v>
      </c>
    </row>
    <row r="2215" spans="1:10" x14ac:dyDescent="0.25">
      <c r="A2215" s="2">
        <v>2238</v>
      </c>
      <c r="B2215" s="18">
        <v>45439.708287037036</v>
      </c>
      <c r="C2215" s="2" t="s">
        <v>344</v>
      </c>
      <c r="D2215" s="2" t="s">
        <v>20</v>
      </c>
      <c r="E2215" s="2" t="s">
        <v>370</v>
      </c>
      <c r="F2215" s="2" t="s">
        <v>61</v>
      </c>
      <c r="G2215" s="3">
        <v>890000</v>
      </c>
      <c r="H2215" s="8">
        <v>2</v>
      </c>
      <c r="I2215" s="3">
        <v>1165090.1</v>
      </c>
      <c r="J2215" s="3">
        <v>1281599.11</v>
      </c>
    </row>
    <row r="2216" spans="1:10" x14ac:dyDescent="0.25">
      <c r="A2216" s="2">
        <v>2239</v>
      </c>
      <c r="B2216" s="18">
        <v>45439.708287037036</v>
      </c>
      <c r="C2216" s="2" t="s">
        <v>344</v>
      </c>
      <c r="D2216" s="2" t="s">
        <v>117</v>
      </c>
      <c r="E2216" s="2" t="s">
        <v>370</v>
      </c>
      <c r="F2216" s="2" t="s">
        <v>61</v>
      </c>
      <c r="G2216" s="3">
        <v>890000</v>
      </c>
      <c r="H2216" s="8">
        <v>3</v>
      </c>
      <c r="I2216" s="3">
        <v>1747635.1500000001</v>
      </c>
      <c r="J2216" s="3">
        <v>1922398.665</v>
      </c>
    </row>
    <row r="2217" spans="1:10" x14ac:dyDescent="0.25">
      <c r="A2217" s="2">
        <v>2240</v>
      </c>
      <c r="B2217" s="18">
        <v>45440.708287037036</v>
      </c>
      <c r="C2217" s="2" t="s">
        <v>344</v>
      </c>
      <c r="D2217" s="2" t="s">
        <v>271</v>
      </c>
      <c r="E2217" s="2" t="s">
        <v>369</v>
      </c>
      <c r="F2217" s="2" t="s">
        <v>19</v>
      </c>
      <c r="G2217" s="3">
        <v>590000</v>
      </c>
      <c r="H2217" s="8">
        <v>20</v>
      </c>
      <c r="I2217" s="3">
        <v>5900000</v>
      </c>
      <c r="J2217" s="3">
        <v>5900000</v>
      </c>
    </row>
    <row r="2218" spans="1:10" x14ac:dyDescent="0.25">
      <c r="A2218" s="2">
        <v>2243</v>
      </c>
      <c r="B2218" s="18">
        <v>45441.708287037036</v>
      </c>
      <c r="C2218" s="2" t="s">
        <v>344</v>
      </c>
      <c r="D2218" s="2" t="s">
        <v>276</v>
      </c>
      <c r="E2218" s="2" t="s">
        <v>369</v>
      </c>
      <c r="F2218" s="2" t="s">
        <v>61</v>
      </c>
      <c r="G2218" s="3">
        <v>890000</v>
      </c>
      <c r="H2218" s="8">
        <v>3</v>
      </c>
      <c r="I2218" s="3">
        <v>1869000</v>
      </c>
      <c r="J2218" s="3">
        <v>1869000</v>
      </c>
    </row>
    <row r="2219" spans="1:10" x14ac:dyDescent="0.25">
      <c r="A2219" s="2">
        <v>2244</v>
      </c>
      <c r="B2219" s="18">
        <v>45441.708287037036</v>
      </c>
      <c r="C2219" s="2" t="s">
        <v>344</v>
      </c>
      <c r="D2219" s="2" t="s">
        <v>276</v>
      </c>
      <c r="E2219" s="2" t="s">
        <v>369</v>
      </c>
      <c r="F2219" s="2" t="s">
        <v>89</v>
      </c>
      <c r="G2219" s="3">
        <v>390000</v>
      </c>
      <c r="H2219" s="8">
        <v>1</v>
      </c>
      <c r="I2219" s="3">
        <v>0</v>
      </c>
      <c r="J2219" s="3">
        <v>0</v>
      </c>
    </row>
    <row r="2220" spans="1:10" x14ac:dyDescent="0.25">
      <c r="A2220" s="2">
        <v>2245</v>
      </c>
      <c r="B2220" s="18">
        <v>45442.708287037036</v>
      </c>
      <c r="C2220" s="2" t="s">
        <v>344</v>
      </c>
      <c r="D2220" s="2" t="s">
        <v>301</v>
      </c>
      <c r="E2220" s="2" t="s">
        <v>364</v>
      </c>
      <c r="F2220" s="2" t="s">
        <v>19</v>
      </c>
      <c r="G2220" s="3">
        <v>590000</v>
      </c>
      <c r="H2220" s="8">
        <v>20</v>
      </c>
      <c r="I2220" s="3">
        <v>6844000</v>
      </c>
      <c r="J2220" s="3">
        <v>6844000</v>
      </c>
    </row>
    <row r="2221" spans="1:10" x14ac:dyDescent="0.25">
      <c r="A2221" s="2">
        <v>2246</v>
      </c>
      <c r="B2221" s="18">
        <v>45442.708287037036</v>
      </c>
      <c r="C2221" s="2" t="s">
        <v>344</v>
      </c>
      <c r="D2221" s="2" t="s">
        <v>301</v>
      </c>
      <c r="E2221" s="2" t="s">
        <v>364</v>
      </c>
      <c r="F2221" s="2" t="s">
        <v>21</v>
      </c>
      <c r="G2221" s="3">
        <v>890000</v>
      </c>
      <c r="H2221" s="8">
        <v>2</v>
      </c>
      <c r="I2221" s="3">
        <v>1032400</v>
      </c>
      <c r="J2221" s="3">
        <v>1032400</v>
      </c>
    </row>
    <row r="2222" spans="1:10" x14ac:dyDescent="0.25">
      <c r="A2222" s="2">
        <v>2247</v>
      </c>
      <c r="B2222" s="18">
        <v>45442.708287037036</v>
      </c>
      <c r="C2222" s="2" t="s">
        <v>344</v>
      </c>
      <c r="D2222" s="2" t="s">
        <v>301</v>
      </c>
      <c r="E2222" s="2" t="s">
        <v>364</v>
      </c>
      <c r="F2222" s="2" t="s">
        <v>81</v>
      </c>
      <c r="G2222" s="3">
        <v>790000</v>
      </c>
      <c r="H2222" s="8">
        <v>5</v>
      </c>
      <c r="I2222" s="3">
        <v>2291000</v>
      </c>
      <c r="J2222" s="3">
        <v>2291000</v>
      </c>
    </row>
    <row r="2223" spans="1:10" x14ac:dyDescent="0.25">
      <c r="A2223" s="2">
        <v>2248</v>
      </c>
      <c r="B2223" s="18">
        <v>45442.708287037036</v>
      </c>
      <c r="C2223" s="2" t="s">
        <v>344</v>
      </c>
      <c r="D2223" s="2" t="s">
        <v>301</v>
      </c>
      <c r="E2223" s="2" t="s">
        <v>364</v>
      </c>
      <c r="F2223" s="2" t="s">
        <v>43</v>
      </c>
      <c r="G2223" s="3">
        <v>100000</v>
      </c>
      <c r="H2223" s="8">
        <v>27</v>
      </c>
      <c r="I2223" s="3">
        <v>0</v>
      </c>
      <c r="J2223" s="3">
        <v>0</v>
      </c>
    </row>
    <row r="2224" spans="1:10" x14ac:dyDescent="0.25">
      <c r="A2224" s="2">
        <v>2251</v>
      </c>
      <c r="B2224" s="18">
        <v>45382.708287037036</v>
      </c>
      <c r="C2224" s="2" t="s">
        <v>342</v>
      </c>
      <c r="D2224" s="2" t="s">
        <v>129</v>
      </c>
      <c r="E2224" s="2" t="s">
        <v>367</v>
      </c>
      <c r="F2224" s="2" t="s">
        <v>61</v>
      </c>
      <c r="G2224" s="3">
        <v>890000</v>
      </c>
      <c r="H2224" s="8">
        <v>3</v>
      </c>
      <c r="I2224" s="3">
        <v>2670000</v>
      </c>
      <c r="J2224" s="3">
        <v>2670000</v>
      </c>
    </row>
    <row r="2225" spans="1:10" x14ac:dyDescent="0.25">
      <c r="A2225" s="2">
        <v>2252</v>
      </c>
      <c r="B2225" s="18">
        <v>45383.708287037036</v>
      </c>
      <c r="C2225" s="2" t="s">
        <v>343</v>
      </c>
      <c r="D2225" s="2" t="s">
        <v>312</v>
      </c>
      <c r="E2225" s="2" t="s">
        <v>369</v>
      </c>
      <c r="F2225" s="2" t="s">
        <v>21</v>
      </c>
      <c r="G2225" s="3">
        <v>890000</v>
      </c>
      <c r="H2225" s="8">
        <v>10</v>
      </c>
      <c r="I2225" s="3">
        <v>5785000</v>
      </c>
      <c r="J2225" s="3">
        <v>5785000</v>
      </c>
    </row>
    <row r="2226" spans="1:10" x14ac:dyDescent="0.25">
      <c r="A2226" s="2">
        <v>2253</v>
      </c>
      <c r="B2226" s="18">
        <v>45383.708287037036</v>
      </c>
      <c r="C2226" s="2" t="s">
        <v>343</v>
      </c>
      <c r="D2226" s="2" t="s">
        <v>312</v>
      </c>
      <c r="E2226" s="2" t="s">
        <v>369</v>
      </c>
      <c r="F2226" s="2" t="s">
        <v>19</v>
      </c>
      <c r="G2226" s="3">
        <v>590000</v>
      </c>
      <c r="H2226" s="8">
        <v>10</v>
      </c>
      <c r="I2226" s="3">
        <v>3835000</v>
      </c>
      <c r="J2226" s="3">
        <v>3835000</v>
      </c>
    </row>
    <row r="2227" spans="1:10" x14ac:dyDescent="0.25">
      <c r="A2227" s="2">
        <v>2254</v>
      </c>
      <c r="B2227" s="18">
        <v>45383.708287037036</v>
      </c>
      <c r="C2227" s="2" t="s">
        <v>343</v>
      </c>
      <c r="D2227" s="2" t="s">
        <v>312</v>
      </c>
      <c r="E2227" s="2" t="s">
        <v>369</v>
      </c>
      <c r="F2227" s="2" t="s">
        <v>37</v>
      </c>
      <c r="G2227" s="3">
        <v>525000</v>
      </c>
      <c r="H2227" s="8">
        <v>10</v>
      </c>
      <c r="I2227" s="3">
        <v>0</v>
      </c>
      <c r="J2227" s="3">
        <v>0</v>
      </c>
    </row>
    <row r="2228" spans="1:10" x14ac:dyDescent="0.25">
      <c r="A2228" s="2">
        <v>2255</v>
      </c>
      <c r="B2228" s="18">
        <v>45384.708287037036</v>
      </c>
      <c r="C2228" s="2" t="s">
        <v>343</v>
      </c>
      <c r="D2228" s="2" t="s">
        <v>286</v>
      </c>
      <c r="E2228" s="2" t="s">
        <v>369</v>
      </c>
      <c r="F2228" s="2" t="s">
        <v>19</v>
      </c>
      <c r="G2228" s="3">
        <v>590000</v>
      </c>
      <c r="H2228" s="8">
        <v>10</v>
      </c>
      <c r="I2228" s="3">
        <v>3540000</v>
      </c>
      <c r="J2228" s="3">
        <v>3540000</v>
      </c>
    </row>
    <row r="2229" spans="1:10" x14ac:dyDescent="0.25">
      <c r="A2229" s="2">
        <v>2256</v>
      </c>
      <c r="B2229" s="18">
        <v>45384.708287037036</v>
      </c>
      <c r="C2229" s="2" t="s">
        <v>343</v>
      </c>
      <c r="D2229" s="2" t="s">
        <v>286</v>
      </c>
      <c r="E2229" s="2" t="s">
        <v>369</v>
      </c>
      <c r="F2229" s="2" t="s">
        <v>37</v>
      </c>
      <c r="G2229" s="3">
        <v>525000</v>
      </c>
      <c r="H2229" s="8">
        <v>5</v>
      </c>
      <c r="I2229" s="3">
        <v>0</v>
      </c>
      <c r="J2229" s="3">
        <v>0</v>
      </c>
    </row>
    <row r="2230" spans="1:10" x14ac:dyDescent="0.25">
      <c r="A2230" s="2">
        <v>2257</v>
      </c>
      <c r="B2230" s="18">
        <v>45384.708287037036</v>
      </c>
      <c r="C2230" s="2" t="s">
        <v>343</v>
      </c>
      <c r="D2230" s="2" t="s">
        <v>286</v>
      </c>
      <c r="E2230" s="2" t="s">
        <v>369</v>
      </c>
      <c r="F2230" s="2" t="s">
        <v>89</v>
      </c>
      <c r="G2230" s="3">
        <v>390000</v>
      </c>
      <c r="H2230" s="8">
        <v>10</v>
      </c>
      <c r="I2230" s="3">
        <v>0</v>
      </c>
      <c r="J2230" s="3">
        <v>0</v>
      </c>
    </row>
    <row r="2231" spans="1:10" x14ac:dyDescent="0.25">
      <c r="A2231" s="2">
        <v>2258</v>
      </c>
      <c r="B2231" s="18">
        <v>45384.708287037036</v>
      </c>
      <c r="C2231" s="2" t="s">
        <v>343</v>
      </c>
      <c r="D2231" s="2" t="s">
        <v>286</v>
      </c>
      <c r="E2231" s="2" t="s">
        <v>369</v>
      </c>
      <c r="F2231" s="2" t="s">
        <v>29</v>
      </c>
      <c r="G2231" s="3">
        <v>590000</v>
      </c>
      <c r="H2231" s="8">
        <v>5</v>
      </c>
      <c r="I2231" s="3">
        <v>1770000</v>
      </c>
      <c r="J2231" s="3">
        <v>1770000</v>
      </c>
    </row>
    <row r="2232" spans="1:10" x14ac:dyDescent="0.25">
      <c r="A2232" s="2">
        <v>2259</v>
      </c>
      <c r="B2232" s="18">
        <v>45384.708287037036</v>
      </c>
      <c r="C2232" s="2" t="s">
        <v>343</v>
      </c>
      <c r="D2232" s="2" t="s">
        <v>20</v>
      </c>
      <c r="E2232" s="2" t="s">
        <v>370</v>
      </c>
      <c r="F2232" s="2" t="s">
        <v>31</v>
      </c>
      <c r="G2232" s="3">
        <v>745000</v>
      </c>
      <c r="H2232" s="8">
        <v>1</v>
      </c>
      <c r="I2232" s="3">
        <v>0</v>
      </c>
      <c r="J2232" s="3">
        <v>0</v>
      </c>
    </row>
    <row r="2233" spans="1:10" x14ac:dyDescent="0.25">
      <c r="A2233" s="2">
        <v>2260</v>
      </c>
      <c r="B2233" s="18">
        <v>45384.708287037036</v>
      </c>
      <c r="C2233" s="2" t="s">
        <v>343</v>
      </c>
      <c r="D2233" s="2" t="s">
        <v>20</v>
      </c>
      <c r="E2233" s="2" t="s">
        <v>370</v>
      </c>
      <c r="F2233" s="2" t="s">
        <v>81</v>
      </c>
      <c r="G2233" s="3">
        <v>790000</v>
      </c>
      <c r="H2233" s="8">
        <v>1</v>
      </c>
      <c r="I2233" s="3">
        <v>0</v>
      </c>
      <c r="J2233" s="3">
        <v>0</v>
      </c>
    </row>
    <row r="2234" spans="1:10" x14ac:dyDescent="0.25">
      <c r="A2234" s="2">
        <v>2261</v>
      </c>
      <c r="B2234" s="18">
        <v>45386.708287037036</v>
      </c>
      <c r="C2234" s="2" t="s">
        <v>343</v>
      </c>
      <c r="D2234" s="2" t="s">
        <v>248</v>
      </c>
      <c r="E2234" s="2" t="s">
        <v>363</v>
      </c>
      <c r="F2234" s="2" t="s">
        <v>89</v>
      </c>
      <c r="G2234" s="3">
        <v>390000</v>
      </c>
      <c r="H2234" s="8">
        <v>22</v>
      </c>
      <c r="I2234" s="3">
        <v>0</v>
      </c>
      <c r="J2234" s="3">
        <v>0</v>
      </c>
    </row>
    <row r="2235" spans="1:10" x14ac:dyDescent="0.25">
      <c r="A2235" s="2">
        <v>2262</v>
      </c>
      <c r="B2235" s="18">
        <v>45386.708287037036</v>
      </c>
      <c r="C2235" s="2" t="s">
        <v>343</v>
      </c>
      <c r="D2235" s="2" t="s">
        <v>248</v>
      </c>
      <c r="E2235" s="2" t="s">
        <v>363</v>
      </c>
      <c r="F2235" s="2" t="s">
        <v>31</v>
      </c>
      <c r="G2235" s="3">
        <v>745000</v>
      </c>
      <c r="H2235" s="8">
        <v>1</v>
      </c>
      <c r="I2235" s="3">
        <v>0</v>
      </c>
      <c r="J2235" s="3">
        <v>0</v>
      </c>
    </row>
    <row r="2236" spans="1:10" x14ac:dyDescent="0.25">
      <c r="A2236" s="2">
        <v>2263</v>
      </c>
      <c r="B2236" s="18">
        <v>45386.708287037036</v>
      </c>
      <c r="C2236" s="2" t="s">
        <v>343</v>
      </c>
      <c r="D2236" s="2" t="s">
        <v>129</v>
      </c>
      <c r="E2236" s="2" t="s">
        <v>367</v>
      </c>
      <c r="F2236" s="2" t="s">
        <v>61</v>
      </c>
      <c r="G2236" s="3">
        <v>890000</v>
      </c>
      <c r="H2236" s="8">
        <v>3</v>
      </c>
      <c r="I2236" s="3">
        <v>2670000</v>
      </c>
      <c r="J2236" s="3">
        <v>2670000</v>
      </c>
    </row>
    <row r="2237" spans="1:10" x14ac:dyDescent="0.25">
      <c r="A2237" s="2">
        <v>2264</v>
      </c>
      <c r="B2237" s="18">
        <v>45386.708287037036</v>
      </c>
      <c r="C2237" s="2" t="s">
        <v>343</v>
      </c>
      <c r="D2237" s="2" t="s">
        <v>24</v>
      </c>
      <c r="E2237" s="2" t="s">
        <v>367</v>
      </c>
      <c r="F2237" s="2" t="s">
        <v>37</v>
      </c>
      <c r="G2237" s="3">
        <v>525000</v>
      </c>
      <c r="H2237" s="8">
        <v>200</v>
      </c>
      <c r="I2237" s="3">
        <v>16000004.999999993</v>
      </c>
      <c r="J2237" s="3">
        <v>16000004.999999993</v>
      </c>
    </row>
    <row r="2238" spans="1:10" x14ac:dyDescent="0.25">
      <c r="A2238" s="2">
        <v>2265</v>
      </c>
      <c r="B2238" s="18">
        <v>45389.708287037036</v>
      </c>
      <c r="C2238" s="2" t="s">
        <v>343</v>
      </c>
      <c r="D2238" s="2" t="s">
        <v>269</v>
      </c>
      <c r="E2238" s="2" t="s">
        <v>369</v>
      </c>
      <c r="F2238" s="2" t="s">
        <v>61</v>
      </c>
      <c r="G2238" s="3">
        <v>890000</v>
      </c>
      <c r="H2238" s="8">
        <v>5</v>
      </c>
      <c r="I2238" s="3">
        <v>2670000</v>
      </c>
      <c r="J2238" s="3">
        <v>2670000</v>
      </c>
    </row>
    <row r="2239" spans="1:10" x14ac:dyDescent="0.25">
      <c r="A2239" s="2">
        <v>2266</v>
      </c>
      <c r="B2239" s="18">
        <v>45389.708287037036</v>
      </c>
      <c r="C2239" s="2" t="s">
        <v>343</v>
      </c>
      <c r="D2239" s="2" t="s">
        <v>269</v>
      </c>
      <c r="E2239" s="2" t="s">
        <v>369</v>
      </c>
      <c r="F2239" s="2" t="s">
        <v>19</v>
      </c>
      <c r="G2239" s="3">
        <v>590000</v>
      </c>
      <c r="H2239" s="8">
        <v>5</v>
      </c>
      <c r="I2239" s="3">
        <v>1770000</v>
      </c>
      <c r="J2239" s="3">
        <v>1770000</v>
      </c>
    </row>
    <row r="2240" spans="1:10" x14ac:dyDescent="0.25">
      <c r="A2240" s="2">
        <v>2267</v>
      </c>
      <c r="B2240" s="18">
        <v>45391.708287037036</v>
      </c>
      <c r="C2240" s="2" t="s">
        <v>343</v>
      </c>
      <c r="D2240" s="2" t="s">
        <v>311</v>
      </c>
      <c r="E2240" s="2" t="s">
        <v>369</v>
      </c>
      <c r="F2240" s="2" t="s">
        <v>27</v>
      </c>
      <c r="G2240" s="3">
        <v>935000</v>
      </c>
      <c r="H2240" s="8">
        <v>10</v>
      </c>
      <c r="I2240" s="3">
        <v>6545000</v>
      </c>
      <c r="J2240" s="3">
        <v>6545000</v>
      </c>
    </row>
    <row r="2241" spans="1:10" x14ac:dyDescent="0.25">
      <c r="A2241" s="2">
        <v>2268</v>
      </c>
      <c r="B2241" s="18">
        <v>45391.708287037036</v>
      </c>
      <c r="C2241" s="2" t="s">
        <v>343</v>
      </c>
      <c r="D2241" s="2" t="s">
        <v>311</v>
      </c>
      <c r="E2241" s="2" t="s">
        <v>369</v>
      </c>
      <c r="F2241" s="2" t="s">
        <v>89</v>
      </c>
      <c r="G2241" s="3">
        <v>390000</v>
      </c>
      <c r="H2241" s="8">
        <v>10</v>
      </c>
      <c r="I2241" s="3">
        <v>0</v>
      </c>
      <c r="J2241" s="3">
        <v>0</v>
      </c>
    </row>
    <row r="2242" spans="1:10" x14ac:dyDescent="0.25">
      <c r="A2242" s="2">
        <v>2269</v>
      </c>
      <c r="B2242" s="18">
        <v>45391.708287037036</v>
      </c>
      <c r="C2242" s="2" t="s">
        <v>343</v>
      </c>
      <c r="D2242" s="2" t="s">
        <v>271</v>
      </c>
      <c r="E2242" s="2" t="s">
        <v>369</v>
      </c>
      <c r="F2242" s="2" t="s">
        <v>89</v>
      </c>
      <c r="G2242" s="3">
        <v>390000</v>
      </c>
      <c r="H2242" s="8">
        <v>1</v>
      </c>
      <c r="I2242" s="3">
        <v>0</v>
      </c>
      <c r="J2242" s="3">
        <v>0</v>
      </c>
    </row>
    <row r="2243" spans="1:10" x14ac:dyDescent="0.25">
      <c r="A2243" s="2">
        <v>2270</v>
      </c>
      <c r="B2243" s="18">
        <v>45391.708287037036</v>
      </c>
      <c r="C2243" s="2" t="s">
        <v>343</v>
      </c>
      <c r="D2243" s="2" t="s">
        <v>271</v>
      </c>
      <c r="E2243" s="2" t="s">
        <v>369</v>
      </c>
      <c r="F2243" s="2" t="s">
        <v>45</v>
      </c>
      <c r="G2243" s="3">
        <v>200000</v>
      </c>
      <c r="H2243" s="8">
        <v>1</v>
      </c>
      <c r="I2243" s="3">
        <v>0</v>
      </c>
      <c r="J2243" s="3">
        <v>0</v>
      </c>
    </row>
    <row r="2244" spans="1:10" x14ac:dyDescent="0.25">
      <c r="A2244" s="2">
        <v>2271</v>
      </c>
      <c r="B2244" s="18">
        <v>45391.708287037036</v>
      </c>
      <c r="C2244" s="2" t="s">
        <v>343</v>
      </c>
      <c r="D2244" s="2" t="s">
        <v>271</v>
      </c>
      <c r="E2244" s="2" t="s">
        <v>369</v>
      </c>
      <c r="F2244" s="2" t="s">
        <v>57</v>
      </c>
      <c r="G2244" s="3">
        <v>745000</v>
      </c>
      <c r="H2244" s="8">
        <v>1</v>
      </c>
      <c r="I2244" s="3">
        <v>0</v>
      </c>
      <c r="J2244" s="3">
        <v>0</v>
      </c>
    </row>
    <row r="2245" spans="1:10" x14ac:dyDescent="0.25">
      <c r="A2245" s="2">
        <v>2272</v>
      </c>
      <c r="B2245" s="18">
        <v>45392.708287037036</v>
      </c>
      <c r="C2245" s="2" t="s">
        <v>343</v>
      </c>
      <c r="D2245" s="2" t="s">
        <v>36</v>
      </c>
      <c r="E2245" s="2" t="s">
        <v>363</v>
      </c>
      <c r="F2245" s="2" t="s">
        <v>19</v>
      </c>
      <c r="G2245" s="3">
        <v>590000</v>
      </c>
      <c r="H2245" s="8">
        <v>1</v>
      </c>
      <c r="I2245" s="3">
        <v>413000</v>
      </c>
      <c r="J2245" s="3">
        <v>413000</v>
      </c>
    </row>
    <row r="2246" spans="1:10" x14ac:dyDescent="0.25">
      <c r="A2246" s="2">
        <v>2273</v>
      </c>
      <c r="B2246" s="18">
        <v>45392.708287037036</v>
      </c>
      <c r="C2246" s="2" t="s">
        <v>343</v>
      </c>
      <c r="D2246" s="2" t="s">
        <v>36</v>
      </c>
      <c r="E2246" s="2" t="s">
        <v>363</v>
      </c>
      <c r="F2246" s="2" t="s">
        <v>37</v>
      </c>
      <c r="G2246" s="3">
        <v>525000</v>
      </c>
      <c r="H2246" s="8">
        <v>2</v>
      </c>
      <c r="I2246" s="3">
        <v>0</v>
      </c>
      <c r="J2246" s="3">
        <v>0</v>
      </c>
    </row>
    <row r="2247" spans="1:10" x14ac:dyDescent="0.25">
      <c r="A2247" s="2">
        <v>2274</v>
      </c>
      <c r="B2247" s="18">
        <v>45392.708287037036</v>
      </c>
      <c r="C2247" s="2" t="s">
        <v>343</v>
      </c>
      <c r="D2247" s="2" t="s">
        <v>36</v>
      </c>
      <c r="E2247" s="2" t="s">
        <v>363</v>
      </c>
      <c r="F2247" s="2" t="s">
        <v>29</v>
      </c>
      <c r="G2247" s="3">
        <v>590000</v>
      </c>
      <c r="H2247" s="8">
        <v>1</v>
      </c>
      <c r="I2247" s="3">
        <v>413000</v>
      </c>
      <c r="J2247" s="3">
        <v>413000</v>
      </c>
    </row>
    <row r="2248" spans="1:10" x14ac:dyDescent="0.25">
      <c r="A2248" s="2">
        <v>2275</v>
      </c>
      <c r="B2248" s="18">
        <v>45392.708287037036</v>
      </c>
      <c r="C2248" s="2" t="s">
        <v>343</v>
      </c>
      <c r="D2248" s="2" t="s">
        <v>10</v>
      </c>
      <c r="E2248" s="2" t="s">
        <v>363</v>
      </c>
      <c r="F2248" s="2" t="s">
        <v>19</v>
      </c>
      <c r="G2248" s="3">
        <v>590000</v>
      </c>
      <c r="H2248" s="8">
        <v>90</v>
      </c>
      <c r="I2248" s="3">
        <v>34515000</v>
      </c>
      <c r="J2248" s="3">
        <v>34515000</v>
      </c>
    </row>
    <row r="2249" spans="1:10" x14ac:dyDescent="0.25">
      <c r="A2249" s="2">
        <v>2276</v>
      </c>
      <c r="B2249" s="18">
        <v>45392.708287037036</v>
      </c>
      <c r="C2249" s="2" t="s">
        <v>343</v>
      </c>
      <c r="D2249" s="2" t="s">
        <v>10</v>
      </c>
      <c r="E2249" s="2" t="s">
        <v>363</v>
      </c>
      <c r="F2249" s="2" t="s">
        <v>89</v>
      </c>
      <c r="G2249" s="3">
        <v>390000</v>
      </c>
      <c r="H2249" s="8">
        <v>45</v>
      </c>
      <c r="I2249" s="3">
        <v>0</v>
      </c>
      <c r="J2249" s="3">
        <v>0</v>
      </c>
    </row>
    <row r="2250" spans="1:10" x14ac:dyDescent="0.25">
      <c r="A2250" s="2">
        <v>2277</v>
      </c>
      <c r="B2250" s="18">
        <v>45392.708287037036</v>
      </c>
      <c r="C2250" s="2" t="s">
        <v>343</v>
      </c>
      <c r="D2250" s="2" t="s">
        <v>10</v>
      </c>
      <c r="E2250" s="2" t="s">
        <v>363</v>
      </c>
      <c r="F2250" s="2" t="s">
        <v>37</v>
      </c>
      <c r="G2250" s="3">
        <v>525000</v>
      </c>
      <c r="H2250" s="8">
        <v>45</v>
      </c>
      <c r="I2250" s="3">
        <v>0</v>
      </c>
      <c r="J2250" s="3">
        <v>0</v>
      </c>
    </row>
    <row r="2251" spans="1:10" x14ac:dyDescent="0.25">
      <c r="A2251" s="2">
        <v>2278</v>
      </c>
      <c r="B2251" s="18">
        <v>45393.708287037036</v>
      </c>
      <c r="C2251" s="2" t="s">
        <v>343</v>
      </c>
      <c r="D2251" s="2" t="s">
        <v>229</v>
      </c>
      <c r="E2251" s="2" t="s">
        <v>367</v>
      </c>
      <c r="F2251" s="2" t="s">
        <v>81</v>
      </c>
      <c r="G2251" s="3">
        <v>790000</v>
      </c>
      <c r="H2251" s="8">
        <v>1</v>
      </c>
      <c r="I2251" s="3">
        <v>553000</v>
      </c>
      <c r="J2251" s="3">
        <v>553000</v>
      </c>
    </row>
    <row r="2252" spans="1:10" x14ac:dyDescent="0.25">
      <c r="A2252" s="2">
        <v>2279</v>
      </c>
      <c r="B2252" s="18">
        <v>45393.708287037036</v>
      </c>
      <c r="C2252" s="2" t="s">
        <v>343</v>
      </c>
      <c r="D2252" s="2" t="s">
        <v>20</v>
      </c>
      <c r="E2252" s="2" t="s">
        <v>370</v>
      </c>
      <c r="F2252" s="2" t="s">
        <v>19</v>
      </c>
      <c r="G2252" s="3">
        <v>590000</v>
      </c>
      <c r="H2252" s="8">
        <v>2</v>
      </c>
      <c r="I2252" s="3">
        <v>772363.1</v>
      </c>
      <c r="J2252" s="3">
        <v>849599.4099999999</v>
      </c>
    </row>
    <row r="2253" spans="1:10" x14ac:dyDescent="0.25">
      <c r="A2253" s="2">
        <v>2280</v>
      </c>
      <c r="B2253" s="18">
        <v>45393.708287037036</v>
      </c>
      <c r="C2253" s="2" t="s">
        <v>343</v>
      </c>
      <c r="D2253" s="2" t="s">
        <v>20</v>
      </c>
      <c r="E2253" s="2" t="s">
        <v>370</v>
      </c>
      <c r="F2253" s="2" t="s">
        <v>61</v>
      </c>
      <c r="G2253" s="3">
        <v>890000</v>
      </c>
      <c r="H2253" s="8">
        <v>2</v>
      </c>
      <c r="I2253" s="3">
        <v>1165090.1</v>
      </c>
      <c r="J2253" s="3">
        <v>1281599.11</v>
      </c>
    </row>
    <row r="2254" spans="1:10" x14ac:dyDescent="0.25">
      <c r="A2254" s="2">
        <v>2281</v>
      </c>
      <c r="B2254" s="18">
        <v>45393.708287037036</v>
      </c>
      <c r="C2254" s="2" t="s">
        <v>343</v>
      </c>
      <c r="D2254" s="2" t="s">
        <v>20</v>
      </c>
      <c r="E2254" s="2" t="s">
        <v>370</v>
      </c>
      <c r="F2254" s="2" t="s">
        <v>81</v>
      </c>
      <c r="G2254" s="3">
        <v>790000</v>
      </c>
      <c r="H2254" s="8">
        <v>2</v>
      </c>
      <c r="I2254" s="3">
        <v>1034181.1</v>
      </c>
      <c r="J2254" s="3">
        <v>1137599.21</v>
      </c>
    </row>
    <row r="2255" spans="1:10" x14ac:dyDescent="0.25">
      <c r="A2255" s="2">
        <v>2282</v>
      </c>
      <c r="B2255" s="18">
        <v>45393.708287037036</v>
      </c>
      <c r="C2255" s="2" t="s">
        <v>343</v>
      </c>
      <c r="D2255" s="2" t="s">
        <v>20</v>
      </c>
      <c r="E2255" s="2" t="s">
        <v>370</v>
      </c>
      <c r="F2255" s="2" t="s">
        <v>35</v>
      </c>
      <c r="G2255" s="3">
        <v>525000</v>
      </c>
      <c r="H2255" s="8">
        <v>2</v>
      </c>
      <c r="I2255" s="3">
        <v>687272.25</v>
      </c>
      <c r="J2255" s="3">
        <v>755999.475</v>
      </c>
    </row>
    <row r="2256" spans="1:10" x14ac:dyDescent="0.25">
      <c r="A2256" s="2">
        <v>2283</v>
      </c>
      <c r="B2256" s="18">
        <v>45396.708287037036</v>
      </c>
      <c r="C2256" s="2" t="s">
        <v>343</v>
      </c>
      <c r="D2256" s="2" t="s">
        <v>122</v>
      </c>
      <c r="E2256" s="2" t="s">
        <v>370</v>
      </c>
      <c r="F2256" s="2" t="s">
        <v>89</v>
      </c>
      <c r="G2256" s="3">
        <v>390000</v>
      </c>
      <c r="H2256" s="8">
        <v>10</v>
      </c>
      <c r="I2256" s="3">
        <v>0</v>
      </c>
      <c r="J2256" s="3">
        <v>0</v>
      </c>
    </row>
    <row r="2257" spans="1:10" x14ac:dyDescent="0.25">
      <c r="A2257" s="2">
        <v>2284</v>
      </c>
      <c r="B2257" s="18">
        <v>45400.708287037036</v>
      </c>
      <c r="C2257" s="2" t="s">
        <v>343</v>
      </c>
      <c r="D2257" s="2" t="s">
        <v>313</v>
      </c>
      <c r="E2257" s="2" t="s">
        <v>369</v>
      </c>
      <c r="F2257" s="2" t="s">
        <v>19</v>
      </c>
      <c r="G2257" s="3">
        <v>590000</v>
      </c>
      <c r="H2257" s="8">
        <v>4</v>
      </c>
      <c r="I2257" s="3">
        <v>1652000</v>
      </c>
      <c r="J2257" s="3">
        <v>1652000</v>
      </c>
    </row>
    <row r="2258" spans="1:10" x14ac:dyDescent="0.25">
      <c r="A2258" s="2">
        <v>2285</v>
      </c>
      <c r="B2258" s="18">
        <v>45400.708287037036</v>
      </c>
      <c r="C2258" s="2" t="s">
        <v>343</v>
      </c>
      <c r="D2258" s="2" t="s">
        <v>313</v>
      </c>
      <c r="E2258" s="2" t="s">
        <v>369</v>
      </c>
      <c r="F2258" s="2" t="s">
        <v>37</v>
      </c>
      <c r="G2258" s="3">
        <v>525000</v>
      </c>
      <c r="H2258" s="8">
        <v>4</v>
      </c>
      <c r="I2258" s="3">
        <v>0</v>
      </c>
      <c r="J2258" s="3">
        <v>0</v>
      </c>
    </row>
    <row r="2259" spans="1:10" x14ac:dyDescent="0.25">
      <c r="A2259" s="2">
        <v>2286</v>
      </c>
      <c r="B2259" s="18">
        <v>45400.708287037036</v>
      </c>
      <c r="C2259" s="2" t="s">
        <v>343</v>
      </c>
      <c r="D2259" s="2" t="s">
        <v>72</v>
      </c>
      <c r="E2259" s="2" t="s">
        <v>364</v>
      </c>
      <c r="F2259" s="2" t="s">
        <v>23</v>
      </c>
      <c r="G2259" s="3">
        <v>775000</v>
      </c>
      <c r="H2259" s="8">
        <v>15</v>
      </c>
      <c r="I2259" s="3">
        <v>5400010.125</v>
      </c>
      <c r="J2259" s="3">
        <v>5400010.125</v>
      </c>
    </row>
    <row r="2260" spans="1:10" x14ac:dyDescent="0.25">
      <c r="A2260" s="2">
        <v>2287</v>
      </c>
      <c r="B2260" s="18">
        <v>45403.708287037036</v>
      </c>
      <c r="C2260" s="2" t="s">
        <v>343</v>
      </c>
      <c r="D2260" s="2" t="s">
        <v>273</v>
      </c>
      <c r="E2260" s="2" t="s">
        <v>369</v>
      </c>
      <c r="F2260" s="2" t="s">
        <v>19</v>
      </c>
      <c r="G2260" s="3">
        <v>590000</v>
      </c>
      <c r="H2260" s="8">
        <v>5</v>
      </c>
      <c r="I2260" s="3">
        <v>2065000</v>
      </c>
      <c r="J2260" s="3">
        <v>2065000</v>
      </c>
    </row>
    <row r="2261" spans="1:10" x14ac:dyDescent="0.25">
      <c r="A2261" s="2">
        <v>2288</v>
      </c>
      <c r="B2261" s="18">
        <v>45403.708287037036</v>
      </c>
      <c r="C2261" s="2" t="s">
        <v>343</v>
      </c>
      <c r="D2261" s="2" t="s">
        <v>273</v>
      </c>
      <c r="E2261" s="2" t="s">
        <v>369</v>
      </c>
      <c r="F2261" s="2" t="s">
        <v>27</v>
      </c>
      <c r="G2261" s="3">
        <v>935000</v>
      </c>
      <c r="H2261" s="8">
        <v>5</v>
      </c>
      <c r="I2261" s="3">
        <v>3272500</v>
      </c>
      <c r="J2261" s="3">
        <v>3272500</v>
      </c>
    </row>
    <row r="2262" spans="1:10" x14ac:dyDescent="0.25">
      <c r="A2262" s="2">
        <v>2289</v>
      </c>
      <c r="B2262" s="18">
        <v>45403.708287037036</v>
      </c>
      <c r="C2262" s="2" t="s">
        <v>343</v>
      </c>
      <c r="D2262" s="2" t="s">
        <v>273</v>
      </c>
      <c r="E2262" s="2" t="s">
        <v>369</v>
      </c>
      <c r="F2262" s="2" t="s">
        <v>31</v>
      </c>
      <c r="G2262" s="3">
        <v>745000</v>
      </c>
      <c r="H2262" s="8">
        <v>5</v>
      </c>
      <c r="I2262" s="3">
        <v>2607500</v>
      </c>
      <c r="J2262" s="3">
        <v>2607500</v>
      </c>
    </row>
    <row r="2263" spans="1:10" x14ac:dyDescent="0.25">
      <c r="A2263" s="2">
        <v>2290</v>
      </c>
      <c r="B2263" s="18">
        <v>45403.708287037036</v>
      </c>
      <c r="C2263" s="2" t="s">
        <v>343</v>
      </c>
      <c r="D2263" s="2" t="s">
        <v>273</v>
      </c>
      <c r="E2263" s="2" t="s">
        <v>369</v>
      </c>
      <c r="F2263" s="2" t="s">
        <v>57</v>
      </c>
      <c r="G2263" s="3">
        <v>745000</v>
      </c>
      <c r="H2263" s="8">
        <v>5</v>
      </c>
      <c r="I2263" s="3">
        <v>2607500</v>
      </c>
      <c r="J2263" s="3">
        <v>2607500</v>
      </c>
    </row>
    <row r="2264" spans="1:10" x14ac:dyDescent="0.25">
      <c r="A2264" s="2">
        <v>2291</v>
      </c>
      <c r="B2264" s="18">
        <v>45403.708287037036</v>
      </c>
      <c r="C2264" s="2" t="s">
        <v>343</v>
      </c>
      <c r="D2264" s="2" t="s">
        <v>273</v>
      </c>
      <c r="E2264" s="2" t="s">
        <v>369</v>
      </c>
      <c r="F2264" s="2" t="s">
        <v>89</v>
      </c>
      <c r="G2264" s="3">
        <v>390000</v>
      </c>
      <c r="H2264" s="8">
        <v>10</v>
      </c>
      <c r="I2264" s="3">
        <v>0</v>
      </c>
      <c r="J2264" s="3">
        <v>0</v>
      </c>
    </row>
    <row r="2265" spans="1:10" x14ac:dyDescent="0.25">
      <c r="A2265" s="2">
        <v>2292</v>
      </c>
      <c r="B2265" s="18">
        <v>45403.708287037036</v>
      </c>
      <c r="C2265" s="2" t="s">
        <v>343</v>
      </c>
      <c r="D2265" s="2" t="s">
        <v>273</v>
      </c>
      <c r="E2265" s="2" t="s">
        <v>369</v>
      </c>
      <c r="F2265" s="2" t="s">
        <v>45</v>
      </c>
      <c r="G2265" s="3">
        <v>200000</v>
      </c>
      <c r="H2265" s="8">
        <v>10</v>
      </c>
      <c r="I2265" s="3">
        <v>0</v>
      </c>
      <c r="J2265" s="3">
        <v>0</v>
      </c>
    </row>
    <row r="2266" spans="1:10" x14ac:dyDescent="0.25">
      <c r="A2266" s="2">
        <v>2293</v>
      </c>
      <c r="B2266" s="18">
        <v>45403.708287037036</v>
      </c>
      <c r="C2266" s="2" t="s">
        <v>343</v>
      </c>
      <c r="D2266" s="2" t="s">
        <v>311</v>
      </c>
      <c r="E2266" s="2" t="s">
        <v>369</v>
      </c>
      <c r="F2266" s="2" t="s">
        <v>27</v>
      </c>
      <c r="G2266" s="3">
        <v>935000</v>
      </c>
      <c r="H2266" s="8">
        <v>20</v>
      </c>
      <c r="I2266" s="3">
        <v>11220000</v>
      </c>
      <c r="J2266" s="3">
        <v>11220000</v>
      </c>
    </row>
    <row r="2267" spans="1:10" x14ac:dyDescent="0.25">
      <c r="A2267" s="2">
        <v>2294</v>
      </c>
      <c r="B2267" s="18">
        <v>45403.708287037036</v>
      </c>
      <c r="C2267" s="2" t="s">
        <v>343</v>
      </c>
      <c r="D2267" s="2" t="s">
        <v>311</v>
      </c>
      <c r="E2267" s="2" t="s">
        <v>369</v>
      </c>
      <c r="F2267" s="2" t="s">
        <v>29</v>
      </c>
      <c r="G2267" s="3">
        <v>590000</v>
      </c>
      <c r="H2267" s="8">
        <v>5</v>
      </c>
      <c r="I2267" s="3">
        <v>1475000</v>
      </c>
      <c r="J2267" s="3">
        <v>1475000</v>
      </c>
    </row>
    <row r="2268" spans="1:10" x14ac:dyDescent="0.25">
      <c r="A2268" s="2">
        <v>2295</v>
      </c>
      <c r="B2268" s="18">
        <v>45403.708287037036</v>
      </c>
      <c r="C2268" s="2" t="s">
        <v>343</v>
      </c>
      <c r="D2268" s="2" t="s">
        <v>311</v>
      </c>
      <c r="E2268" s="2" t="s">
        <v>369</v>
      </c>
      <c r="F2268" s="2" t="s">
        <v>21</v>
      </c>
      <c r="G2268" s="3">
        <v>890000</v>
      </c>
      <c r="H2268" s="8">
        <v>5</v>
      </c>
      <c r="I2268" s="3">
        <v>2670000</v>
      </c>
      <c r="J2268" s="3">
        <v>2670000</v>
      </c>
    </row>
    <row r="2269" spans="1:10" x14ac:dyDescent="0.25">
      <c r="A2269" s="2">
        <v>2296</v>
      </c>
      <c r="B2269" s="18">
        <v>45403.708287037036</v>
      </c>
      <c r="C2269" s="2" t="s">
        <v>343</v>
      </c>
      <c r="D2269" s="2" t="s">
        <v>311</v>
      </c>
      <c r="E2269" s="2" t="s">
        <v>369</v>
      </c>
      <c r="F2269" s="2" t="s">
        <v>89</v>
      </c>
      <c r="G2269" s="3">
        <v>390000</v>
      </c>
      <c r="H2269" s="8">
        <v>25</v>
      </c>
      <c r="I2269" s="3">
        <v>0</v>
      </c>
      <c r="J2269" s="3">
        <v>0</v>
      </c>
    </row>
    <row r="2270" spans="1:10" x14ac:dyDescent="0.25">
      <c r="A2270" s="2">
        <v>2297</v>
      </c>
      <c r="B2270" s="18">
        <v>45403.708287037036</v>
      </c>
      <c r="C2270" s="2" t="s">
        <v>343</v>
      </c>
      <c r="D2270" s="2" t="s">
        <v>310</v>
      </c>
      <c r="E2270" s="2" t="s">
        <v>369</v>
      </c>
      <c r="F2270" s="2" t="s">
        <v>61</v>
      </c>
      <c r="G2270" s="3">
        <v>890000</v>
      </c>
      <c r="H2270" s="8">
        <v>5</v>
      </c>
      <c r="I2270" s="3">
        <v>2892500</v>
      </c>
      <c r="J2270" s="3">
        <v>2892500</v>
      </c>
    </row>
    <row r="2271" spans="1:10" x14ac:dyDescent="0.25">
      <c r="A2271" s="2">
        <v>2298</v>
      </c>
      <c r="B2271" s="18">
        <v>45403.708287037036</v>
      </c>
      <c r="C2271" s="2" t="s">
        <v>343</v>
      </c>
      <c r="D2271" s="2" t="s">
        <v>310</v>
      </c>
      <c r="E2271" s="2" t="s">
        <v>369</v>
      </c>
      <c r="F2271" s="2" t="s">
        <v>27</v>
      </c>
      <c r="G2271" s="3">
        <v>935000</v>
      </c>
      <c r="H2271" s="8">
        <v>5</v>
      </c>
      <c r="I2271" s="3">
        <v>2799997.75</v>
      </c>
      <c r="J2271" s="3">
        <v>2799997.75</v>
      </c>
    </row>
    <row r="2272" spans="1:10" x14ac:dyDescent="0.25">
      <c r="A2272" s="2">
        <v>2299</v>
      </c>
      <c r="B2272" s="18">
        <v>45403.708287037036</v>
      </c>
      <c r="C2272" s="2" t="s">
        <v>343</v>
      </c>
      <c r="D2272" s="2" t="s">
        <v>310</v>
      </c>
      <c r="E2272" s="2" t="s">
        <v>369</v>
      </c>
      <c r="F2272" s="2" t="s">
        <v>57</v>
      </c>
      <c r="G2272" s="3">
        <v>745000</v>
      </c>
      <c r="H2272" s="8">
        <v>5</v>
      </c>
      <c r="I2272" s="3">
        <v>2421250</v>
      </c>
      <c r="J2272" s="3">
        <v>2421250</v>
      </c>
    </row>
    <row r="2273" spans="1:10" x14ac:dyDescent="0.25">
      <c r="A2273" s="2">
        <v>2300</v>
      </c>
      <c r="B2273" s="18">
        <v>45403.708287037036</v>
      </c>
      <c r="C2273" s="2" t="s">
        <v>343</v>
      </c>
      <c r="D2273" s="2" t="s">
        <v>310</v>
      </c>
      <c r="E2273" s="2" t="s">
        <v>369</v>
      </c>
      <c r="F2273" s="2" t="s">
        <v>31</v>
      </c>
      <c r="G2273" s="3">
        <v>745000</v>
      </c>
      <c r="H2273" s="8">
        <v>5</v>
      </c>
      <c r="I2273" s="3">
        <v>2421250</v>
      </c>
      <c r="J2273" s="3">
        <v>2421250</v>
      </c>
    </row>
    <row r="2274" spans="1:10" x14ac:dyDescent="0.25">
      <c r="A2274" s="2">
        <v>2301</v>
      </c>
      <c r="B2274" s="18">
        <v>45403.708287037036</v>
      </c>
      <c r="C2274" s="2" t="s">
        <v>343</v>
      </c>
      <c r="D2274" s="2" t="s">
        <v>310</v>
      </c>
      <c r="E2274" s="2" t="s">
        <v>369</v>
      </c>
      <c r="F2274" s="2" t="s">
        <v>89</v>
      </c>
      <c r="G2274" s="3">
        <v>390000</v>
      </c>
      <c r="H2274" s="8">
        <v>10</v>
      </c>
      <c r="I2274" s="3">
        <v>0</v>
      </c>
      <c r="J2274" s="3">
        <v>0</v>
      </c>
    </row>
    <row r="2275" spans="1:10" x14ac:dyDescent="0.25">
      <c r="A2275" s="2">
        <v>2302</v>
      </c>
      <c r="B2275" s="18">
        <v>45403.708287037036</v>
      </c>
      <c r="C2275" s="2" t="s">
        <v>343</v>
      </c>
      <c r="D2275" s="2" t="s">
        <v>310</v>
      </c>
      <c r="E2275" s="2" t="s">
        <v>369</v>
      </c>
      <c r="F2275" s="2" t="s">
        <v>45</v>
      </c>
      <c r="G2275" s="3">
        <v>200000</v>
      </c>
      <c r="H2275" s="8">
        <v>10</v>
      </c>
      <c r="I2275" s="3">
        <v>0</v>
      </c>
      <c r="J2275" s="3">
        <v>0</v>
      </c>
    </row>
    <row r="2276" spans="1:10" x14ac:dyDescent="0.25">
      <c r="A2276" s="2">
        <v>2303</v>
      </c>
      <c r="B2276" s="18">
        <v>45403.708287037036</v>
      </c>
      <c r="C2276" s="2" t="s">
        <v>343</v>
      </c>
      <c r="D2276" s="2" t="s">
        <v>331</v>
      </c>
      <c r="E2276" s="2" t="s">
        <v>368</v>
      </c>
      <c r="F2276" s="2" t="s">
        <v>19</v>
      </c>
      <c r="G2276" s="3">
        <v>590000</v>
      </c>
      <c r="H2276" s="8">
        <v>50</v>
      </c>
      <c r="I2276" s="3">
        <v>17700000</v>
      </c>
      <c r="J2276" s="3">
        <v>17700000</v>
      </c>
    </row>
    <row r="2277" spans="1:10" x14ac:dyDescent="0.25">
      <c r="A2277" s="2">
        <v>2304</v>
      </c>
      <c r="B2277" s="18">
        <v>45403.708287037036</v>
      </c>
      <c r="C2277" s="2" t="s">
        <v>343</v>
      </c>
      <c r="D2277" s="2" t="s">
        <v>331</v>
      </c>
      <c r="E2277" s="2" t="s">
        <v>368</v>
      </c>
      <c r="F2277" s="2" t="s">
        <v>35</v>
      </c>
      <c r="G2277" s="3">
        <v>525000</v>
      </c>
      <c r="H2277" s="8">
        <v>50</v>
      </c>
      <c r="I2277" s="3">
        <v>0</v>
      </c>
      <c r="J2277" s="3">
        <v>0</v>
      </c>
    </row>
    <row r="2278" spans="1:10" x14ac:dyDescent="0.25">
      <c r="A2278" s="2">
        <v>2305</v>
      </c>
      <c r="B2278" s="18">
        <v>45403.708287037036</v>
      </c>
      <c r="C2278" s="2" t="s">
        <v>343</v>
      </c>
      <c r="D2278" s="2" t="s">
        <v>278</v>
      </c>
      <c r="E2278" s="2" t="s">
        <v>369</v>
      </c>
      <c r="F2278" s="2" t="s">
        <v>29</v>
      </c>
      <c r="G2278" s="3">
        <v>590000</v>
      </c>
      <c r="H2278" s="8">
        <v>9</v>
      </c>
      <c r="I2278" s="3">
        <v>5310000</v>
      </c>
      <c r="J2278" s="3">
        <v>3026700</v>
      </c>
    </row>
    <row r="2279" spans="1:10" x14ac:dyDescent="0.25">
      <c r="A2279" s="2">
        <v>2306</v>
      </c>
      <c r="B2279" s="18">
        <v>45403.708287037036</v>
      </c>
      <c r="C2279" s="2" t="s">
        <v>343</v>
      </c>
      <c r="D2279" s="2" t="s">
        <v>278</v>
      </c>
      <c r="E2279" s="2" t="s">
        <v>369</v>
      </c>
      <c r="F2279" s="2" t="s">
        <v>19</v>
      </c>
      <c r="G2279" s="3">
        <v>590000</v>
      </c>
      <c r="H2279" s="8">
        <v>9</v>
      </c>
      <c r="I2279" s="3">
        <v>5310000</v>
      </c>
      <c r="J2279" s="3">
        <v>3026700</v>
      </c>
    </row>
    <row r="2280" spans="1:10" x14ac:dyDescent="0.25">
      <c r="A2280" s="2">
        <v>2307</v>
      </c>
      <c r="B2280" s="18">
        <v>45403.708287037036</v>
      </c>
      <c r="C2280" s="2" t="s">
        <v>343</v>
      </c>
      <c r="D2280" s="2" t="s">
        <v>278</v>
      </c>
      <c r="E2280" s="2" t="s">
        <v>369</v>
      </c>
      <c r="F2280" s="2" t="s">
        <v>61</v>
      </c>
      <c r="G2280" s="3">
        <v>890000</v>
      </c>
      <c r="H2280" s="8">
        <v>9</v>
      </c>
      <c r="I2280" s="3">
        <v>8010000</v>
      </c>
      <c r="J2280" s="3">
        <v>4565700</v>
      </c>
    </row>
    <row r="2281" spans="1:10" x14ac:dyDescent="0.25">
      <c r="A2281" s="2">
        <v>2308</v>
      </c>
      <c r="B2281" s="18">
        <v>45403.708287037036</v>
      </c>
      <c r="C2281" s="2" t="s">
        <v>343</v>
      </c>
      <c r="D2281" s="2" t="s">
        <v>278</v>
      </c>
      <c r="E2281" s="2" t="s">
        <v>369</v>
      </c>
      <c r="F2281" s="2" t="s">
        <v>81</v>
      </c>
      <c r="G2281" s="3">
        <v>790000</v>
      </c>
      <c r="H2281" s="8">
        <v>9</v>
      </c>
      <c r="I2281" s="3">
        <v>7110000</v>
      </c>
      <c r="J2281" s="3">
        <v>4052700</v>
      </c>
    </row>
    <row r="2282" spans="1:10" x14ac:dyDescent="0.25">
      <c r="A2282" s="2">
        <v>2309</v>
      </c>
      <c r="B2282" s="18">
        <v>45403.708287037036</v>
      </c>
      <c r="C2282" s="2" t="s">
        <v>343</v>
      </c>
      <c r="D2282" s="2" t="s">
        <v>278</v>
      </c>
      <c r="E2282" s="2" t="s">
        <v>369</v>
      </c>
      <c r="F2282" s="2" t="s">
        <v>37</v>
      </c>
      <c r="G2282" s="3">
        <v>525000</v>
      </c>
      <c r="H2282" s="8">
        <v>9</v>
      </c>
      <c r="I2282" s="3">
        <v>0</v>
      </c>
      <c r="J2282" s="3">
        <v>0</v>
      </c>
    </row>
    <row r="2283" spans="1:10" x14ac:dyDescent="0.25">
      <c r="A2283" s="2">
        <v>2310</v>
      </c>
      <c r="B2283" s="18">
        <v>45404.708287037036</v>
      </c>
      <c r="C2283" s="2" t="s">
        <v>343</v>
      </c>
      <c r="D2283" s="2" t="s">
        <v>113</v>
      </c>
      <c r="E2283" s="2" t="s">
        <v>370</v>
      </c>
      <c r="F2283" s="2" t="s">
        <v>61</v>
      </c>
      <c r="G2283" s="3">
        <v>890000</v>
      </c>
      <c r="H2283" s="8">
        <v>4</v>
      </c>
      <c r="I2283" s="3">
        <v>2330180.2</v>
      </c>
      <c r="J2283" s="3">
        <v>2563198.22</v>
      </c>
    </row>
    <row r="2284" spans="1:10" x14ac:dyDescent="0.25">
      <c r="A2284" s="2">
        <v>2311</v>
      </c>
      <c r="B2284" s="18">
        <v>45404.708287037036</v>
      </c>
      <c r="C2284" s="2" t="s">
        <v>343</v>
      </c>
      <c r="D2284" s="2" t="s">
        <v>113</v>
      </c>
      <c r="E2284" s="2" t="s">
        <v>370</v>
      </c>
      <c r="F2284" s="2" t="s">
        <v>81</v>
      </c>
      <c r="G2284" s="3">
        <v>790000</v>
      </c>
      <c r="H2284" s="8">
        <v>4</v>
      </c>
      <c r="I2284" s="3">
        <v>2068362.2</v>
      </c>
      <c r="J2284" s="3">
        <v>2275198.42</v>
      </c>
    </row>
    <row r="2285" spans="1:10" x14ac:dyDescent="0.25">
      <c r="A2285" s="2">
        <v>2312</v>
      </c>
      <c r="B2285" s="18">
        <v>45404.708287037036</v>
      </c>
      <c r="C2285" s="2" t="s">
        <v>343</v>
      </c>
      <c r="D2285" s="2" t="s">
        <v>113</v>
      </c>
      <c r="E2285" s="2" t="s">
        <v>370</v>
      </c>
      <c r="F2285" s="2" t="s">
        <v>35</v>
      </c>
      <c r="G2285" s="3">
        <v>525000</v>
      </c>
      <c r="H2285" s="8">
        <v>4</v>
      </c>
      <c r="I2285" s="3">
        <v>1374544.5</v>
      </c>
      <c r="J2285" s="3">
        <v>1511998.95</v>
      </c>
    </row>
    <row r="2286" spans="1:10" x14ac:dyDescent="0.25">
      <c r="A2286" s="2">
        <v>2313</v>
      </c>
      <c r="B2286" s="18">
        <v>45405.708287037036</v>
      </c>
      <c r="C2286" s="2" t="s">
        <v>343</v>
      </c>
      <c r="D2286" s="2" t="s">
        <v>300</v>
      </c>
      <c r="E2286" s="2" t="s">
        <v>364</v>
      </c>
      <c r="F2286" s="2" t="s">
        <v>19</v>
      </c>
      <c r="G2286" s="3">
        <v>590000</v>
      </c>
      <c r="H2286" s="8">
        <v>12</v>
      </c>
      <c r="I2286" s="3">
        <v>4106400</v>
      </c>
      <c r="J2286" s="3">
        <v>4106400</v>
      </c>
    </row>
    <row r="2287" spans="1:10" x14ac:dyDescent="0.25">
      <c r="A2287" s="2">
        <v>2314</v>
      </c>
      <c r="B2287" s="18">
        <v>45405.708287037036</v>
      </c>
      <c r="C2287" s="2" t="s">
        <v>343</v>
      </c>
      <c r="D2287" s="2" t="s">
        <v>300</v>
      </c>
      <c r="E2287" s="2" t="s">
        <v>364</v>
      </c>
      <c r="F2287" s="2" t="s">
        <v>21</v>
      </c>
      <c r="G2287" s="3">
        <v>890000</v>
      </c>
      <c r="H2287" s="8">
        <v>4</v>
      </c>
      <c r="I2287" s="3">
        <v>2064800</v>
      </c>
      <c r="J2287" s="3">
        <v>2064800</v>
      </c>
    </row>
    <row r="2288" spans="1:10" x14ac:dyDescent="0.25">
      <c r="A2288" s="2">
        <v>2315</v>
      </c>
      <c r="B2288" s="18">
        <v>45405.708287037036</v>
      </c>
      <c r="C2288" s="2" t="s">
        <v>343</v>
      </c>
      <c r="D2288" s="2" t="s">
        <v>300</v>
      </c>
      <c r="E2288" s="2" t="s">
        <v>364</v>
      </c>
      <c r="F2288" s="2" t="s">
        <v>27</v>
      </c>
      <c r="G2288" s="3">
        <v>935000</v>
      </c>
      <c r="H2288" s="8">
        <v>2</v>
      </c>
      <c r="I2288" s="3">
        <v>1084600</v>
      </c>
      <c r="J2288" s="3">
        <v>1084600</v>
      </c>
    </row>
    <row r="2289" spans="1:10" x14ac:dyDescent="0.25">
      <c r="A2289" s="2">
        <v>2316</v>
      </c>
      <c r="B2289" s="18">
        <v>45405.708287037036</v>
      </c>
      <c r="C2289" s="2" t="s">
        <v>343</v>
      </c>
      <c r="D2289" s="2" t="s">
        <v>300</v>
      </c>
      <c r="E2289" s="2" t="s">
        <v>364</v>
      </c>
      <c r="F2289" s="2" t="s">
        <v>35</v>
      </c>
      <c r="G2289" s="3">
        <v>525000</v>
      </c>
      <c r="H2289" s="8">
        <v>1</v>
      </c>
      <c r="I2289" s="3">
        <v>304500</v>
      </c>
      <c r="J2289" s="3">
        <v>304500</v>
      </c>
    </row>
    <row r="2290" spans="1:10" x14ac:dyDescent="0.25">
      <c r="A2290" s="2">
        <v>2317</v>
      </c>
      <c r="B2290" s="18">
        <v>45405.708287037036</v>
      </c>
      <c r="C2290" s="2" t="s">
        <v>343</v>
      </c>
      <c r="D2290" s="2" t="s">
        <v>300</v>
      </c>
      <c r="E2290" s="2" t="s">
        <v>364</v>
      </c>
      <c r="F2290" s="2" t="s">
        <v>31</v>
      </c>
      <c r="G2290" s="3">
        <v>745000</v>
      </c>
      <c r="H2290" s="8">
        <v>5</v>
      </c>
      <c r="I2290" s="3">
        <v>2160500</v>
      </c>
      <c r="J2290" s="3">
        <v>2160500</v>
      </c>
    </row>
    <row r="2291" spans="1:10" x14ac:dyDescent="0.25">
      <c r="A2291" s="2">
        <v>2318</v>
      </c>
      <c r="B2291" s="18">
        <v>45405.708287037036</v>
      </c>
      <c r="C2291" s="2" t="s">
        <v>343</v>
      </c>
      <c r="D2291" s="2" t="s">
        <v>300</v>
      </c>
      <c r="E2291" s="2" t="s">
        <v>364</v>
      </c>
      <c r="F2291" s="2" t="s">
        <v>81</v>
      </c>
      <c r="G2291" s="3">
        <v>790000</v>
      </c>
      <c r="H2291" s="8">
        <v>2</v>
      </c>
      <c r="I2291" s="3">
        <v>916400</v>
      </c>
      <c r="J2291" s="3">
        <v>916400</v>
      </c>
    </row>
    <row r="2292" spans="1:10" x14ac:dyDescent="0.25">
      <c r="A2292" s="2">
        <v>2319</v>
      </c>
      <c r="B2292" s="18">
        <v>45405.708287037036</v>
      </c>
      <c r="C2292" s="2" t="s">
        <v>343</v>
      </c>
      <c r="D2292" s="2" t="s">
        <v>300</v>
      </c>
      <c r="E2292" s="2" t="s">
        <v>364</v>
      </c>
      <c r="F2292" s="2" t="s">
        <v>61</v>
      </c>
      <c r="G2292" s="3">
        <v>890000</v>
      </c>
      <c r="H2292" s="8">
        <v>1</v>
      </c>
      <c r="I2292" s="3">
        <v>516200</v>
      </c>
      <c r="J2292" s="3">
        <v>516200</v>
      </c>
    </row>
    <row r="2293" spans="1:10" x14ac:dyDescent="0.25">
      <c r="A2293" s="2">
        <v>2320</v>
      </c>
      <c r="B2293" s="18">
        <v>45406.708287037036</v>
      </c>
      <c r="C2293" s="2" t="s">
        <v>343</v>
      </c>
      <c r="D2293" s="2" t="s">
        <v>291</v>
      </c>
      <c r="E2293" s="2" t="s">
        <v>369</v>
      </c>
      <c r="F2293" s="2" t="s">
        <v>19</v>
      </c>
      <c r="G2293" s="3">
        <v>590000</v>
      </c>
      <c r="H2293" s="8">
        <v>5</v>
      </c>
      <c r="I2293" s="3">
        <v>1917500</v>
      </c>
      <c r="J2293" s="3">
        <v>1917500</v>
      </c>
    </row>
    <row r="2294" spans="1:10" x14ac:dyDescent="0.25">
      <c r="A2294" s="2">
        <v>2321</v>
      </c>
      <c r="B2294" s="18">
        <v>45406.708287037036</v>
      </c>
      <c r="C2294" s="2" t="s">
        <v>343</v>
      </c>
      <c r="D2294" s="2" t="s">
        <v>291</v>
      </c>
      <c r="E2294" s="2" t="s">
        <v>369</v>
      </c>
      <c r="F2294" s="2" t="s">
        <v>89</v>
      </c>
      <c r="G2294" s="3">
        <v>390000</v>
      </c>
      <c r="H2294" s="8">
        <v>5</v>
      </c>
      <c r="I2294" s="3">
        <v>0</v>
      </c>
      <c r="J2294" s="3">
        <v>0</v>
      </c>
    </row>
    <row r="2295" spans="1:10" x14ac:dyDescent="0.25">
      <c r="A2295" s="2">
        <v>2322</v>
      </c>
      <c r="B2295" s="18">
        <v>45406.708287037036</v>
      </c>
      <c r="C2295" s="2" t="s">
        <v>343</v>
      </c>
      <c r="D2295" s="2" t="s">
        <v>111</v>
      </c>
      <c r="E2295" s="2" t="s">
        <v>370</v>
      </c>
      <c r="F2295" s="2" t="s">
        <v>61</v>
      </c>
      <c r="G2295" s="3">
        <v>890000</v>
      </c>
      <c r="H2295" s="8">
        <v>2</v>
      </c>
      <c r="I2295" s="3">
        <v>1165090.1</v>
      </c>
      <c r="J2295" s="3">
        <v>1281599.11</v>
      </c>
    </row>
    <row r="2296" spans="1:10" x14ac:dyDescent="0.25">
      <c r="A2296" s="2">
        <v>2323</v>
      </c>
      <c r="B2296" s="18">
        <v>45406.708287037036</v>
      </c>
      <c r="C2296" s="2" t="s">
        <v>343</v>
      </c>
      <c r="D2296" s="2" t="s">
        <v>111</v>
      </c>
      <c r="E2296" s="2" t="s">
        <v>370</v>
      </c>
      <c r="F2296" s="2" t="s">
        <v>81</v>
      </c>
      <c r="G2296" s="3">
        <v>790000</v>
      </c>
      <c r="H2296" s="8">
        <v>2</v>
      </c>
      <c r="I2296" s="3">
        <v>1034181.1</v>
      </c>
      <c r="J2296" s="3">
        <v>1137599.21</v>
      </c>
    </row>
    <row r="2297" spans="1:10" x14ac:dyDescent="0.25">
      <c r="A2297" s="2">
        <v>2324</v>
      </c>
      <c r="B2297" s="18">
        <v>45406.708287037036</v>
      </c>
      <c r="C2297" s="2" t="s">
        <v>343</v>
      </c>
      <c r="D2297" s="2" t="s">
        <v>111</v>
      </c>
      <c r="E2297" s="2" t="s">
        <v>370</v>
      </c>
      <c r="F2297" s="2" t="s">
        <v>35</v>
      </c>
      <c r="G2297" s="3">
        <v>525000</v>
      </c>
      <c r="H2297" s="8">
        <v>2</v>
      </c>
      <c r="I2297" s="3">
        <v>687272.25</v>
      </c>
      <c r="J2297" s="3">
        <v>755999.475</v>
      </c>
    </row>
    <row r="2298" spans="1:10" x14ac:dyDescent="0.25">
      <c r="A2298" s="2">
        <v>2325</v>
      </c>
      <c r="B2298" s="18">
        <v>45406.708287037036</v>
      </c>
      <c r="C2298" s="2" t="s">
        <v>343</v>
      </c>
      <c r="D2298" s="2" t="s">
        <v>279</v>
      </c>
      <c r="E2298" s="2" t="s">
        <v>369</v>
      </c>
      <c r="F2298" s="2" t="s">
        <v>27</v>
      </c>
      <c r="G2298" s="3">
        <v>935000</v>
      </c>
      <c r="H2298" s="8">
        <v>10</v>
      </c>
      <c r="I2298" s="3">
        <v>6545000</v>
      </c>
      <c r="J2298" s="3">
        <v>6545000</v>
      </c>
    </row>
    <row r="2299" spans="1:10" x14ac:dyDescent="0.25">
      <c r="A2299" s="2">
        <v>2326</v>
      </c>
      <c r="B2299" s="18">
        <v>45406.708287037036</v>
      </c>
      <c r="C2299" s="2" t="s">
        <v>343</v>
      </c>
      <c r="D2299" s="2" t="s">
        <v>279</v>
      </c>
      <c r="E2299" s="2" t="s">
        <v>369</v>
      </c>
      <c r="F2299" s="2" t="s">
        <v>19</v>
      </c>
      <c r="G2299" s="3">
        <v>590000</v>
      </c>
      <c r="H2299" s="8">
        <v>10</v>
      </c>
      <c r="I2299" s="3">
        <v>4130000</v>
      </c>
      <c r="J2299" s="3">
        <v>4130000</v>
      </c>
    </row>
    <row r="2300" spans="1:10" x14ac:dyDescent="0.25">
      <c r="A2300" s="2">
        <v>2327</v>
      </c>
      <c r="B2300" s="18">
        <v>45406.708287037036</v>
      </c>
      <c r="C2300" s="2" t="s">
        <v>343</v>
      </c>
      <c r="D2300" s="2" t="s">
        <v>279</v>
      </c>
      <c r="E2300" s="2" t="s">
        <v>369</v>
      </c>
      <c r="F2300" s="2" t="s">
        <v>89</v>
      </c>
      <c r="G2300" s="3">
        <v>390000</v>
      </c>
      <c r="H2300" s="8">
        <v>20</v>
      </c>
      <c r="I2300" s="3">
        <v>0</v>
      </c>
      <c r="J2300" s="3">
        <v>0</v>
      </c>
    </row>
    <row r="2301" spans="1:10" x14ac:dyDescent="0.25">
      <c r="A2301" s="2">
        <v>2328</v>
      </c>
      <c r="B2301" s="18">
        <v>45407.708287037036</v>
      </c>
      <c r="C2301" s="2" t="s">
        <v>343</v>
      </c>
      <c r="D2301" s="2" t="s">
        <v>34</v>
      </c>
      <c r="E2301" s="2" t="s">
        <v>370</v>
      </c>
      <c r="F2301" s="2" t="s">
        <v>29</v>
      </c>
      <c r="G2301" s="3">
        <v>590000</v>
      </c>
      <c r="H2301" s="8">
        <v>1</v>
      </c>
      <c r="I2301" s="3">
        <v>0</v>
      </c>
      <c r="J2301" s="3">
        <v>0</v>
      </c>
    </row>
    <row r="2302" spans="1:10" x14ac:dyDescent="0.25">
      <c r="A2302" s="2">
        <v>2329</v>
      </c>
      <c r="B2302" s="18">
        <v>45407.708287037036</v>
      </c>
      <c r="C2302" s="2" t="s">
        <v>343</v>
      </c>
      <c r="D2302" s="2" t="s">
        <v>34</v>
      </c>
      <c r="E2302" s="2" t="s">
        <v>370</v>
      </c>
      <c r="F2302" s="2" t="s">
        <v>19</v>
      </c>
      <c r="G2302" s="3">
        <v>590000</v>
      </c>
      <c r="H2302" s="8">
        <v>1</v>
      </c>
      <c r="I2302" s="3">
        <v>0</v>
      </c>
      <c r="J2302" s="3">
        <v>0</v>
      </c>
    </row>
    <row r="2303" spans="1:10" x14ac:dyDescent="0.25">
      <c r="A2303" s="2">
        <v>2330</v>
      </c>
      <c r="B2303" s="18">
        <v>45407.708287037036</v>
      </c>
      <c r="C2303" s="2" t="s">
        <v>343</v>
      </c>
      <c r="D2303" s="2" t="s">
        <v>34</v>
      </c>
      <c r="E2303" s="2" t="s">
        <v>370</v>
      </c>
      <c r="F2303" s="2" t="s">
        <v>57</v>
      </c>
      <c r="G2303" s="3">
        <v>745000</v>
      </c>
      <c r="H2303" s="8">
        <v>1</v>
      </c>
      <c r="I2303" s="3">
        <v>0</v>
      </c>
      <c r="J2303" s="3">
        <v>0</v>
      </c>
    </row>
    <row r="2304" spans="1:10" x14ac:dyDescent="0.25">
      <c r="A2304" s="2">
        <v>2331</v>
      </c>
      <c r="B2304" s="18">
        <v>45407.708287037036</v>
      </c>
      <c r="C2304" s="2" t="s">
        <v>343</v>
      </c>
      <c r="D2304" s="2" t="s">
        <v>34</v>
      </c>
      <c r="E2304" s="2" t="s">
        <v>370</v>
      </c>
      <c r="F2304" s="2" t="s">
        <v>31</v>
      </c>
      <c r="G2304" s="3">
        <v>745000</v>
      </c>
      <c r="H2304" s="8">
        <v>1</v>
      </c>
      <c r="I2304" s="3">
        <v>0</v>
      </c>
      <c r="J2304" s="3">
        <v>0</v>
      </c>
    </row>
    <row r="2305" spans="1:10" x14ac:dyDescent="0.25">
      <c r="A2305" s="2">
        <v>2332</v>
      </c>
      <c r="B2305" s="18">
        <v>45407.708287037036</v>
      </c>
      <c r="C2305" s="2" t="s">
        <v>343</v>
      </c>
      <c r="D2305" s="2" t="s">
        <v>34</v>
      </c>
      <c r="E2305" s="2" t="s">
        <v>370</v>
      </c>
      <c r="F2305" s="2" t="s">
        <v>81</v>
      </c>
      <c r="G2305" s="3">
        <v>790000</v>
      </c>
      <c r="H2305" s="8">
        <v>1</v>
      </c>
      <c r="I2305" s="3">
        <v>0</v>
      </c>
      <c r="J2305" s="3">
        <v>0</v>
      </c>
    </row>
    <row r="2306" spans="1:10" x14ac:dyDescent="0.25">
      <c r="A2306" s="2">
        <v>2333</v>
      </c>
      <c r="B2306" s="18">
        <v>45407.708287037036</v>
      </c>
      <c r="C2306" s="2" t="s">
        <v>343</v>
      </c>
      <c r="D2306" s="2" t="s">
        <v>34</v>
      </c>
      <c r="E2306" s="2" t="s">
        <v>370</v>
      </c>
      <c r="F2306" s="2" t="s">
        <v>23</v>
      </c>
      <c r="G2306" s="3">
        <v>775000</v>
      </c>
      <c r="H2306" s="8">
        <v>1</v>
      </c>
      <c r="I2306" s="3">
        <v>0</v>
      </c>
      <c r="J2306" s="3">
        <v>0</v>
      </c>
    </row>
    <row r="2307" spans="1:10" x14ac:dyDescent="0.25">
      <c r="A2307" s="2">
        <v>2334</v>
      </c>
      <c r="B2307" s="18">
        <v>45407.708287037036</v>
      </c>
      <c r="C2307" s="2" t="s">
        <v>343</v>
      </c>
      <c r="D2307" s="2" t="s">
        <v>30</v>
      </c>
      <c r="E2307" s="2" t="s">
        <v>366</v>
      </c>
      <c r="F2307" s="2" t="s">
        <v>89</v>
      </c>
      <c r="G2307" s="3">
        <v>390000</v>
      </c>
      <c r="H2307" s="8">
        <v>1</v>
      </c>
      <c r="I2307" s="3">
        <v>0</v>
      </c>
      <c r="J2307" s="3">
        <v>0</v>
      </c>
    </row>
    <row r="2308" spans="1:10" x14ac:dyDescent="0.25">
      <c r="A2308" s="2">
        <v>2335</v>
      </c>
      <c r="B2308" s="18">
        <v>45407.708287037036</v>
      </c>
      <c r="C2308" s="2" t="s">
        <v>343</v>
      </c>
      <c r="D2308" s="2" t="s">
        <v>30</v>
      </c>
      <c r="E2308" s="2" t="s">
        <v>366</v>
      </c>
      <c r="F2308" s="2" t="s">
        <v>19</v>
      </c>
      <c r="G2308" s="3">
        <v>590000</v>
      </c>
      <c r="H2308" s="8">
        <v>1</v>
      </c>
      <c r="I2308" s="3">
        <v>0</v>
      </c>
      <c r="J2308" s="3">
        <v>0</v>
      </c>
    </row>
    <row r="2309" spans="1:10" x14ac:dyDescent="0.25">
      <c r="A2309" s="2">
        <v>2336</v>
      </c>
      <c r="B2309" s="18">
        <v>45407.708287037036</v>
      </c>
      <c r="C2309" s="2" t="s">
        <v>343</v>
      </c>
      <c r="D2309" s="2" t="s">
        <v>30</v>
      </c>
      <c r="E2309" s="2" t="s">
        <v>366</v>
      </c>
      <c r="F2309" s="2" t="s">
        <v>27</v>
      </c>
      <c r="G2309" s="3">
        <v>935000</v>
      </c>
      <c r="H2309" s="8">
        <v>1</v>
      </c>
      <c r="I2309" s="3">
        <v>0</v>
      </c>
      <c r="J2309" s="3">
        <v>0</v>
      </c>
    </row>
    <row r="2310" spans="1:10" x14ac:dyDescent="0.25">
      <c r="A2310" s="2">
        <v>2337</v>
      </c>
      <c r="B2310" s="18">
        <v>45408.708287037036</v>
      </c>
      <c r="C2310" s="2" t="s">
        <v>343</v>
      </c>
      <c r="D2310" s="2" t="s">
        <v>272</v>
      </c>
      <c r="E2310" s="2" t="s">
        <v>369</v>
      </c>
      <c r="F2310" s="2" t="s">
        <v>19</v>
      </c>
      <c r="G2310" s="3">
        <v>590000</v>
      </c>
      <c r="H2310" s="8">
        <v>6</v>
      </c>
      <c r="I2310" s="3">
        <v>2478000</v>
      </c>
      <c r="J2310" s="3">
        <v>2478000</v>
      </c>
    </row>
    <row r="2311" spans="1:10" x14ac:dyDescent="0.25">
      <c r="A2311" s="2">
        <v>2338</v>
      </c>
      <c r="B2311" s="18">
        <v>45408.708287037036</v>
      </c>
      <c r="C2311" s="2" t="s">
        <v>343</v>
      </c>
      <c r="D2311" s="2" t="s">
        <v>272</v>
      </c>
      <c r="E2311" s="2" t="s">
        <v>369</v>
      </c>
      <c r="F2311" s="2" t="s">
        <v>89</v>
      </c>
      <c r="G2311" s="3">
        <v>390000</v>
      </c>
      <c r="H2311" s="8">
        <v>6</v>
      </c>
      <c r="I2311" s="3">
        <v>0</v>
      </c>
      <c r="J2311" s="3">
        <v>0</v>
      </c>
    </row>
    <row r="2312" spans="1:10" x14ac:dyDescent="0.25">
      <c r="A2312" s="2">
        <v>2339</v>
      </c>
      <c r="B2312" s="18">
        <v>45408.708287037036</v>
      </c>
      <c r="C2312" s="2" t="s">
        <v>343</v>
      </c>
      <c r="D2312" s="2" t="s">
        <v>310</v>
      </c>
      <c r="E2312" s="2" t="s">
        <v>369</v>
      </c>
      <c r="F2312" s="2" t="s">
        <v>19</v>
      </c>
      <c r="G2312" s="3">
        <v>590000</v>
      </c>
      <c r="H2312" s="8">
        <v>30</v>
      </c>
      <c r="I2312" s="3">
        <v>11505000</v>
      </c>
      <c r="J2312" s="3">
        <v>11505000</v>
      </c>
    </row>
    <row r="2313" spans="1:10" x14ac:dyDescent="0.25">
      <c r="A2313" s="2">
        <v>2340</v>
      </c>
      <c r="B2313" s="18">
        <v>45408.708287037036</v>
      </c>
      <c r="C2313" s="2" t="s">
        <v>343</v>
      </c>
      <c r="D2313" s="2" t="s">
        <v>310</v>
      </c>
      <c r="E2313" s="2" t="s">
        <v>369</v>
      </c>
      <c r="F2313" s="2" t="s">
        <v>57</v>
      </c>
      <c r="G2313" s="3">
        <v>745000</v>
      </c>
      <c r="H2313" s="8">
        <v>30</v>
      </c>
      <c r="I2313" s="3">
        <v>14527500</v>
      </c>
      <c r="J2313" s="3">
        <v>14527500</v>
      </c>
    </row>
    <row r="2314" spans="1:10" x14ac:dyDescent="0.25">
      <c r="A2314" s="2">
        <v>2341</v>
      </c>
      <c r="B2314" s="18">
        <v>45408.708287037036</v>
      </c>
      <c r="C2314" s="2" t="s">
        <v>343</v>
      </c>
      <c r="D2314" s="2" t="s">
        <v>310</v>
      </c>
      <c r="E2314" s="2" t="s">
        <v>369</v>
      </c>
      <c r="F2314" s="2" t="s">
        <v>89</v>
      </c>
      <c r="G2314" s="3">
        <v>390000</v>
      </c>
      <c r="H2314" s="8">
        <v>30</v>
      </c>
      <c r="I2314" s="3">
        <v>0</v>
      </c>
      <c r="J2314" s="3">
        <v>0</v>
      </c>
    </row>
    <row r="2315" spans="1:10" x14ac:dyDescent="0.25">
      <c r="A2315" s="2">
        <v>2342</v>
      </c>
      <c r="B2315" s="18">
        <v>45408.708287037036</v>
      </c>
      <c r="C2315" s="2" t="s">
        <v>343</v>
      </c>
      <c r="D2315" s="2" t="s">
        <v>310</v>
      </c>
      <c r="E2315" s="2" t="s">
        <v>369</v>
      </c>
      <c r="F2315" s="2" t="s">
        <v>45</v>
      </c>
      <c r="G2315" s="3">
        <v>200000</v>
      </c>
      <c r="H2315" s="8">
        <v>60</v>
      </c>
      <c r="I2315" s="3">
        <v>0</v>
      </c>
      <c r="J2315" s="3">
        <v>0</v>
      </c>
    </row>
    <row r="2316" spans="1:10" x14ac:dyDescent="0.25">
      <c r="A2316" s="2">
        <v>2343</v>
      </c>
      <c r="B2316" s="18">
        <v>45408.708287037036</v>
      </c>
      <c r="C2316" s="2" t="s">
        <v>343</v>
      </c>
      <c r="D2316" s="2" t="s">
        <v>310</v>
      </c>
      <c r="E2316" s="2" t="s">
        <v>369</v>
      </c>
      <c r="F2316" s="2" t="s">
        <v>31</v>
      </c>
      <c r="G2316" s="3">
        <v>745000</v>
      </c>
      <c r="H2316" s="8">
        <v>30</v>
      </c>
      <c r="I2316" s="3">
        <v>14527500</v>
      </c>
      <c r="J2316" s="3">
        <v>14527500</v>
      </c>
    </row>
    <row r="2317" spans="1:10" x14ac:dyDescent="0.25">
      <c r="A2317" s="2">
        <v>2344</v>
      </c>
      <c r="B2317" s="18">
        <v>45408.708287037036</v>
      </c>
      <c r="C2317" s="2" t="s">
        <v>343</v>
      </c>
      <c r="D2317" s="2" t="s">
        <v>8</v>
      </c>
      <c r="E2317" s="2" t="s">
        <v>370</v>
      </c>
      <c r="F2317" s="2" t="s">
        <v>27</v>
      </c>
      <c r="G2317" s="3">
        <v>935000</v>
      </c>
      <c r="H2317" s="8">
        <v>1</v>
      </c>
      <c r="I2317" s="3">
        <v>0</v>
      </c>
      <c r="J2317" s="3">
        <v>0</v>
      </c>
    </row>
    <row r="2318" spans="1:10" x14ac:dyDescent="0.25">
      <c r="A2318" s="2">
        <v>2345</v>
      </c>
      <c r="B2318" s="18">
        <v>45408.708287037036</v>
      </c>
      <c r="C2318" s="2" t="s">
        <v>343</v>
      </c>
      <c r="D2318" s="2" t="s">
        <v>8</v>
      </c>
      <c r="E2318" s="2" t="s">
        <v>370</v>
      </c>
      <c r="F2318" s="2" t="s">
        <v>19</v>
      </c>
      <c r="G2318" s="3">
        <v>590000</v>
      </c>
      <c r="H2318" s="8">
        <v>1</v>
      </c>
      <c r="I2318" s="3">
        <v>0</v>
      </c>
      <c r="J2318" s="3">
        <v>0</v>
      </c>
    </row>
    <row r="2319" spans="1:10" x14ac:dyDescent="0.25">
      <c r="A2319" s="2">
        <v>2346</v>
      </c>
      <c r="B2319" s="18">
        <v>45408.708287037036</v>
      </c>
      <c r="C2319" s="2" t="s">
        <v>343</v>
      </c>
      <c r="D2319" s="2" t="s">
        <v>8</v>
      </c>
      <c r="E2319" s="2" t="s">
        <v>370</v>
      </c>
      <c r="F2319" s="2" t="s">
        <v>31</v>
      </c>
      <c r="G2319" s="3">
        <v>745000</v>
      </c>
      <c r="H2319" s="8">
        <v>1</v>
      </c>
      <c r="I2319" s="3">
        <v>0</v>
      </c>
      <c r="J2319" s="3">
        <v>0</v>
      </c>
    </row>
    <row r="2320" spans="1:10" x14ac:dyDescent="0.25">
      <c r="A2320" s="2">
        <v>2347</v>
      </c>
      <c r="B2320" s="18">
        <v>45408.708287037036</v>
      </c>
      <c r="C2320" s="2" t="s">
        <v>343</v>
      </c>
      <c r="D2320" s="2" t="s">
        <v>8</v>
      </c>
      <c r="E2320" s="2" t="s">
        <v>370</v>
      </c>
      <c r="F2320" s="2" t="s">
        <v>57</v>
      </c>
      <c r="G2320" s="3">
        <v>745000</v>
      </c>
      <c r="H2320" s="8">
        <v>1</v>
      </c>
      <c r="I2320" s="3">
        <v>0</v>
      </c>
      <c r="J2320" s="3">
        <v>0</v>
      </c>
    </row>
    <row r="2321" spans="1:10" x14ac:dyDescent="0.25">
      <c r="A2321" s="2">
        <v>2348</v>
      </c>
      <c r="B2321" s="18">
        <v>45408.708287037036</v>
      </c>
      <c r="C2321" s="2" t="s">
        <v>343</v>
      </c>
      <c r="D2321" s="2" t="s">
        <v>8</v>
      </c>
      <c r="E2321" s="2" t="s">
        <v>370</v>
      </c>
      <c r="F2321" s="2" t="s">
        <v>57</v>
      </c>
      <c r="G2321" s="3">
        <v>745000</v>
      </c>
      <c r="H2321" s="8">
        <v>1</v>
      </c>
      <c r="I2321" s="3">
        <v>0</v>
      </c>
      <c r="J2321" s="3">
        <v>0</v>
      </c>
    </row>
    <row r="2322" spans="1:10" x14ac:dyDescent="0.25">
      <c r="A2322" s="2">
        <v>2349</v>
      </c>
      <c r="B2322" s="18">
        <v>45354.708287037036</v>
      </c>
      <c r="C2322" s="2" t="s">
        <v>342</v>
      </c>
      <c r="D2322" s="2" t="s">
        <v>314</v>
      </c>
      <c r="E2322" s="2" t="s">
        <v>369</v>
      </c>
      <c r="F2322" s="2" t="s">
        <v>19</v>
      </c>
      <c r="G2322" s="3">
        <v>590000</v>
      </c>
      <c r="H2322" s="8">
        <v>4</v>
      </c>
      <c r="I2322" s="3">
        <v>1770000</v>
      </c>
      <c r="J2322" s="3">
        <v>1770000</v>
      </c>
    </row>
    <row r="2323" spans="1:10" x14ac:dyDescent="0.25">
      <c r="A2323" s="2">
        <v>2350</v>
      </c>
      <c r="B2323" s="18">
        <v>45354.708287037036</v>
      </c>
      <c r="C2323" s="2" t="s">
        <v>342</v>
      </c>
      <c r="D2323" s="2" t="s">
        <v>314</v>
      </c>
      <c r="E2323" s="2" t="s">
        <v>369</v>
      </c>
      <c r="F2323" s="2" t="s">
        <v>29</v>
      </c>
      <c r="G2323" s="3">
        <v>590000</v>
      </c>
      <c r="H2323" s="8">
        <v>1</v>
      </c>
      <c r="I2323" s="3">
        <v>0</v>
      </c>
      <c r="J2323" s="3">
        <v>0</v>
      </c>
    </row>
    <row r="2324" spans="1:10" x14ac:dyDescent="0.25">
      <c r="A2324" s="2">
        <v>2351</v>
      </c>
      <c r="B2324" s="18">
        <v>45354.708287037036</v>
      </c>
      <c r="C2324" s="2" t="s">
        <v>342</v>
      </c>
      <c r="D2324" s="2" t="s">
        <v>286</v>
      </c>
      <c r="E2324" s="2" t="s">
        <v>369</v>
      </c>
      <c r="F2324" s="2" t="s">
        <v>19</v>
      </c>
      <c r="G2324" s="3">
        <v>590000</v>
      </c>
      <c r="H2324" s="8">
        <v>20</v>
      </c>
      <c r="I2324" s="3">
        <v>7080000</v>
      </c>
      <c r="J2324" s="3">
        <v>7080000</v>
      </c>
    </row>
    <row r="2325" spans="1:10" x14ac:dyDescent="0.25">
      <c r="A2325" s="2">
        <v>2352</v>
      </c>
      <c r="B2325" s="18">
        <v>45354.708287037036</v>
      </c>
      <c r="C2325" s="2" t="s">
        <v>342</v>
      </c>
      <c r="D2325" s="2" t="s">
        <v>286</v>
      </c>
      <c r="E2325" s="2" t="s">
        <v>369</v>
      </c>
      <c r="F2325" s="2" t="s">
        <v>89</v>
      </c>
      <c r="G2325" s="3">
        <v>390000</v>
      </c>
      <c r="H2325" s="8">
        <v>20</v>
      </c>
      <c r="I2325" s="3">
        <v>0</v>
      </c>
      <c r="J2325" s="3">
        <v>0</v>
      </c>
    </row>
    <row r="2326" spans="1:10" x14ac:dyDescent="0.25">
      <c r="A2326" s="2">
        <v>2353</v>
      </c>
      <c r="B2326" s="18">
        <v>45355.708287037036</v>
      </c>
      <c r="C2326" s="2" t="s">
        <v>342</v>
      </c>
      <c r="D2326" s="2" t="s">
        <v>54</v>
      </c>
      <c r="E2326" s="2" t="s">
        <v>367</v>
      </c>
      <c r="F2326" s="2" t="s">
        <v>89</v>
      </c>
      <c r="G2326" s="3">
        <v>390000</v>
      </c>
      <c r="H2326" s="8">
        <v>1</v>
      </c>
      <c r="I2326" s="3">
        <v>0</v>
      </c>
      <c r="J2326" s="3">
        <v>0</v>
      </c>
    </row>
    <row r="2327" spans="1:10" x14ac:dyDescent="0.25">
      <c r="A2327" s="2">
        <v>2354</v>
      </c>
      <c r="B2327" s="18">
        <v>45355.708287037036</v>
      </c>
      <c r="C2327" s="2" t="s">
        <v>342</v>
      </c>
      <c r="D2327" s="2" t="s">
        <v>64</v>
      </c>
      <c r="E2327" s="2" t="s">
        <v>369</v>
      </c>
      <c r="F2327" s="2" t="s">
        <v>29</v>
      </c>
      <c r="G2327" s="3">
        <v>590000</v>
      </c>
      <c r="H2327" s="8">
        <v>10</v>
      </c>
      <c r="I2327" s="3">
        <v>3540000</v>
      </c>
      <c r="J2327" s="3">
        <v>3540000</v>
      </c>
    </row>
    <row r="2328" spans="1:10" x14ac:dyDescent="0.25">
      <c r="A2328" s="2">
        <v>2355</v>
      </c>
      <c r="B2328" s="18">
        <v>45355.708287037036</v>
      </c>
      <c r="C2328" s="2" t="s">
        <v>342</v>
      </c>
      <c r="D2328" s="2" t="s">
        <v>64</v>
      </c>
      <c r="E2328" s="2" t="s">
        <v>369</v>
      </c>
      <c r="F2328" s="2" t="s">
        <v>19</v>
      </c>
      <c r="G2328" s="3">
        <v>590000</v>
      </c>
      <c r="H2328" s="8">
        <v>2</v>
      </c>
      <c r="I2328" s="3">
        <v>826000</v>
      </c>
      <c r="J2328" s="3">
        <v>826000</v>
      </c>
    </row>
    <row r="2329" spans="1:10" x14ac:dyDescent="0.25">
      <c r="A2329" s="2">
        <v>2356</v>
      </c>
      <c r="B2329" s="18">
        <v>45357.708287037036</v>
      </c>
      <c r="C2329" s="2" t="s">
        <v>342</v>
      </c>
      <c r="D2329" s="2" t="s">
        <v>126</v>
      </c>
      <c r="E2329" s="2" t="s">
        <v>365</v>
      </c>
      <c r="F2329" s="2" t="s">
        <v>19</v>
      </c>
      <c r="G2329" s="3">
        <v>590000</v>
      </c>
      <c r="H2329" s="8">
        <v>1</v>
      </c>
      <c r="I2329" s="3">
        <v>0</v>
      </c>
      <c r="J2329" s="3">
        <v>0</v>
      </c>
    </row>
    <row r="2330" spans="1:10" x14ac:dyDescent="0.25">
      <c r="A2330" s="2">
        <v>2357</v>
      </c>
      <c r="B2330" s="18">
        <v>45357.708287037036</v>
      </c>
      <c r="C2330" s="2" t="s">
        <v>342</v>
      </c>
      <c r="D2330" s="2" t="s">
        <v>126</v>
      </c>
      <c r="E2330" s="2" t="s">
        <v>365</v>
      </c>
      <c r="F2330" s="2" t="s">
        <v>29</v>
      </c>
      <c r="G2330" s="3">
        <v>590000</v>
      </c>
      <c r="H2330" s="8">
        <v>1</v>
      </c>
      <c r="I2330" s="3">
        <v>0</v>
      </c>
      <c r="J2330" s="3">
        <v>0</v>
      </c>
    </row>
    <row r="2331" spans="1:10" x14ac:dyDescent="0.25">
      <c r="A2331" s="2">
        <v>2358</v>
      </c>
      <c r="B2331" s="18">
        <v>45357.708287037036</v>
      </c>
      <c r="C2331" s="2" t="s">
        <v>342</v>
      </c>
      <c r="D2331" s="2" t="s">
        <v>272</v>
      </c>
      <c r="E2331" s="2" t="s">
        <v>369</v>
      </c>
      <c r="F2331" s="2" t="s">
        <v>19</v>
      </c>
      <c r="G2331" s="3">
        <v>590000</v>
      </c>
      <c r="H2331" s="8">
        <v>5</v>
      </c>
      <c r="I2331" s="3">
        <v>2212500</v>
      </c>
      <c r="J2331" s="3">
        <v>2212500</v>
      </c>
    </row>
    <row r="2332" spans="1:10" x14ac:dyDescent="0.25">
      <c r="A2332" s="2">
        <v>2359</v>
      </c>
      <c r="B2332" s="18">
        <v>45357.708287037036</v>
      </c>
      <c r="C2332" s="2" t="s">
        <v>342</v>
      </c>
      <c r="D2332" s="2" t="s">
        <v>272</v>
      </c>
      <c r="E2332" s="2" t="s">
        <v>369</v>
      </c>
      <c r="F2332" s="2" t="s">
        <v>89</v>
      </c>
      <c r="G2332" s="3">
        <v>390000</v>
      </c>
      <c r="H2332" s="8">
        <v>5</v>
      </c>
      <c r="I2332" s="3">
        <v>0</v>
      </c>
      <c r="J2332" s="3">
        <v>0</v>
      </c>
    </row>
    <row r="2333" spans="1:10" x14ac:dyDescent="0.25">
      <c r="A2333" s="2">
        <v>2360</v>
      </c>
      <c r="B2333" s="18">
        <v>45358.708287037036</v>
      </c>
      <c r="C2333" s="2" t="s">
        <v>342</v>
      </c>
      <c r="D2333" s="2" t="s">
        <v>76</v>
      </c>
      <c r="E2333" s="2" t="s">
        <v>369</v>
      </c>
      <c r="F2333" s="2" t="s">
        <v>19</v>
      </c>
      <c r="G2333" s="3">
        <v>590000</v>
      </c>
      <c r="H2333" s="8">
        <v>20</v>
      </c>
      <c r="I2333" s="3">
        <v>8260000</v>
      </c>
      <c r="J2333" s="3">
        <v>8260000</v>
      </c>
    </row>
    <row r="2334" spans="1:10" x14ac:dyDescent="0.25">
      <c r="A2334" s="2">
        <v>2361</v>
      </c>
      <c r="B2334" s="18">
        <v>45358.708287037036</v>
      </c>
      <c r="C2334" s="2" t="s">
        <v>342</v>
      </c>
      <c r="D2334" s="2" t="s">
        <v>76</v>
      </c>
      <c r="E2334" s="2" t="s">
        <v>369</v>
      </c>
      <c r="F2334" s="2" t="s">
        <v>89</v>
      </c>
      <c r="G2334" s="3">
        <v>390000</v>
      </c>
      <c r="H2334" s="8">
        <v>20</v>
      </c>
      <c r="I2334" s="3">
        <v>0</v>
      </c>
      <c r="J2334" s="3">
        <v>0</v>
      </c>
    </row>
    <row r="2335" spans="1:10" x14ac:dyDescent="0.25">
      <c r="A2335" s="2">
        <v>2362</v>
      </c>
      <c r="B2335" s="18">
        <v>45359.708287037036</v>
      </c>
      <c r="C2335" s="2" t="s">
        <v>342</v>
      </c>
      <c r="D2335" s="2" t="s">
        <v>282</v>
      </c>
      <c r="E2335" s="2" t="s">
        <v>369</v>
      </c>
      <c r="F2335" s="2" t="s">
        <v>29</v>
      </c>
      <c r="G2335" s="3">
        <v>590000</v>
      </c>
      <c r="H2335" s="8">
        <v>4</v>
      </c>
      <c r="I2335" s="3">
        <v>1770000</v>
      </c>
      <c r="J2335" s="3">
        <v>1770000</v>
      </c>
    </row>
    <row r="2336" spans="1:10" x14ac:dyDescent="0.25">
      <c r="A2336" s="2">
        <v>2363</v>
      </c>
      <c r="B2336" s="18">
        <v>45359.708287037036</v>
      </c>
      <c r="C2336" s="2" t="s">
        <v>342</v>
      </c>
      <c r="D2336" s="2" t="s">
        <v>282</v>
      </c>
      <c r="E2336" s="2" t="s">
        <v>369</v>
      </c>
      <c r="F2336" s="2" t="s">
        <v>29</v>
      </c>
      <c r="G2336" s="3">
        <v>590000</v>
      </c>
      <c r="H2336" s="8">
        <v>2</v>
      </c>
      <c r="I2336" s="3">
        <v>0</v>
      </c>
      <c r="J2336" s="3">
        <v>0</v>
      </c>
    </row>
    <row r="2337" spans="1:10" x14ac:dyDescent="0.25">
      <c r="A2337" s="2">
        <v>2364</v>
      </c>
      <c r="B2337" s="18">
        <v>45359.708287037036</v>
      </c>
      <c r="C2337" s="2" t="s">
        <v>342</v>
      </c>
      <c r="D2337" s="2" t="s">
        <v>94</v>
      </c>
      <c r="E2337" s="2" t="s">
        <v>366</v>
      </c>
      <c r="F2337" s="2" t="s">
        <v>19</v>
      </c>
      <c r="G2337" s="3">
        <v>590000</v>
      </c>
      <c r="H2337" s="8">
        <v>4</v>
      </c>
      <c r="I2337" s="3">
        <v>1770000</v>
      </c>
      <c r="J2337" s="3">
        <v>1770000</v>
      </c>
    </row>
    <row r="2338" spans="1:10" x14ac:dyDescent="0.25">
      <c r="A2338" s="2">
        <v>2365</v>
      </c>
      <c r="B2338" s="18">
        <v>45359.708287037036</v>
      </c>
      <c r="C2338" s="2" t="s">
        <v>342</v>
      </c>
      <c r="D2338" s="2" t="s">
        <v>94</v>
      </c>
      <c r="E2338" s="2" t="s">
        <v>366</v>
      </c>
      <c r="F2338" s="2" t="s">
        <v>29</v>
      </c>
      <c r="G2338" s="3">
        <v>590000</v>
      </c>
      <c r="H2338" s="8">
        <v>2</v>
      </c>
      <c r="I2338" s="3">
        <v>885000</v>
      </c>
      <c r="J2338" s="3">
        <v>885000</v>
      </c>
    </row>
    <row r="2339" spans="1:10" x14ac:dyDescent="0.25">
      <c r="A2339" s="2">
        <v>2366</v>
      </c>
      <c r="B2339" s="18">
        <v>45359.708287037036</v>
      </c>
      <c r="C2339" s="2" t="s">
        <v>342</v>
      </c>
      <c r="D2339" s="2" t="s">
        <v>94</v>
      </c>
      <c r="E2339" s="2" t="s">
        <v>366</v>
      </c>
      <c r="F2339" s="2" t="s">
        <v>29</v>
      </c>
      <c r="G2339" s="3">
        <v>590000</v>
      </c>
      <c r="H2339" s="8">
        <v>2</v>
      </c>
      <c r="I2339" s="3">
        <v>0</v>
      </c>
      <c r="J2339" s="3">
        <v>0</v>
      </c>
    </row>
    <row r="2340" spans="1:10" x14ac:dyDescent="0.25">
      <c r="A2340" s="2">
        <v>2369</v>
      </c>
      <c r="B2340" s="18">
        <v>45361.708287037036</v>
      </c>
      <c r="C2340" s="2" t="s">
        <v>342</v>
      </c>
      <c r="D2340" s="2" t="s">
        <v>114</v>
      </c>
      <c r="E2340" s="2" t="s">
        <v>370</v>
      </c>
      <c r="F2340" s="2" t="s">
        <v>29</v>
      </c>
      <c r="G2340" s="3">
        <v>590000</v>
      </c>
      <c r="H2340" s="8">
        <v>3</v>
      </c>
      <c r="I2340" s="3">
        <v>1158546.42</v>
      </c>
      <c r="J2340" s="3">
        <v>1274401.062</v>
      </c>
    </row>
    <row r="2341" spans="1:10" x14ac:dyDescent="0.25">
      <c r="A2341" s="2">
        <v>2370</v>
      </c>
      <c r="B2341" s="18">
        <v>45361.708287037036</v>
      </c>
      <c r="C2341" s="2" t="s">
        <v>342</v>
      </c>
      <c r="D2341" s="2" t="s">
        <v>114</v>
      </c>
      <c r="E2341" s="2" t="s">
        <v>370</v>
      </c>
      <c r="F2341" s="2" t="s">
        <v>19</v>
      </c>
      <c r="G2341" s="3">
        <v>590000</v>
      </c>
      <c r="H2341" s="8">
        <v>3</v>
      </c>
      <c r="I2341" s="3">
        <v>1158546.42</v>
      </c>
      <c r="J2341" s="3">
        <v>1274401.062</v>
      </c>
    </row>
    <row r="2342" spans="1:10" x14ac:dyDescent="0.25">
      <c r="A2342" s="2">
        <v>2371</v>
      </c>
      <c r="B2342" s="18">
        <v>45361.708287037036</v>
      </c>
      <c r="C2342" s="2" t="s">
        <v>342</v>
      </c>
      <c r="D2342" s="2" t="s">
        <v>119</v>
      </c>
      <c r="E2342" s="2" t="s">
        <v>370</v>
      </c>
      <c r="F2342" s="2" t="s">
        <v>29</v>
      </c>
      <c r="G2342" s="3">
        <v>590000</v>
      </c>
      <c r="H2342" s="8">
        <v>2</v>
      </c>
      <c r="I2342" s="3">
        <v>772369</v>
      </c>
      <c r="J2342" s="3">
        <v>849605.9</v>
      </c>
    </row>
    <row r="2343" spans="1:10" x14ac:dyDescent="0.25">
      <c r="A2343" s="2">
        <v>2372</v>
      </c>
      <c r="B2343" s="18">
        <v>45361.708287037036</v>
      </c>
      <c r="C2343" s="2" t="s">
        <v>342</v>
      </c>
      <c r="D2343" s="2" t="s">
        <v>119</v>
      </c>
      <c r="E2343" s="2" t="s">
        <v>370</v>
      </c>
      <c r="F2343" s="2" t="s">
        <v>19</v>
      </c>
      <c r="G2343" s="3">
        <v>590000</v>
      </c>
      <c r="H2343" s="8">
        <v>2</v>
      </c>
      <c r="I2343" s="3">
        <v>772369</v>
      </c>
      <c r="J2343" s="3">
        <v>849605.9</v>
      </c>
    </row>
    <row r="2344" spans="1:10" x14ac:dyDescent="0.25">
      <c r="A2344" s="2">
        <v>2373</v>
      </c>
      <c r="B2344" s="18">
        <v>45361.708287037036</v>
      </c>
      <c r="C2344" s="2" t="s">
        <v>342</v>
      </c>
      <c r="D2344" s="2" t="s">
        <v>104</v>
      </c>
      <c r="E2344" s="2" t="s">
        <v>363</v>
      </c>
      <c r="F2344" s="2" t="s">
        <v>31</v>
      </c>
      <c r="G2344" s="3">
        <v>745000</v>
      </c>
      <c r="H2344" s="8">
        <v>1</v>
      </c>
      <c r="I2344" s="3">
        <v>745000</v>
      </c>
      <c r="J2344" s="3">
        <v>745000</v>
      </c>
    </row>
    <row r="2345" spans="1:10" x14ac:dyDescent="0.25">
      <c r="A2345" s="2">
        <v>2374</v>
      </c>
      <c r="B2345" s="18">
        <v>45361.708287037036</v>
      </c>
      <c r="C2345" s="2" t="s">
        <v>342</v>
      </c>
      <c r="D2345" s="2" t="s">
        <v>104</v>
      </c>
      <c r="E2345" s="2" t="s">
        <v>363</v>
      </c>
      <c r="F2345" s="2" t="s">
        <v>57</v>
      </c>
      <c r="G2345" s="3">
        <v>745000</v>
      </c>
      <c r="H2345" s="8">
        <v>1</v>
      </c>
      <c r="I2345" s="3">
        <v>745000</v>
      </c>
      <c r="J2345" s="3">
        <v>745000</v>
      </c>
    </row>
    <row r="2346" spans="1:10" x14ac:dyDescent="0.25">
      <c r="A2346" s="2">
        <v>2375</v>
      </c>
      <c r="B2346" s="18">
        <v>45361.708287037036</v>
      </c>
      <c r="C2346" s="2" t="s">
        <v>342</v>
      </c>
      <c r="D2346" s="2" t="s">
        <v>294</v>
      </c>
      <c r="E2346" s="2" t="s">
        <v>369</v>
      </c>
      <c r="F2346" s="2" t="s">
        <v>19</v>
      </c>
      <c r="G2346" s="3">
        <v>590000</v>
      </c>
      <c r="H2346" s="8">
        <v>10</v>
      </c>
      <c r="I2346" s="3">
        <v>3540000</v>
      </c>
      <c r="J2346" s="3">
        <v>3540000</v>
      </c>
    </row>
    <row r="2347" spans="1:10" x14ac:dyDescent="0.25">
      <c r="A2347" s="2">
        <v>2376</v>
      </c>
      <c r="B2347" s="18">
        <v>45361.708287037036</v>
      </c>
      <c r="C2347" s="2" t="s">
        <v>342</v>
      </c>
      <c r="D2347" s="2" t="s">
        <v>294</v>
      </c>
      <c r="E2347" s="2" t="s">
        <v>369</v>
      </c>
      <c r="F2347" s="2" t="s">
        <v>19</v>
      </c>
      <c r="G2347" s="3">
        <v>590000</v>
      </c>
      <c r="H2347" s="8">
        <v>5</v>
      </c>
      <c r="I2347" s="3">
        <v>2065000</v>
      </c>
      <c r="J2347" s="3">
        <v>2065000</v>
      </c>
    </row>
    <row r="2348" spans="1:10" x14ac:dyDescent="0.25">
      <c r="A2348" s="2">
        <v>2377</v>
      </c>
      <c r="B2348" s="18">
        <v>45361.708287037036</v>
      </c>
      <c r="C2348" s="2" t="s">
        <v>342</v>
      </c>
      <c r="D2348" s="2" t="s">
        <v>294</v>
      </c>
      <c r="E2348" s="2" t="s">
        <v>369</v>
      </c>
      <c r="F2348" s="2" t="s">
        <v>41</v>
      </c>
      <c r="G2348" s="3">
        <v>525000</v>
      </c>
      <c r="H2348" s="8">
        <v>5</v>
      </c>
      <c r="I2348" s="3">
        <v>0</v>
      </c>
      <c r="J2348" s="3">
        <v>0</v>
      </c>
    </row>
    <row r="2349" spans="1:10" x14ac:dyDescent="0.25">
      <c r="A2349" s="2">
        <v>2378</v>
      </c>
      <c r="B2349" s="18">
        <v>45361.708287037036</v>
      </c>
      <c r="C2349" s="2" t="s">
        <v>342</v>
      </c>
      <c r="D2349" s="2" t="s">
        <v>294</v>
      </c>
      <c r="E2349" s="2" t="s">
        <v>369</v>
      </c>
      <c r="F2349" s="2" t="s">
        <v>89</v>
      </c>
      <c r="G2349" s="3">
        <v>390000</v>
      </c>
      <c r="H2349" s="8">
        <v>10</v>
      </c>
      <c r="I2349" s="3">
        <v>0</v>
      </c>
      <c r="J2349" s="3">
        <v>0</v>
      </c>
    </row>
    <row r="2350" spans="1:10" x14ac:dyDescent="0.25">
      <c r="A2350" s="2">
        <v>2379</v>
      </c>
      <c r="B2350" s="18">
        <v>45361.708287037036</v>
      </c>
      <c r="C2350" s="2" t="s">
        <v>342</v>
      </c>
      <c r="D2350" s="2" t="s">
        <v>276</v>
      </c>
      <c r="E2350" s="2" t="s">
        <v>369</v>
      </c>
      <c r="F2350" s="2" t="s">
        <v>61</v>
      </c>
      <c r="G2350" s="3">
        <v>890000</v>
      </c>
      <c r="H2350" s="8">
        <v>3</v>
      </c>
      <c r="I2350" s="3">
        <v>1869000</v>
      </c>
      <c r="J2350" s="3">
        <v>1869000</v>
      </c>
    </row>
    <row r="2351" spans="1:10" x14ac:dyDescent="0.25">
      <c r="A2351" s="2">
        <v>2380</v>
      </c>
      <c r="B2351" s="18">
        <v>45362.708287037036</v>
      </c>
      <c r="C2351" s="2" t="s">
        <v>342</v>
      </c>
      <c r="D2351" s="2" t="s">
        <v>88</v>
      </c>
      <c r="E2351" s="2" t="s">
        <v>367</v>
      </c>
      <c r="F2351" s="2" t="s">
        <v>19</v>
      </c>
      <c r="G2351" s="3">
        <v>590000</v>
      </c>
      <c r="H2351" s="8">
        <v>15</v>
      </c>
      <c r="I2351" s="3">
        <v>6195000</v>
      </c>
      <c r="J2351" s="3">
        <v>6195000</v>
      </c>
    </row>
    <row r="2352" spans="1:10" x14ac:dyDescent="0.25">
      <c r="A2352" s="2">
        <v>2381</v>
      </c>
      <c r="B2352" s="18">
        <v>45362.708287037036</v>
      </c>
      <c r="C2352" s="2" t="s">
        <v>342</v>
      </c>
      <c r="D2352" s="2" t="s">
        <v>88</v>
      </c>
      <c r="E2352" s="2" t="s">
        <v>367</v>
      </c>
      <c r="F2352" s="2" t="s">
        <v>89</v>
      </c>
      <c r="G2352" s="3">
        <v>390000</v>
      </c>
      <c r="H2352" s="8">
        <v>15</v>
      </c>
      <c r="I2352" s="3">
        <v>0</v>
      </c>
      <c r="J2352" s="3">
        <v>0</v>
      </c>
    </row>
    <row r="2353" spans="1:10" x14ac:dyDescent="0.25">
      <c r="A2353" s="2">
        <v>2382</v>
      </c>
      <c r="B2353" s="18">
        <v>45362.708287037036</v>
      </c>
      <c r="C2353" s="2" t="s">
        <v>342</v>
      </c>
      <c r="D2353" s="2" t="s">
        <v>88</v>
      </c>
      <c r="E2353" s="2" t="s">
        <v>367</v>
      </c>
      <c r="F2353" s="2" t="s">
        <v>61</v>
      </c>
      <c r="G2353" s="3">
        <v>890000</v>
      </c>
      <c r="H2353" s="8">
        <v>3</v>
      </c>
      <c r="I2353" s="3">
        <v>1735500</v>
      </c>
      <c r="J2353" s="3">
        <v>1735500</v>
      </c>
    </row>
    <row r="2354" spans="1:10" x14ac:dyDescent="0.25">
      <c r="A2354" s="2">
        <v>2383</v>
      </c>
      <c r="B2354" s="18">
        <v>45362.708287037036</v>
      </c>
      <c r="C2354" s="2" t="s">
        <v>342</v>
      </c>
      <c r="D2354" s="2" t="s">
        <v>88</v>
      </c>
      <c r="E2354" s="2" t="s">
        <v>367</v>
      </c>
      <c r="F2354" s="2" t="s">
        <v>29</v>
      </c>
      <c r="G2354" s="3">
        <v>590000</v>
      </c>
      <c r="H2354" s="8">
        <v>3</v>
      </c>
      <c r="I2354" s="3">
        <v>1062000</v>
      </c>
      <c r="J2354" s="3">
        <v>1062000</v>
      </c>
    </row>
    <row r="2355" spans="1:10" x14ac:dyDescent="0.25">
      <c r="A2355" s="2">
        <v>2384</v>
      </c>
      <c r="B2355" s="18">
        <v>45362.708287037036</v>
      </c>
      <c r="C2355" s="2" t="s">
        <v>342</v>
      </c>
      <c r="D2355" s="2" t="s">
        <v>280</v>
      </c>
      <c r="E2355" s="2" t="s">
        <v>369</v>
      </c>
      <c r="F2355" s="2" t="s">
        <v>31</v>
      </c>
      <c r="G2355" s="3">
        <v>745000</v>
      </c>
      <c r="H2355" s="8">
        <v>10</v>
      </c>
      <c r="I2355" s="3">
        <v>5215000</v>
      </c>
      <c r="J2355" s="3">
        <v>5215000</v>
      </c>
    </row>
    <row r="2356" spans="1:10" x14ac:dyDescent="0.25">
      <c r="A2356" s="2">
        <v>2385</v>
      </c>
      <c r="B2356" s="18">
        <v>45362.708287037036</v>
      </c>
      <c r="C2356" s="2" t="s">
        <v>342</v>
      </c>
      <c r="D2356" s="2" t="s">
        <v>280</v>
      </c>
      <c r="E2356" s="2" t="s">
        <v>369</v>
      </c>
      <c r="F2356" s="2" t="s">
        <v>31</v>
      </c>
      <c r="G2356" s="3">
        <v>745000</v>
      </c>
      <c r="H2356" s="8">
        <v>1</v>
      </c>
      <c r="I2356" s="3">
        <v>0</v>
      </c>
      <c r="J2356" s="3">
        <v>0</v>
      </c>
    </row>
    <row r="2357" spans="1:10" x14ac:dyDescent="0.25">
      <c r="A2357" s="2">
        <v>2386</v>
      </c>
      <c r="B2357" s="18">
        <v>45362.708287037036</v>
      </c>
      <c r="C2357" s="2" t="s">
        <v>342</v>
      </c>
      <c r="D2357" s="2" t="s">
        <v>280</v>
      </c>
      <c r="E2357" s="2" t="s">
        <v>369</v>
      </c>
      <c r="F2357" s="2" t="s">
        <v>29</v>
      </c>
      <c r="G2357" s="3">
        <v>590000</v>
      </c>
      <c r="H2357" s="8">
        <v>10</v>
      </c>
      <c r="I2357" s="3">
        <v>4425000</v>
      </c>
      <c r="J2357" s="3">
        <v>4425000</v>
      </c>
    </row>
    <row r="2358" spans="1:10" x14ac:dyDescent="0.25">
      <c r="A2358" s="2">
        <v>2387</v>
      </c>
      <c r="B2358" s="18">
        <v>45362.708287037036</v>
      </c>
      <c r="C2358" s="2" t="s">
        <v>342</v>
      </c>
      <c r="D2358" s="2" t="s">
        <v>280</v>
      </c>
      <c r="E2358" s="2" t="s">
        <v>369</v>
      </c>
      <c r="F2358" s="2" t="s">
        <v>29</v>
      </c>
      <c r="G2358" s="3">
        <v>590000</v>
      </c>
      <c r="H2358" s="8">
        <v>5</v>
      </c>
      <c r="I2358" s="3">
        <v>0</v>
      </c>
      <c r="J2358" s="3">
        <v>0</v>
      </c>
    </row>
    <row r="2359" spans="1:10" x14ac:dyDescent="0.25">
      <c r="A2359" s="2">
        <v>2388</v>
      </c>
      <c r="B2359" s="18">
        <v>45364.708287037036</v>
      </c>
      <c r="C2359" s="2" t="s">
        <v>342</v>
      </c>
      <c r="D2359" s="2" t="s">
        <v>304</v>
      </c>
      <c r="E2359" s="2" t="s">
        <v>366</v>
      </c>
      <c r="F2359" s="2" t="s">
        <v>61</v>
      </c>
      <c r="G2359" s="3">
        <v>890000</v>
      </c>
      <c r="H2359" s="8">
        <v>3</v>
      </c>
      <c r="I2359" s="3">
        <v>2002500</v>
      </c>
      <c r="J2359" s="3">
        <v>2002500</v>
      </c>
    </row>
    <row r="2360" spans="1:10" x14ac:dyDescent="0.25">
      <c r="A2360" s="2">
        <v>2389</v>
      </c>
      <c r="B2360" s="18">
        <v>45364.708287037036</v>
      </c>
      <c r="C2360" s="2" t="s">
        <v>342</v>
      </c>
      <c r="D2360" s="2" t="s">
        <v>304</v>
      </c>
      <c r="E2360" s="2" t="s">
        <v>366</v>
      </c>
      <c r="F2360" s="2" t="s">
        <v>41</v>
      </c>
      <c r="G2360" s="3">
        <v>525000</v>
      </c>
      <c r="H2360" s="8">
        <v>3</v>
      </c>
      <c r="I2360" s="3">
        <v>0</v>
      </c>
      <c r="J2360" s="3">
        <v>0</v>
      </c>
    </row>
    <row r="2361" spans="1:10" x14ac:dyDescent="0.25">
      <c r="A2361" s="2">
        <v>2390</v>
      </c>
      <c r="B2361" s="18">
        <v>45364.708287037036</v>
      </c>
      <c r="C2361" s="2" t="s">
        <v>342</v>
      </c>
      <c r="D2361" s="2" t="s">
        <v>327</v>
      </c>
      <c r="E2361" s="2" t="s">
        <v>365</v>
      </c>
      <c r="F2361" s="2" t="s">
        <v>31</v>
      </c>
      <c r="G2361" s="3">
        <v>745000</v>
      </c>
      <c r="H2361" s="8">
        <v>10</v>
      </c>
      <c r="I2361" s="3">
        <v>7450000</v>
      </c>
      <c r="J2361" s="3">
        <v>3725000</v>
      </c>
    </row>
    <row r="2362" spans="1:10" x14ac:dyDescent="0.25">
      <c r="A2362" s="2">
        <v>2391</v>
      </c>
      <c r="B2362" s="18">
        <v>45364.708287037036</v>
      </c>
      <c r="C2362" s="2" t="s">
        <v>342</v>
      </c>
      <c r="D2362" s="2" t="s">
        <v>327</v>
      </c>
      <c r="E2362" s="2" t="s">
        <v>365</v>
      </c>
      <c r="F2362" s="2" t="s">
        <v>19</v>
      </c>
      <c r="G2362" s="3">
        <v>590000</v>
      </c>
      <c r="H2362" s="8">
        <v>50</v>
      </c>
      <c r="I2362" s="3">
        <v>29500000</v>
      </c>
      <c r="J2362" s="3">
        <v>14750000</v>
      </c>
    </row>
    <row r="2363" spans="1:10" x14ac:dyDescent="0.25">
      <c r="A2363" s="2">
        <v>2392</v>
      </c>
      <c r="B2363" s="18">
        <v>45364.708287037036</v>
      </c>
      <c r="C2363" s="2" t="s">
        <v>342</v>
      </c>
      <c r="D2363" s="2" t="s">
        <v>327</v>
      </c>
      <c r="E2363" s="2" t="s">
        <v>365</v>
      </c>
      <c r="F2363" s="2" t="s">
        <v>29</v>
      </c>
      <c r="G2363" s="3">
        <v>590000</v>
      </c>
      <c r="H2363" s="8">
        <v>40</v>
      </c>
      <c r="I2363" s="3">
        <v>23600000</v>
      </c>
      <c r="J2363" s="3">
        <v>11800000</v>
      </c>
    </row>
    <row r="2364" spans="1:10" x14ac:dyDescent="0.25">
      <c r="A2364" s="2">
        <v>2393</v>
      </c>
      <c r="B2364" s="18">
        <v>45364.708287037036</v>
      </c>
      <c r="C2364" s="2" t="s">
        <v>342</v>
      </c>
      <c r="D2364" s="2" t="s">
        <v>327</v>
      </c>
      <c r="E2364" s="2" t="s">
        <v>365</v>
      </c>
      <c r="F2364" s="2" t="s">
        <v>41</v>
      </c>
      <c r="G2364" s="3">
        <v>525000</v>
      </c>
      <c r="H2364" s="8">
        <v>75</v>
      </c>
      <c r="I2364" s="3">
        <v>0</v>
      </c>
      <c r="J2364" s="3">
        <v>0</v>
      </c>
    </row>
    <row r="2365" spans="1:10" x14ac:dyDescent="0.25">
      <c r="A2365" s="2">
        <v>2394</v>
      </c>
      <c r="B2365" s="18">
        <v>45365.708287037036</v>
      </c>
      <c r="C2365" s="2" t="s">
        <v>342</v>
      </c>
      <c r="D2365" s="2" t="s">
        <v>313</v>
      </c>
      <c r="E2365" s="2" t="s">
        <v>369</v>
      </c>
      <c r="F2365" s="2" t="s">
        <v>19</v>
      </c>
      <c r="G2365" s="3">
        <v>590000</v>
      </c>
      <c r="H2365" s="8">
        <v>4</v>
      </c>
      <c r="I2365" s="3">
        <v>1770000</v>
      </c>
      <c r="J2365" s="3">
        <v>1770000</v>
      </c>
    </row>
    <row r="2366" spans="1:10" x14ac:dyDescent="0.25">
      <c r="A2366" s="2">
        <v>2395</v>
      </c>
      <c r="B2366" s="18">
        <v>45365.708287037036</v>
      </c>
      <c r="C2366" s="2" t="s">
        <v>342</v>
      </c>
      <c r="D2366" s="2" t="s">
        <v>313</v>
      </c>
      <c r="E2366" s="2" t="s">
        <v>369</v>
      </c>
      <c r="F2366" s="2" t="s">
        <v>29</v>
      </c>
      <c r="G2366" s="3">
        <v>590000</v>
      </c>
      <c r="H2366" s="8">
        <v>1</v>
      </c>
      <c r="I2366" s="3">
        <v>0</v>
      </c>
      <c r="J2366" s="3">
        <v>0</v>
      </c>
    </row>
    <row r="2367" spans="1:10" x14ac:dyDescent="0.25">
      <c r="A2367" s="2">
        <v>2396</v>
      </c>
      <c r="B2367" s="18">
        <v>45368.708287037036</v>
      </c>
      <c r="C2367" s="2" t="s">
        <v>342</v>
      </c>
      <c r="D2367" s="2" t="s">
        <v>275</v>
      </c>
      <c r="E2367" s="2" t="s">
        <v>369</v>
      </c>
      <c r="F2367" s="2" t="s">
        <v>19</v>
      </c>
      <c r="G2367" s="3">
        <v>590000</v>
      </c>
      <c r="H2367" s="8">
        <v>2</v>
      </c>
      <c r="I2367" s="3">
        <v>885000</v>
      </c>
      <c r="J2367" s="3">
        <v>885000</v>
      </c>
    </row>
    <row r="2368" spans="1:10" x14ac:dyDescent="0.25">
      <c r="A2368" s="2">
        <v>2397</v>
      </c>
      <c r="B2368" s="18">
        <v>45368.708287037036</v>
      </c>
      <c r="C2368" s="2" t="s">
        <v>342</v>
      </c>
      <c r="D2368" s="2" t="s">
        <v>275</v>
      </c>
      <c r="E2368" s="2" t="s">
        <v>369</v>
      </c>
      <c r="F2368" s="2" t="s">
        <v>81</v>
      </c>
      <c r="G2368" s="3">
        <v>790000</v>
      </c>
      <c r="H2368" s="8">
        <v>2</v>
      </c>
      <c r="I2368" s="3">
        <v>1185000</v>
      </c>
      <c r="J2368" s="3">
        <v>1185000</v>
      </c>
    </row>
    <row r="2369" spans="1:10" x14ac:dyDescent="0.25">
      <c r="A2369" s="2">
        <v>2398</v>
      </c>
      <c r="B2369" s="18">
        <v>45368.708287037036</v>
      </c>
      <c r="C2369" s="2" t="s">
        <v>342</v>
      </c>
      <c r="D2369" s="2" t="s">
        <v>275</v>
      </c>
      <c r="E2369" s="2" t="s">
        <v>369</v>
      </c>
      <c r="F2369" s="2" t="s">
        <v>23</v>
      </c>
      <c r="G2369" s="3">
        <v>775000</v>
      </c>
      <c r="H2369" s="8">
        <v>1</v>
      </c>
      <c r="I2369" s="3">
        <v>581250</v>
      </c>
      <c r="J2369" s="3">
        <v>581250</v>
      </c>
    </row>
    <row r="2370" spans="1:10" x14ac:dyDescent="0.25">
      <c r="A2370" s="2">
        <v>2399</v>
      </c>
      <c r="B2370" s="18">
        <v>45368.708287037036</v>
      </c>
      <c r="C2370" s="2" t="s">
        <v>342</v>
      </c>
      <c r="D2370" s="2" t="s">
        <v>275</v>
      </c>
      <c r="E2370" s="2" t="s">
        <v>369</v>
      </c>
      <c r="F2370" s="2" t="s">
        <v>31</v>
      </c>
      <c r="G2370" s="3">
        <v>745000</v>
      </c>
      <c r="H2370" s="8">
        <v>2</v>
      </c>
      <c r="I2370" s="3">
        <v>1117500</v>
      </c>
      <c r="J2370" s="3">
        <v>1117500</v>
      </c>
    </row>
    <row r="2371" spans="1:10" x14ac:dyDescent="0.25">
      <c r="A2371" s="2">
        <v>2400</v>
      </c>
      <c r="B2371" s="18">
        <v>45368.708287037036</v>
      </c>
      <c r="C2371" s="2" t="s">
        <v>342</v>
      </c>
      <c r="D2371" s="2" t="s">
        <v>275</v>
      </c>
      <c r="E2371" s="2" t="s">
        <v>369</v>
      </c>
      <c r="F2371" s="2" t="s">
        <v>57</v>
      </c>
      <c r="G2371" s="3">
        <v>745000</v>
      </c>
      <c r="H2371" s="8">
        <v>2</v>
      </c>
      <c r="I2371" s="3">
        <v>1117500</v>
      </c>
      <c r="J2371" s="3">
        <v>1117500</v>
      </c>
    </row>
    <row r="2372" spans="1:10" x14ac:dyDescent="0.25">
      <c r="A2372" s="2">
        <v>2401</v>
      </c>
      <c r="B2372" s="18">
        <v>45368.708287037036</v>
      </c>
      <c r="C2372" s="2" t="s">
        <v>342</v>
      </c>
      <c r="D2372" s="2" t="s">
        <v>275</v>
      </c>
      <c r="E2372" s="2" t="s">
        <v>369</v>
      </c>
      <c r="F2372" s="2" t="s">
        <v>41</v>
      </c>
      <c r="G2372" s="3">
        <v>525000</v>
      </c>
      <c r="H2372" s="8">
        <v>5</v>
      </c>
      <c r="I2372" s="3">
        <v>0</v>
      </c>
      <c r="J2372" s="3">
        <v>0</v>
      </c>
    </row>
    <row r="2373" spans="1:10" x14ac:dyDescent="0.25">
      <c r="A2373" s="2">
        <v>2402</v>
      </c>
      <c r="B2373" s="18">
        <v>45368.708287037036</v>
      </c>
      <c r="C2373" s="2" t="s">
        <v>342</v>
      </c>
      <c r="D2373" s="2" t="s">
        <v>275</v>
      </c>
      <c r="E2373" s="2" t="s">
        <v>369</v>
      </c>
      <c r="F2373" s="2" t="s">
        <v>89</v>
      </c>
      <c r="G2373" s="3">
        <v>390000</v>
      </c>
      <c r="H2373" s="8">
        <v>4</v>
      </c>
      <c r="I2373" s="3">
        <v>0</v>
      </c>
      <c r="J2373" s="3">
        <v>0</v>
      </c>
    </row>
    <row r="2374" spans="1:10" x14ac:dyDescent="0.25">
      <c r="A2374" s="2">
        <v>2403</v>
      </c>
      <c r="B2374" s="18">
        <v>45368.708287037036</v>
      </c>
      <c r="C2374" s="2" t="s">
        <v>342</v>
      </c>
      <c r="D2374" s="2" t="s">
        <v>72</v>
      </c>
      <c r="E2374" s="2" t="s">
        <v>364</v>
      </c>
      <c r="F2374" s="2" t="s">
        <v>19</v>
      </c>
      <c r="G2374" s="3">
        <v>590000</v>
      </c>
      <c r="H2374" s="8">
        <v>200</v>
      </c>
      <c r="I2374" s="3">
        <v>70800000</v>
      </c>
      <c r="J2374" s="3">
        <v>70800000</v>
      </c>
    </row>
    <row r="2375" spans="1:10" x14ac:dyDescent="0.25">
      <c r="A2375" s="2">
        <v>2404</v>
      </c>
      <c r="B2375" s="18">
        <v>45368.708287037036</v>
      </c>
      <c r="C2375" s="2" t="s">
        <v>342</v>
      </c>
      <c r="D2375" s="2" t="s">
        <v>72</v>
      </c>
      <c r="E2375" s="2" t="s">
        <v>364</v>
      </c>
      <c r="F2375" s="2" t="s">
        <v>27</v>
      </c>
      <c r="G2375" s="3">
        <v>935000</v>
      </c>
      <c r="H2375" s="8">
        <v>200</v>
      </c>
      <c r="I2375" s="3">
        <v>93500000</v>
      </c>
      <c r="J2375" s="3">
        <v>93500000</v>
      </c>
    </row>
    <row r="2376" spans="1:10" x14ac:dyDescent="0.25">
      <c r="A2376" s="2">
        <v>2405</v>
      </c>
      <c r="B2376" s="18">
        <v>45368.708287037036</v>
      </c>
      <c r="C2376" s="2" t="s">
        <v>342</v>
      </c>
      <c r="D2376" s="2" t="s">
        <v>72</v>
      </c>
      <c r="E2376" s="2" t="s">
        <v>364</v>
      </c>
      <c r="F2376" s="2" t="s">
        <v>41</v>
      </c>
      <c r="G2376" s="3">
        <v>525000</v>
      </c>
      <c r="H2376" s="8">
        <v>300</v>
      </c>
      <c r="I2376" s="3">
        <v>0</v>
      </c>
      <c r="J2376" s="3">
        <v>0</v>
      </c>
    </row>
    <row r="2377" spans="1:10" x14ac:dyDescent="0.25">
      <c r="A2377" s="2">
        <v>2406</v>
      </c>
      <c r="B2377" s="18">
        <v>45370.708287037036</v>
      </c>
      <c r="C2377" s="2" t="s">
        <v>342</v>
      </c>
      <c r="D2377" s="2" t="s">
        <v>72</v>
      </c>
      <c r="E2377" s="2" t="s">
        <v>364</v>
      </c>
      <c r="F2377" s="2" t="s">
        <v>31</v>
      </c>
      <c r="G2377" s="3">
        <v>745000</v>
      </c>
      <c r="H2377" s="8">
        <v>48</v>
      </c>
      <c r="I2377" s="3">
        <v>17279232</v>
      </c>
      <c r="J2377" s="3">
        <v>17279232</v>
      </c>
    </row>
    <row r="2378" spans="1:10" x14ac:dyDescent="0.25">
      <c r="A2378" s="2">
        <v>2407</v>
      </c>
      <c r="B2378" s="18">
        <v>45370.708287037036</v>
      </c>
      <c r="C2378" s="2" t="s">
        <v>342</v>
      </c>
      <c r="D2378" s="2" t="s">
        <v>72</v>
      </c>
      <c r="E2378" s="2" t="s">
        <v>364</v>
      </c>
      <c r="F2378" s="2" t="s">
        <v>57</v>
      </c>
      <c r="G2378" s="3">
        <v>745000</v>
      </c>
      <c r="H2378" s="8">
        <v>48</v>
      </c>
      <c r="I2378" s="3">
        <v>17279232</v>
      </c>
      <c r="J2378" s="3">
        <v>17279232</v>
      </c>
    </row>
    <row r="2379" spans="1:10" x14ac:dyDescent="0.25">
      <c r="A2379" s="2">
        <v>2408</v>
      </c>
      <c r="B2379" s="18">
        <v>45370.708287037036</v>
      </c>
      <c r="C2379" s="2" t="s">
        <v>342</v>
      </c>
      <c r="D2379" s="2" t="s">
        <v>72</v>
      </c>
      <c r="E2379" s="2" t="s">
        <v>364</v>
      </c>
      <c r="F2379" s="2" t="s">
        <v>23</v>
      </c>
      <c r="G2379" s="3">
        <v>775000</v>
      </c>
      <c r="H2379" s="8">
        <v>48</v>
      </c>
      <c r="I2379" s="3">
        <v>17279400</v>
      </c>
      <c r="J2379" s="3">
        <v>17279400</v>
      </c>
    </row>
    <row r="2380" spans="1:10" x14ac:dyDescent="0.25">
      <c r="A2380" s="2">
        <v>2409</v>
      </c>
      <c r="B2380" s="18">
        <v>45370.708287037036</v>
      </c>
      <c r="C2380" s="2" t="s">
        <v>342</v>
      </c>
      <c r="D2380" s="2" t="s">
        <v>72</v>
      </c>
      <c r="E2380" s="2" t="s">
        <v>364</v>
      </c>
      <c r="F2380" s="2" t="s">
        <v>45</v>
      </c>
      <c r="G2380" s="3">
        <v>200000</v>
      </c>
      <c r="H2380" s="8">
        <v>144</v>
      </c>
      <c r="I2380" s="3">
        <v>0</v>
      </c>
      <c r="J2380" s="3">
        <v>0</v>
      </c>
    </row>
    <row r="2381" spans="1:10" x14ac:dyDescent="0.25">
      <c r="A2381" s="2">
        <v>2410</v>
      </c>
      <c r="B2381" s="18">
        <v>45370.708287037036</v>
      </c>
      <c r="C2381" s="2" t="s">
        <v>342</v>
      </c>
      <c r="D2381" s="2" t="s">
        <v>84</v>
      </c>
      <c r="E2381" s="2" t="s">
        <v>369</v>
      </c>
      <c r="F2381" s="2" t="s">
        <v>19</v>
      </c>
      <c r="G2381" s="3">
        <v>590000</v>
      </c>
      <c r="H2381" s="8">
        <v>6</v>
      </c>
      <c r="I2381" s="3">
        <v>2301000</v>
      </c>
      <c r="J2381" s="3">
        <v>2301000</v>
      </c>
    </row>
    <row r="2382" spans="1:10" x14ac:dyDescent="0.25">
      <c r="A2382" s="2">
        <v>2411</v>
      </c>
      <c r="B2382" s="18">
        <v>45370.708287037036</v>
      </c>
      <c r="C2382" s="2" t="s">
        <v>342</v>
      </c>
      <c r="D2382" s="2" t="s">
        <v>84</v>
      </c>
      <c r="E2382" s="2" t="s">
        <v>369</v>
      </c>
      <c r="F2382" s="2" t="s">
        <v>31</v>
      </c>
      <c r="G2382" s="3">
        <v>745000</v>
      </c>
      <c r="H2382" s="8">
        <v>5</v>
      </c>
      <c r="I2382" s="3">
        <v>2421250</v>
      </c>
      <c r="J2382" s="3">
        <v>2421250</v>
      </c>
    </row>
    <row r="2383" spans="1:10" x14ac:dyDescent="0.25">
      <c r="A2383" s="2">
        <v>2412</v>
      </c>
      <c r="B2383" s="18">
        <v>45370.708287037036</v>
      </c>
      <c r="C2383" s="2" t="s">
        <v>342</v>
      </c>
      <c r="D2383" s="2" t="s">
        <v>84</v>
      </c>
      <c r="E2383" s="2" t="s">
        <v>369</v>
      </c>
      <c r="F2383" s="2" t="s">
        <v>57</v>
      </c>
      <c r="G2383" s="3">
        <v>745000</v>
      </c>
      <c r="H2383" s="8">
        <v>5</v>
      </c>
      <c r="I2383" s="3">
        <v>2421250</v>
      </c>
      <c r="J2383" s="3">
        <v>2421250</v>
      </c>
    </row>
    <row r="2384" spans="1:10" x14ac:dyDescent="0.25">
      <c r="A2384" s="2">
        <v>2413</v>
      </c>
      <c r="B2384" s="18">
        <v>45370.708287037036</v>
      </c>
      <c r="C2384" s="2" t="s">
        <v>342</v>
      </c>
      <c r="D2384" s="2" t="s">
        <v>84</v>
      </c>
      <c r="E2384" s="2" t="s">
        <v>369</v>
      </c>
      <c r="F2384" s="2" t="s">
        <v>45</v>
      </c>
      <c r="G2384" s="3">
        <v>200000</v>
      </c>
      <c r="H2384" s="8">
        <v>2</v>
      </c>
      <c r="I2384" s="3">
        <v>0</v>
      </c>
      <c r="J2384" s="3">
        <v>0</v>
      </c>
    </row>
    <row r="2385" spans="1:10" x14ac:dyDescent="0.25">
      <c r="A2385" s="2">
        <v>2414</v>
      </c>
      <c r="B2385" s="18">
        <v>45370.708287037036</v>
      </c>
      <c r="C2385" s="2" t="s">
        <v>342</v>
      </c>
      <c r="D2385" s="2" t="s">
        <v>331</v>
      </c>
      <c r="E2385" s="2" t="s">
        <v>368</v>
      </c>
      <c r="F2385" s="2" t="s">
        <v>19</v>
      </c>
      <c r="G2385" s="3">
        <v>590000</v>
      </c>
      <c r="H2385" s="8">
        <v>50</v>
      </c>
      <c r="I2385" s="3">
        <v>17700000</v>
      </c>
      <c r="J2385" s="3">
        <v>17700000</v>
      </c>
    </row>
    <row r="2386" spans="1:10" x14ac:dyDescent="0.25">
      <c r="A2386" s="2">
        <v>2415</v>
      </c>
      <c r="B2386" s="18">
        <v>45370.708287037036</v>
      </c>
      <c r="C2386" s="2" t="s">
        <v>342</v>
      </c>
      <c r="D2386" s="2" t="s">
        <v>331</v>
      </c>
      <c r="E2386" s="2" t="s">
        <v>368</v>
      </c>
      <c r="F2386" s="2" t="s">
        <v>41</v>
      </c>
      <c r="G2386" s="3">
        <v>525000</v>
      </c>
      <c r="H2386" s="8">
        <v>50</v>
      </c>
      <c r="I2386" s="3">
        <v>0</v>
      </c>
      <c r="J2386" s="3">
        <v>0</v>
      </c>
    </row>
    <row r="2387" spans="1:10" x14ac:dyDescent="0.25">
      <c r="A2387" s="2">
        <v>2416</v>
      </c>
      <c r="B2387" s="18">
        <v>45371.708287037036</v>
      </c>
      <c r="C2387" s="2" t="s">
        <v>342</v>
      </c>
      <c r="D2387" s="2" t="s">
        <v>106</v>
      </c>
      <c r="E2387" s="2" t="s">
        <v>367</v>
      </c>
      <c r="F2387" s="2" t="s">
        <v>61</v>
      </c>
      <c r="G2387" s="3">
        <v>890000</v>
      </c>
      <c r="H2387" s="8">
        <v>5</v>
      </c>
      <c r="I2387" s="3">
        <v>2670000</v>
      </c>
      <c r="J2387" s="3">
        <v>2670000</v>
      </c>
    </row>
    <row r="2388" spans="1:10" x14ac:dyDescent="0.25">
      <c r="A2388" s="2">
        <v>2417</v>
      </c>
      <c r="B2388" s="18">
        <v>45372.708287037036</v>
      </c>
      <c r="C2388" s="2" t="s">
        <v>342</v>
      </c>
      <c r="D2388" s="2" t="s">
        <v>26</v>
      </c>
      <c r="E2388" s="2" t="s">
        <v>366</v>
      </c>
      <c r="F2388" s="2" t="s">
        <v>19</v>
      </c>
      <c r="G2388" s="3">
        <v>590000</v>
      </c>
      <c r="H2388" s="8">
        <v>3</v>
      </c>
      <c r="I2388" s="3">
        <v>1327500</v>
      </c>
      <c r="J2388" s="3">
        <v>1327500</v>
      </c>
    </row>
    <row r="2389" spans="1:10" x14ac:dyDescent="0.25">
      <c r="A2389" s="2">
        <v>2418</v>
      </c>
      <c r="B2389" s="18">
        <v>45372.708287037036</v>
      </c>
      <c r="C2389" s="2" t="s">
        <v>342</v>
      </c>
      <c r="D2389" s="2" t="s">
        <v>26</v>
      </c>
      <c r="E2389" s="2" t="s">
        <v>366</v>
      </c>
      <c r="F2389" s="2" t="s">
        <v>27</v>
      </c>
      <c r="G2389" s="3">
        <v>935000</v>
      </c>
      <c r="H2389" s="8">
        <v>1</v>
      </c>
      <c r="I2389" s="3">
        <v>701250</v>
      </c>
      <c r="J2389" s="3">
        <v>701250</v>
      </c>
    </row>
    <row r="2390" spans="1:10" x14ac:dyDescent="0.25">
      <c r="A2390" s="2">
        <v>2419</v>
      </c>
      <c r="B2390" s="18">
        <v>45372.708287037036</v>
      </c>
      <c r="C2390" s="2" t="s">
        <v>342</v>
      </c>
      <c r="D2390" s="2" t="s">
        <v>26</v>
      </c>
      <c r="E2390" s="2" t="s">
        <v>366</v>
      </c>
      <c r="F2390" s="2" t="s">
        <v>41</v>
      </c>
      <c r="G2390" s="3">
        <v>525000</v>
      </c>
      <c r="H2390" s="8">
        <v>4</v>
      </c>
      <c r="I2390" s="3">
        <v>0</v>
      </c>
      <c r="J2390" s="3">
        <v>0</v>
      </c>
    </row>
    <row r="2391" spans="1:10" x14ac:dyDescent="0.25">
      <c r="A2391" s="2">
        <v>2420</v>
      </c>
      <c r="B2391" s="18">
        <v>45375.708287037036</v>
      </c>
      <c r="C2391" s="2" t="s">
        <v>342</v>
      </c>
      <c r="D2391" s="2" t="s">
        <v>289</v>
      </c>
      <c r="E2391" s="2" t="s">
        <v>369</v>
      </c>
      <c r="F2391" s="2" t="s">
        <v>19</v>
      </c>
      <c r="G2391" s="3">
        <v>590000</v>
      </c>
      <c r="H2391" s="8">
        <v>5</v>
      </c>
      <c r="I2391" s="3">
        <v>1770000</v>
      </c>
      <c r="J2391" s="3">
        <v>1770000</v>
      </c>
    </row>
    <row r="2392" spans="1:10" x14ac:dyDescent="0.25">
      <c r="A2392" s="2">
        <v>2421</v>
      </c>
      <c r="B2392" s="18">
        <v>45375.708287037036</v>
      </c>
      <c r="C2392" s="2" t="s">
        <v>342</v>
      </c>
      <c r="D2392" s="2" t="s">
        <v>289</v>
      </c>
      <c r="E2392" s="2" t="s">
        <v>369</v>
      </c>
      <c r="F2392" s="2" t="s">
        <v>31</v>
      </c>
      <c r="G2392" s="3">
        <v>745000</v>
      </c>
      <c r="H2392" s="8">
        <v>3</v>
      </c>
      <c r="I2392" s="3">
        <v>1341000</v>
      </c>
      <c r="J2392" s="3">
        <v>1341000</v>
      </c>
    </row>
    <row r="2393" spans="1:10" x14ac:dyDescent="0.25">
      <c r="A2393" s="2">
        <v>2422</v>
      </c>
      <c r="B2393" s="18">
        <v>45375.708287037036</v>
      </c>
      <c r="C2393" s="2" t="s">
        <v>342</v>
      </c>
      <c r="D2393" s="2" t="s">
        <v>289</v>
      </c>
      <c r="E2393" s="2" t="s">
        <v>369</v>
      </c>
      <c r="F2393" s="2" t="s">
        <v>57</v>
      </c>
      <c r="G2393" s="3">
        <v>745000</v>
      </c>
      <c r="H2393" s="8">
        <v>3</v>
      </c>
      <c r="I2393" s="3">
        <v>1341000</v>
      </c>
      <c r="J2393" s="3">
        <v>1341000</v>
      </c>
    </row>
    <row r="2394" spans="1:10" x14ac:dyDescent="0.25">
      <c r="A2394" s="2">
        <v>2423</v>
      </c>
      <c r="B2394" s="18">
        <v>45375.708287037036</v>
      </c>
      <c r="C2394" s="2" t="s">
        <v>342</v>
      </c>
      <c r="D2394" s="2" t="s">
        <v>289</v>
      </c>
      <c r="E2394" s="2" t="s">
        <v>369</v>
      </c>
      <c r="F2394" s="2" t="s">
        <v>39</v>
      </c>
      <c r="G2394" s="3">
        <v>525000</v>
      </c>
      <c r="H2394" s="8">
        <v>3</v>
      </c>
      <c r="I2394" s="3">
        <v>945000</v>
      </c>
      <c r="J2394" s="3">
        <v>945000</v>
      </c>
    </row>
    <row r="2395" spans="1:10" x14ac:dyDescent="0.25">
      <c r="A2395" s="2">
        <v>2424</v>
      </c>
      <c r="B2395" s="18">
        <v>45375.708287037036</v>
      </c>
      <c r="C2395" s="2" t="s">
        <v>342</v>
      </c>
      <c r="D2395" s="2" t="s">
        <v>289</v>
      </c>
      <c r="E2395" s="2" t="s">
        <v>369</v>
      </c>
      <c r="F2395" s="2" t="s">
        <v>27</v>
      </c>
      <c r="G2395" s="3">
        <v>935000</v>
      </c>
      <c r="H2395" s="8">
        <v>2</v>
      </c>
      <c r="I2395" s="3">
        <v>1122000</v>
      </c>
      <c r="J2395" s="3">
        <v>1122000</v>
      </c>
    </row>
    <row r="2396" spans="1:10" x14ac:dyDescent="0.25">
      <c r="A2396" s="2">
        <v>2425</v>
      </c>
      <c r="B2396" s="18">
        <v>45375.708287037036</v>
      </c>
      <c r="C2396" s="2" t="s">
        <v>342</v>
      </c>
      <c r="D2396" s="2" t="s">
        <v>289</v>
      </c>
      <c r="E2396" s="2" t="s">
        <v>369</v>
      </c>
      <c r="F2396" s="2" t="s">
        <v>45</v>
      </c>
      <c r="G2396" s="3">
        <v>200000</v>
      </c>
      <c r="H2396" s="8">
        <v>6</v>
      </c>
      <c r="I2396" s="3">
        <v>0</v>
      </c>
      <c r="J2396" s="3">
        <v>0</v>
      </c>
    </row>
    <row r="2397" spans="1:10" x14ac:dyDescent="0.25">
      <c r="A2397" s="2">
        <v>2426</v>
      </c>
      <c r="B2397" s="18">
        <v>45376.708287037036</v>
      </c>
      <c r="C2397" s="2" t="s">
        <v>342</v>
      </c>
      <c r="D2397" s="2" t="s">
        <v>72</v>
      </c>
      <c r="E2397" s="2" t="s">
        <v>364</v>
      </c>
      <c r="F2397" s="2" t="s">
        <v>57</v>
      </c>
      <c r="G2397" s="3">
        <v>745000</v>
      </c>
      <c r="H2397" s="8">
        <v>96</v>
      </c>
      <c r="I2397" s="3">
        <v>34559965.92</v>
      </c>
      <c r="J2397" s="3">
        <v>34559965.92</v>
      </c>
    </row>
    <row r="2398" spans="1:10" x14ac:dyDescent="0.25">
      <c r="A2398" s="2">
        <v>2427</v>
      </c>
      <c r="B2398" s="18">
        <v>45376.708287037036</v>
      </c>
      <c r="C2398" s="2" t="s">
        <v>342</v>
      </c>
      <c r="D2398" s="2" t="s">
        <v>72</v>
      </c>
      <c r="E2398" s="2" t="s">
        <v>364</v>
      </c>
      <c r="F2398" s="2" t="s">
        <v>31</v>
      </c>
      <c r="G2398" s="3">
        <v>745000</v>
      </c>
      <c r="H2398" s="8">
        <v>96</v>
      </c>
      <c r="I2398" s="3">
        <v>34559965.92</v>
      </c>
      <c r="J2398" s="3">
        <v>34559965.92</v>
      </c>
    </row>
    <row r="2399" spans="1:10" x14ac:dyDescent="0.25">
      <c r="A2399" s="2">
        <v>2428</v>
      </c>
      <c r="B2399" s="18">
        <v>45376.708287037036</v>
      </c>
      <c r="C2399" s="2" t="s">
        <v>342</v>
      </c>
      <c r="D2399" s="2" t="s">
        <v>72</v>
      </c>
      <c r="E2399" s="2" t="s">
        <v>364</v>
      </c>
      <c r="F2399" s="2" t="s">
        <v>31</v>
      </c>
      <c r="G2399" s="3">
        <v>745000</v>
      </c>
      <c r="H2399" s="8">
        <v>1</v>
      </c>
      <c r="I2399" s="3">
        <v>0</v>
      </c>
      <c r="J2399" s="3">
        <v>0</v>
      </c>
    </row>
    <row r="2400" spans="1:10" x14ac:dyDescent="0.25">
      <c r="A2400" s="2">
        <v>2429</v>
      </c>
      <c r="B2400" s="18">
        <v>45376.708287037036</v>
      </c>
      <c r="C2400" s="2" t="s">
        <v>342</v>
      </c>
      <c r="D2400" s="2" t="s">
        <v>72</v>
      </c>
      <c r="E2400" s="2" t="s">
        <v>364</v>
      </c>
      <c r="F2400" s="2" t="s">
        <v>45</v>
      </c>
      <c r="G2400" s="3">
        <v>200000</v>
      </c>
      <c r="H2400" s="8">
        <v>192</v>
      </c>
      <c r="I2400" s="3">
        <v>0</v>
      </c>
      <c r="J2400" s="3">
        <v>0</v>
      </c>
    </row>
    <row r="2401" spans="1:10" x14ac:dyDescent="0.25">
      <c r="A2401" s="2">
        <v>2430</v>
      </c>
      <c r="B2401" s="18">
        <v>45376.708287037036</v>
      </c>
      <c r="C2401" s="2" t="s">
        <v>342</v>
      </c>
      <c r="D2401" s="2" t="s">
        <v>131</v>
      </c>
      <c r="E2401" s="2" t="s">
        <v>367</v>
      </c>
      <c r="F2401" s="2" t="s">
        <v>23</v>
      </c>
      <c r="G2401" s="3">
        <v>775000</v>
      </c>
      <c r="H2401" s="8">
        <v>1</v>
      </c>
      <c r="I2401" s="3">
        <v>775000</v>
      </c>
      <c r="J2401" s="3">
        <v>775000</v>
      </c>
    </row>
    <row r="2402" spans="1:10" x14ac:dyDescent="0.25">
      <c r="A2402" s="2">
        <v>2431</v>
      </c>
      <c r="B2402" s="18">
        <v>45377.708287037036</v>
      </c>
      <c r="C2402" s="2" t="s">
        <v>342</v>
      </c>
      <c r="D2402" s="2" t="s">
        <v>130</v>
      </c>
      <c r="E2402" s="2" t="s">
        <v>365</v>
      </c>
      <c r="F2402" s="2" t="s">
        <v>21</v>
      </c>
      <c r="G2402" s="3">
        <v>890000</v>
      </c>
      <c r="H2402" s="8">
        <v>1</v>
      </c>
      <c r="I2402" s="3">
        <v>783200</v>
      </c>
      <c r="J2402" s="3">
        <v>783200</v>
      </c>
    </row>
    <row r="2403" spans="1:10" x14ac:dyDescent="0.25">
      <c r="A2403" s="2">
        <v>2432</v>
      </c>
      <c r="B2403" s="18">
        <v>45377.708287037036</v>
      </c>
      <c r="C2403" s="2" t="s">
        <v>342</v>
      </c>
      <c r="D2403" s="2" t="s">
        <v>130</v>
      </c>
      <c r="E2403" s="2" t="s">
        <v>365</v>
      </c>
      <c r="F2403" s="2" t="s">
        <v>29</v>
      </c>
      <c r="G2403" s="3">
        <v>590000</v>
      </c>
      <c r="H2403" s="8">
        <v>1</v>
      </c>
      <c r="I2403" s="3">
        <v>0</v>
      </c>
      <c r="J2403" s="3">
        <v>0</v>
      </c>
    </row>
    <row r="2404" spans="1:10" x14ac:dyDescent="0.25">
      <c r="A2404" s="2">
        <v>2433</v>
      </c>
      <c r="B2404" s="18">
        <v>45378.708287037036</v>
      </c>
      <c r="C2404" s="2" t="s">
        <v>342</v>
      </c>
      <c r="D2404" s="2" t="s">
        <v>276</v>
      </c>
      <c r="E2404" s="2" t="s">
        <v>369</v>
      </c>
      <c r="F2404" s="2" t="s">
        <v>61</v>
      </c>
      <c r="G2404" s="3">
        <v>890000</v>
      </c>
      <c r="H2404" s="8">
        <v>3</v>
      </c>
      <c r="I2404" s="3">
        <v>1869000</v>
      </c>
      <c r="J2404" s="3">
        <v>1869000</v>
      </c>
    </row>
    <row r="2405" spans="1:10" x14ac:dyDescent="0.25">
      <c r="A2405" s="2">
        <v>2434</v>
      </c>
      <c r="B2405" s="18">
        <v>45379.708287037036</v>
      </c>
      <c r="C2405" s="2" t="s">
        <v>342</v>
      </c>
      <c r="D2405" s="2" t="s">
        <v>281</v>
      </c>
      <c r="E2405" s="2" t="s">
        <v>369</v>
      </c>
      <c r="F2405" s="2" t="s">
        <v>23</v>
      </c>
      <c r="G2405" s="3">
        <v>775000</v>
      </c>
      <c r="H2405" s="8">
        <v>3</v>
      </c>
      <c r="I2405" s="3">
        <v>1395000</v>
      </c>
      <c r="J2405" s="3">
        <v>1395000</v>
      </c>
    </row>
    <row r="2406" spans="1:10" x14ac:dyDescent="0.25">
      <c r="A2406" s="2">
        <v>2435</v>
      </c>
      <c r="B2406" s="18">
        <v>45379.708287037036</v>
      </c>
      <c r="C2406" s="2" t="s">
        <v>342</v>
      </c>
      <c r="D2406" s="2" t="s">
        <v>281</v>
      </c>
      <c r="E2406" s="2" t="s">
        <v>369</v>
      </c>
      <c r="F2406" s="2" t="s">
        <v>45</v>
      </c>
      <c r="G2406" s="3">
        <v>200000</v>
      </c>
      <c r="H2406" s="8">
        <v>3</v>
      </c>
      <c r="I2406" s="3">
        <v>0</v>
      </c>
      <c r="J2406" s="3">
        <v>0</v>
      </c>
    </row>
    <row r="2407" spans="1:10" x14ac:dyDescent="0.25">
      <c r="A2407" s="2">
        <v>2436</v>
      </c>
      <c r="B2407" s="18">
        <v>45381.708287037036</v>
      </c>
      <c r="C2407" s="2" t="s">
        <v>342</v>
      </c>
      <c r="D2407" s="2" t="s">
        <v>311</v>
      </c>
      <c r="E2407" s="2" t="s">
        <v>369</v>
      </c>
      <c r="F2407" s="2" t="s">
        <v>27</v>
      </c>
      <c r="G2407" s="3">
        <v>935000</v>
      </c>
      <c r="H2407" s="8">
        <v>2</v>
      </c>
      <c r="I2407" s="3">
        <v>1309000</v>
      </c>
      <c r="J2407" s="3">
        <v>1309000</v>
      </c>
    </row>
    <row r="2408" spans="1:10" x14ac:dyDescent="0.25">
      <c r="A2408" s="2">
        <v>2437</v>
      </c>
      <c r="B2408" s="18">
        <v>45381.708287037036</v>
      </c>
      <c r="C2408" s="2" t="s">
        <v>342</v>
      </c>
      <c r="D2408" s="2" t="s">
        <v>311</v>
      </c>
      <c r="E2408" s="2" t="s">
        <v>369</v>
      </c>
      <c r="F2408" s="2" t="s">
        <v>29</v>
      </c>
      <c r="G2408" s="3">
        <v>590000</v>
      </c>
      <c r="H2408" s="8">
        <v>5</v>
      </c>
      <c r="I2408" s="3">
        <v>2065000</v>
      </c>
      <c r="J2408" s="3">
        <v>2065000</v>
      </c>
    </row>
    <row r="2409" spans="1:10" x14ac:dyDescent="0.25">
      <c r="A2409" s="2">
        <v>2438</v>
      </c>
      <c r="B2409" s="18">
        <v>45381.708287037036</v>
      </c>
      <c r="C2409" s="2" t="s">
        <v>342</v>
      </c>
      <c r="D2409" s="2" t="s">
        <v>311</v>
      </c>
      <c r="E2409" s="2" t="s">
        <v>369</v>
      </c>
      <c r="F2409" s="2" t="s">
        <v>31</v>
      </c>
      <c r="G2409" s="3">
        <v>745000</v>
      </c>
      <c r="H2409" s="8">
        <v>2</v>
      </c>
      <c r="I2409" s="3">
        <v>1043000</v>
      </c>
      <c r="J2409" s="3">
        <v>1043000</v>
      </c>
    </row>
    <row r="2410" spans="1:10" x14ac:dyDescent="0.25">
      <c r="A2410" s="2">
        <v>2439</v>
      </c>
      <c r="B2410" s="18">
        <v>45381.708287037036</v>
      </c>
      <c r="C2410" s="2" t="s">
        <v>342</v>
      </c>
      <c r="D2410" s="2" t="s">
        <v>311</v>
      </c>
      <c r="E2410" s="2" t="s">
        <v>369</v>
      </c>
      <c r="F2410" s="2" t="s">
        <v>45</v>
      </c>
      <c r="G2410" s="3">
        <v>200000</v>
      </c>
      <c r="H2410" s="8">
        <v>9</v>
      </c>
      <c r="I2410" s="3">
        <v>0</v>
      </c>
      <c r="J2410" s="3">
        <v>0</v>
      </c>
    </row>
    <row r="2411" spans="1:10" x14ac:dyDescent="0.25">
      <c r="A2411" s="2">
        <v>2440</v>
      </c>
      <c r="B2411" s="18">
        <v>45294.708287037036</v>
      </c>
      <c r="C2411" s="2" t="s">
        <v>340</v>
      </c>
      <c r="D2411" s="2" t="s">
        <v>64</v>
      </c>
      <c r="E2411" s="2" t="s">
        <v>369</v>
      </c>
      <c r="F2411" s="2" t="s">
        <v>19</v>
      </c>
      <c r="G2411" s="3">
        <v>590000</v>
      </c>
      <c r="H2411" s="8">
        <v>32</v>
      </c>
      <c r="I2411" s="3">
        <v>13216000</v>
      </c>
      <c r="J2411" s="3">
        <v>13216000</v>
      </c>
    </row>
    <row r="2412" spans="1:10" x14ac:dyDescent="0.25">
      <c r="A2412" s="2">
        <v>2441</v>
      </c>
      <c r="B2412" s="18">
        <v>45294.708287037036</v>
      </c>
      <c r="C2412" s="2" t="s">
        <v>340</v>
      </c>
      <c r="D2412" s="2" t="s">
        <v>64</v>
      </c>
      <c r="E2412" s="2" t="s">
        <v>369</v>
      </c>
      <c r="F2412" s="2" t="s">
        <v>29</v>
      </c>
      <c r="G2412" s="3">
        <v>590000</v>
      </c>
      <c r="H2412" s="8">
        <v>20</v>
      </c>
      <c r="I2412" s="3">
        <v>7080000</v>
      </c>
      <c r="J2412" s="3">
        <v>7080000</v>
      </c>
    </row>
    <row r="2413" spans="1:10" x14ac:dyDescent="0.25">
      <c r="A2413" s="2">
        <v>2442</v>
      </c>
      <c r="B2413" s="18">
        <v>45294.708287037036</v>
      </c>
      <c r="C2413" s="2" t="s">
        <v>340</v>
      </c>
      <c r="D2413" s="2" t="s">
        <v>64</v>
      </c>
      <c r="E2413" s="2" t="s">
        <v>369</v>
      </c>
      <c r="F2413" s="2" t="s">
        <v>89</v>
      </c>
      <c r="G2413" s="3">
        <v>390000</v>
      </c>
      <c r="H2413" s="8">
        <v>36</v>
      </c>
      <c r="I2413" s="3">
        <v>0</v>
      </c>
      <c r="J2413" s="3">
        <v>0</v>
      </c>
    </row>
    <row r="2414" spans="1:10" x14ac:dyDescent="0.25">
      <c r="A2414" s="2">
        <v>2443</v>
      </c>
      <c r="B2414" s="18">
        <v>45297.708287037036</v>
      </c>
      <c r="C2414" s="2" t="s">
        <v>340</v>
      </c>
      <c r="D2414" s="2" t="s">
        <v>113</v>
      </c>
      <c r="E2414" s="2" t="s">
        <v>370</v>
      </c>
      <c r="F2414" s="2" t="s">
        <v>29</v>
      </c>
      <c r="G2414" s="3">
        <v>590000</v>
      </c>
      <c r="H2414" s="8">
        <v>3</v>
      </c>
      <c r="I2414" s="3">
        <v>1274400</v>
      </c>
      <c r="J2414" s="3">
        <v>1274400</v>
      </c>
    </row>
    <row r="2415" spans="1:10" x14ac:dyDescent="0.25">
      <c r="A2415" s="2">
        <v>2444</v>
      </c>
      <c r="B2415" s="18">
        <v>45297.708287037036</v>
      </c>
      <c r="C2415" s="2" t="s">
        <v>340</v>
      </c>
      <c r="D2415" s="2" t="s">
        <v>113</v>
      </c>
      <c r="E2415" s="2" t="s">
        <v>370</v>
      </c>
      <c r="F2415" s="2" t="s">
        <v>19</v>
      </c>
      <c r="G2415" s="3">
        <v>590000</v>
      </c>
      <c r="H2415" s="8">
        <v>3</v>
      </c>
      <c r="I2415" s="3">
        <v>1274400</v>
      </c>
      <c r="J2415" s="3">
        <v>1274400</v>
      </c>
    </row>
    <row r="2416" spans="1:10" x14ac:dyDescent="0.25">
      <c r="A2416" s="2">
        <v>2445</v>
      </c>
      <c r="B2416" s="18">
        <v>45297.708287037036</v>
      </c>
      <c r="C2416" s="2" t="s">
        <v>340</v>
      </c>
      <c r="D2416" s="2" t="s">
        <v>120</v>
      </c>
      <c r="E2416" s="2" t="s">
        <v>370</v>
      </c>
      <c r="F2416" s="2" t="s">
        <v>29</v>
      </c>
      <c r="G2416" s="3">
        <v>590000</v>
      </c>
      <c r="H2416" s="8">
        <v>3</v>
      </c>
      <c r="I2416" s="3">
        <v>1274400</v>
      </c>
      <c r="J2416" s="3">
        <v>1274400</v>
      </c>
    </row>
    <row r="2417" spans="1:10" x14ac:dyDescent="0.25">
      <c r="A2417" s="2">
        <v>2446</v>
      </c>
      <c r="B2417" s="18">
        <v>45300.708287037036</v>
      </c>
      <c r="C2417" s="2" t="s">
        <v>340</v>
      </c>
      <c r="D2417" s="2" t="s">
        <v>115</v>
      </c>
      <c r="E2417" s="2" t="s">
        <v>370</v>
      </c>
      <c r="F2417" s="2" t="s">
        <v>19</v>
      </c>
      <c r="G2417" s="3">
        <v>590000</v>
      </c>
      <c r="H2417" s="8">
        <v>3</v>
      </c>
      <c r="I2417" s="3">
        <v>1274400</v>
      </c>
      <c r="J2417" s="3">
        <v>1274400</v>
      </c>
    </row>
    <row r="2418" spans="1:10" x14ac:dyDescent="0.25">
      <c r="A2418" s="2">
        <v>2447</v>
      </c>
      <c r="B2418" s="18">
        <v>45300.708287037036</v>
      </c>
      <c r="C2418" s="2" t="s">
        <v>340</v>
      </c>
      <c r="D2418" s="2" t="s">
        <v>115</v>
      </c>
      <c r="E2418" s="2" t="s">
        <v>370</v>
      </c>
      <c r="F2418" s="2" t="s">
        <v>29</v>
      </c>
      <c r="G2418" s="3">
        <v>590000</v>
      </c>
      <c r="H2418" s="8">
        <v>3</v>
      </c>
      <c r="I2418" s="3">
        <v>1274400</v>
      </c>
      <c r="J2418" s="3">
        <v>1274400</v>
      </c>
    </row>
    <row r="2419" spans="1:10" x14ac:dyDescent="0.25">
      <c r="A2419" s="2">
        <v>2448</v>
      </c>
      <c r="B2419" s="18">
        <v>45301.708287037036</v>
      </c>
      <c r="C2419" s="2" t="s">
        <v>340</v>
      </c>
      <c r="D2419" s="2" t="s">
        <v>10</v>
      </c>
      <c r="E2419" s="2" t="s">
        <v>363</v>
      </c>
      <c r="F2419" s="2" t="s">
        <v>29</v>
      </c>
      <c r="G2419" s="3">
        <v>590000</v>
      </c>
      <c r="H2419" s="8">
        <v>28</v>
      </c>
      <c r="I2419" s="3">
        <v>9072784</v>
      </c>
      <c r="J2419" s="3">
        <v>9072784</v>
      </c>
    </row>
    <row r="2420" spans="1:10" x14ac:dyDescent="0.25">
      <c r="A2420" s="2">
        <v>2449</v>
      </c>
      <c r="B2420" s="18">
        <v>45301.708287037036</v>
      </c>
      <c r="C2420" s="2" t="s">
        <v>340</v>
      </c>
      <c r="D2420" s="2" t="s">
        <v>10</v>
      </c>
      <c r="E2420" s="2" t="s">
        <v>363</v>
      </c>
      <c r="F2420" s="2" t="s">
        <v>35</v>
      </c>
      <c r="G2420" s="3">
        <v>525000</v>
      </c>
      <c r="H2420" s="8">
        <v>40</v>
      </c>
      <c r="I2420" s="3">
        <v>0</v>
      </c>
      <c r="J2420" s="3">
        <v>0</v>
      </c>
    </row>
    <row r="2421" spans="1:10" x14ac:dyDescent="0.25">
      <c r="A2421" s="2">
        <v>2450</v>
      </c>
      <c r="B2421" s="18">
        <v>45305.708287037036</v>
      </c>
      <c r="C2421" s="2" t="s">
        <v>340</v>
      </c>
      <c r="D2421" s="2" t="s">
        <v>20</v>
      </c>
      <c r="E2421" s="2" t="s">
        <v>370</v>
      </c>
      <c r="F2421" s="2" t="s">
        <v>19</v>
      </c>
      <c r="G2421" s="3">
        <v>590000</v>
      </c>
      <c r="H2421" s="8">
        <v>2</v>
      </c>
      <c r="I2421" s="3">
        <v>849600</v>
      </c>
      <c r="J2421" s="3">
        <v>849600</v>
      </c>
    </row>
    <row r="2422" spans="1:10" x14ac:dyDescent="0.25">
      <c r="A2422" s="2">
        <v>2451</v>
      </c>
      <c r="B2422" s="18">
        <v>45305.708287037036</v>
      </c>
      <c r="C2422" s="2" t="s">
        <v>340</v>
      </c>
      <c r="D2422" s="2" t="s">
        <v>20</v>
      </c>
      <c r="E2422" s="2" t="s">
        <v>370</v>
      </c>
      <c r="F2422" s="2" t="s">
        <v>29</v>
      </c>
      <c r="G2422" s="3">
        <v>590000</v>
      </c>
      <c r="H2422" s="8">
        <v>2</v>
      </c>
      <c r="I2422" s="3">
        <v>849600</v>
      </c>
      <c r="J2422" s="3">
        <v>849600</v>
      </c>
    </row>
    <row r="2423" spans="1:10" x14ac:dyDescent="0.25">
      <c r="A2423" s="2">
        <v>2452</v>
      </c>
      <c r="B2423" s="18">
        <v>45305.708287037036</v>
      </c>
      <c r="C2423" s="2" t="s">
        <v>340</v>
      </c>
      <c r="D2423" s="2" t="s">
        <v>117</v>
      </c>
      <c r="E2423" s="2" t="s">
        <v>370</v>
      </c>
      <c r="F2423" s="2" t="s">
        <v>19</v>
      </c>
      <c r="G2423" s="3">
        <v>590000</v>
      </c>
      <c r="H2423" s="8">
        <v>3</v>
      </c>
      <c r="I2423" s="3">
        <v>1274400</v>
      </c>
      <c r="J2423" s="3">
        <v>1274400</v>
      </c>
    </row>
    <row r="2424" spans="1:10" x14ac:dyDescent="0.25">
      <c r="A2424" s="2">
        <v>2453</v>
      </c>
      <c r="B2424" s="18">
        <v>45305.708287037036</v>
      </c>
      <c r="C2424" s="2" t="s">
        <v>340</v>
      </c>
      <c r="D2424" s="2" t="s">
        <v>117</v>
      </c>
      <c r="E2424" s="2" t="s">
        <v>370</v>
      </c>
      <c r="F2424" s="2" t="s">
        <v>29</v>
      </c>
      <c r="G2424" s="3">
        <v>590000</v>
      </c>
      <c r="H2424" s="8">
        <v>4</v>
      </c>
      <c r="I2424" s="3">
        <v>1699200</v>
      </c>
      <c r="J2424" s="3">
        <v>1699200</v>
      </c>
    </row>
    <row r="2425" spans="1:10" x14ac:dyDescent="0.25">
      <c r="A2425" s="2">
        <v>2454</v>
      </c>
      <c r="B2425" s="18">
        <v>45305.708287037036</v>
      </c>
      <c r="C2425" s="2" t="s">
        <v>340</v>
      </c>
      <c r="D2425" s="2" t="s">
        <v>84</v>
      </c>
      <c r="E2425" s="2" t="s">
        <v>369</v>
      </c>
      <c r="F2425" s="2" t="s">
        <v>29</v>
      </c>
      <c r="G2425" s="3">
        <v>590000</v>
      </c>
      <c r="H2425" s="8">
        <v>12</v>
      </c>
      <c r="I2425" s="3">
        <v>5310000</v>
      </c>
      <c r="J2425" s="3">
        <v>5310000</v>
      </c>
    </row>
    <row r="2426" spans="1:10" x14ac:dyDescent="0.25">
      <c r="A2426" s="2">
        <v>2455</v>
      </c>
      <c r="B2426" s="18">
        <v>45305.708287037036</v>
      </c>
      <c r="C2426" s="2" t="s">
        <v>340</v>
      </c>
      <c r="D2426" s="2" t="s">
        <v>84</v>
      </c>
      <c r="E2426" s="2" t="s">
        <v>369</v>
      </c>
      <c r="F2426" s="2" t="s">
        <v>29</v>
      </c>
      <c r="G2426" s="3">
        <v>590000</v>
      </c>
      <c r="H2426" s="8">
        <v>4</v>
      </c>
      <c r="I2426" s="3">
        <v>0</v>
      </c>
      <c r="J2426" s="3">
        <v>0</v>
      </c>
    </row>
    <row r="2427" spans="1:10" x14ac:dyDescent="0.25">
      <c r="A2427" s="2">
        <v>2456</v>
      </c>
      <c r="B2427" s="18">
        <v>45307.708287037036</v>
      </c>
      <c r="C2427" s="2" t="s">
        <v>340</v>
      </c>
      <c r="D2427" s="2" t="s">
        <v>425</v>
      </c>
      <c r="E2427" s="2" t="s">
        <v>367</v>
      </c>
      <c r="F2427" s="2" t="s">
        <v>17</v>
      </c>
      <c r="G2427" s="3">
        <v>1250000</v>
      </c>
      <c r="H2427" s="8">
        <v>5</v>
      </c>
      <c r="I2427" s="3">
        <v>3125000</v>
      </c>
      <c r="J2427" s="3">
        <v>3125000</v>
      </c>
    </row>
    <row r="2428" spans="1:10" x14ac:dyDescent="0.25">
      <c r="A2428" s="2">
        <v>2457</v>
      </c>
      <c r="B2428" s="18">
        <v>45307.708287037036</v>
      </c>
      <c r="C2428" s="2" t="s">
        <v>340</v>
      </c>
      <c r="D2428" s="2" t="s">
        <v>425</v>
      </c>
      <c r="E2428" s="2" t="s">
        <v>367</v>
      </c>
      <c r="F2428" s="2" t="s">
        <v>21</v>
      </c>
      <c r="G2428" s="3">
        <v>890000</v>
      </c>
      <c r="H2428" s="8">
        <v>1</v>
      </c>
      <c r="I2428" s="3">
        <v>445000</v>
      </c>
      <c r="J2428" s="3">
        <v>445000</v>
      </c>
    </row>
    <row r="2429" spans="1:10" x14ac:dyDescent="0.25">
      <c r="A2429" s="2">
        <v>2458</v>
      </c>
      <c r="B2429" s="18">
        <v>45307.708287037036</v>
      </c>
      <c r="C2429" s="2" t="s">
        <v>340</v>
      </c>
      <c r="D2429" s="2" t="s">
        <v>276</v>
      </c>
      <c r="E2429" s="2" t="s">
        <v>369</v>
      </c>
      <c r="F2429" s="2" t="s">
        <v>61</v>
      </c>
      <c r="G2429" s="3">
        <v>890000</v>
      </c>
      <c r="H2429" s="8">
        <v>3</v>
      </c>
      <c r="I2429" s="3">
        <v>1869000</v>
      </c>
      <c r="J2429" s="3">
        <v>1869000</v>
      </c>
    </row>
    <row r="2430" spans="1:10" x14ac:dyDescent="0.25">
      <c r="A2430" s="2">
        <v>2459</v>
      </c>
      <c r="B2430" s="18">
        <v>45312.708287037036</v>
      </c>
      <c r="C2430" s="2" t="s">
        <v>340</v>
      </c>
      <c r="D2430" s="2" t="s">
        <v>286</v>
      </c>
      <c r="E2430" s="2" t="s">
        <v>369</v>
      </c>
      <c r="F2430" s="2" t="s">
        <v>29</v>
      </c>
      <c r="G2430" s="3">
        <v>590000</v>
      </c>
      <c r="H2430" s="8">
        <v>10</v>
      </c>
      <c r="I2430" s="3">
        <v>3835000</v>
      </c>
      <c r="J2430" s="3">
        <v>3835000</v>
      </c>
    </row>
    <row r="2431" spans="1:10" x14ac:dyDescent="0.25">
      <c r="A2431" s="2">
        <v>2460</v>
      </c>
      <c r="B2431" s="18">
        <v>45312.708287037036</v>
      </c>
      <c r="C2431" s="2" t="s">
        <v>340</v>
      </c>
      <c r="D2431" s="2" t="s">
        <v>286</v>
      </c>
      <c r="E2431" s="2" t="s">
        <v>369</v>
      </c>
      <c r="F2431" s="2" t="s">
        <v>19</v>
      </c>
      <c r="G2431" s="3">
        <v>590000</v>
      </c>
      <c r="H2431" s="8">
        <v>10</v>
      </c>
      <c r="I2431" s="3">
        <v>3835000</v>
      </c>
      <c r="J2431" s="3">
        <v>3835000</v>
      </c>
    </row>
    <row r="2432" spans="1:10" x14ac:dyDescent="0.25">
      <c r="A2432" s="2">
        <v>2461</v>
      </c>
      <c r="B2432" s="18">
        <v>45312.708287037036</v>
      </c>
      <c r="C2432" s="2" t="s">
        <v>340</v>
      </c>
      <c r="D2432" s="2" t="s">
        <v>286</v>
      </c>
      <c r="E2432" s="2" t="s">
        <v>369</v>
      </c>
      <c r="F2432" s="2" t="s">
        <v>89</v>
      </c>
      <c r="G2432" s="3">
        <v>390000</v>
      </c>
      <c r="H2432" s="8">
        <v>15</v>
      </c>
      <c r="I2432" s="3">
        <v>0</v>
      </c>
      <c r="J2432" s="3">
        <v>0</v>
      </c>
    </row>
    <row r="2433" spans="1:10" x14ac:dyDescent="0.25">
      <c r="A2433" s="2">
        <v>2462</v>
      </c>
      <c r="B2433" s="18">
        <v>45312.708287037036</v>
      </c>
      <c r="C2433" s="2" t="s">
        <v>340</v>
      </c>
      <c r="D2433" s="2" t="s">
        <v>286</v>
      </c>
      <c r="E2433" s="2" t="s">
        <v>369</v>
      </c>
      <c r="F2433" s="2" t="s">
        <v>77</v>
      </c>
      <c r="G2433" s="3">
        <v>35000</v>
      </c>
      <c r="H2433" s="8">
        <v>2</v>
      </c>
      <c r="I2433" s="3">
        <v>0</v>
      </c>
      <c r="J2433" s="3">
        <v>0</v>
      </c>
    </row>
    <row r="2434" spans="1:10" x14ac:dyDescent="0.25">
      <c r="A2434" s="2">
        <v>2463</v>
      </c>
      <c r="B2434" s="18">
        <v>45315.708287037036</v>
      </c>
      <c r="C2434" s="2" t="s">
        <v>340</v>
      </c>
      <c r="D2434" s="2" t="s">
        <v>72</v>
      </c>
      <c r="E2434" s="2" t="s">
        <v>364</v>
      </c>
      <c r="F2434" s="2" t="s">
        <v>19</v>
      </c>
      <c r="G2434" s="3">
        <v>590000</v>
      </c>
      <c r="H2434" s="8">
        <v>180</v>
      </c>
      <c r="I2434" s="3">
        <v>53100000</v>
      </c>
      <c r="J2434" s="3">
        <v>53100000</v>
      </c>
    </row>
    <row r="2435" spans="1:10" x14ac:dyDescent="0.25">
      <c r="A2435" s="2">
        <v>2464</v>
      </c>
      <c r="B2435" s="18">
        <v>45315.708287037036</v>
      </c>
      <c r="C2435" s="2" t="s">
        <v>340</v>
      </c>
      <c r="D2435" s="2" t="s">
        <v>72</v>
      </c>
      <c r="E2435" s="2" t="s">
        <v>364</v>
      </c>
      <c r="F2435" s="2" t="s">
        <v>29</v>
      </c>
      <c r="G2435" s="3">
        <v>590000</v>
      </c>
      <c r="H2435" s="8">
        <v>100</v>
      </c>
      <c r="I2435" s="3">
        <v>29500000</v>
      </c>
      <c r="J2435" s="3">
        <v>29500000</v>
      </c>
    </row>
    <row r="2436" spans="1:10" x14ac:dyDescent="0.25">
      <c r="A2436" s="2">
        <v>2465</v>
      </c>
      <c r="B2436" s="18">
        <v>45315.708287037036</v>
      </c>
      <c r="C2436" s="2" t="s">
        <v>340</v>
      </c>
      <c r="D2436" s="2" t="s">
        <v>72</v>
      </c>
      <c r="E2436" s="2" t="s">
        <v>364</v>
      </c>
      <c r="F2436" s="2" t="s">
        <v>77</v>
      </c>
      <c r="G2436" s="3">
        <v>35000</v>
      </c>
      <c r="H2436" s="8">
        <v>30</v>
      </c>
      <c r="I2436" s="3">
        <v>0</v>
      </c>
      <c r="J2436" s="3">
        <v>0</v>
      </c>
    </row>
    <row r="2437" spans="1:10" x14ac:dyDescent="0.25">
      <c r="A2437" s="2">
        <v>2466</v>
      </c>
      <c r="B2437" s="18">
        <v>45315.708287037036</v>
      </c>
      <c r="C2437" s="2" t="s">
        <v>340</v>
      </c>
      <c r="D2437" s="2" t="s">
        <v>426</v>
      </c>
      <c r="E2437" s="2" t="s">
        <v>369</v>
      </c>
      <c r="F2437" s="2" t="s">
        <v>19</v>
      </c>
      <c r="G2437" s="3">
        <v>590000</v>
      </c>
      <c r="H2437" s="8">
        <v>10</v>
      </c>
      <c r="I2437" s="3">
        <v>4425000</v>
      </c>
      <c r="J2437" s="3">
        <v>4425000</v>
      </c>
    </row>
    <row r="2438" spans="1:10" x14ac:dyDescent="0.25">
      <c r="A2438" s="2">
        <v>2467</v>
      </c>
      <c r="B2438" s="18">
        <v>45315.708287037036</v>
      </c>
      <c r="C2438" s="2" t="s">
        <v>340</v>
      </c>
      <c r="D2438" s="2" t="s">
        <v>426</v>
      </c>
      <c r="E2438" s="2" t="s">
        <v>369</v>
      </c>
      <c r="F2438" s="2" t="s">
        <v>19</v>
      </c>
      <c r="G2438" s="3">
        <v>590000</v>
      </c>
      <c r="H2438" s="8">
        <v>3</v>
      </c>
      <c r="I2438" s="3">
        <v>0</v>
      </c>
      <c r="J2438" s="3">
        <v>0</v>
      </c>
    </row>
    <row r="2439" spans="1:10" x14ac:dyDescent="0.25">
      <c r="A2439" s="2">
        <v>2468</v>
      </c>
      <c r="B2439" s="18">
        <v>45319.708287037036</v>
      </c>
      <c r="C2439" s="2" t="s">
        <v>340</v>
      </c>
      <c r="D2439" s="2" t="s">
        <v>90</v>
      </c>
      <c r="E2439" s="2" t="s">
        <v>365</v>
      </c>
      <c r="F2439" s="2" t="s">
        <v>19</v>
      </c>
      <c r="G2439" s="3">
        <v>590000</v>
      </c>
      <c r="H2439" s="8">
        <v>6</v>
      </c>
      <c r="I2439" s="3">
        <v>2655000</v>
      </c>
      <c r="J2439" s="3">
        <v>2655000</v>
      </c>
    </row>
    <row r="2440" spans="1:10" x14ac:dyDescent="0.25">
      <c r="A2440" s="2">
        <v>2469</v>
      </c>
      <c r="B2440" s="18">
        <v>45320.708287037036</v>
      </c>
      <c r="C2440" s="2" t="s">
        <v>340</v>
      </c>
      <c r="D2440" s="2" t="s">
        <v>272</v>
      </c>
      <c r="E2440" s="2" t="s">
        <v>369</v>
      </c>
      <c r="F2440" s="2" t="s">
        <v>19</v>
      </c>
      <c r="G2440" s="3">
        <v>590000</v>
      </c>
      <c r="H2440" s="8">
        <v>6</v>
      </c>
      <c r="I2440" s="3">
        <v>2655000</v>
      </c>
      <c r="J2440" s="3">
        <v>2655000</v>
      </c>
    </row>
    <row r="2441" spans="1:10" x14ac:dyDescent="0.25">
      <c r="A2441" s="2">
        <v>2470</v>
      </c>
      <c r="B2441" s="18">
        <v>45320.708287037036</v>
      </c>
      <c r="C2441" s="2" t="s">
        <v>340</v>
      </c>
      <c r="D2441" s="2" t="s">
        <v>272</v>
      </c>
      <c r="E2441" s="2" t="s">
        <v>369</v>
      </c>
      <c r="F2441" s="2" t="s">
        <v>89</v>
      </c>
      <c r="G2441" s="3">
        <v>390000</v>
      </c>
      <c r="H2441" s="8">
        <v>3</v>
      </c>
      <c r="I2441" s="3">
        <v>0</v>
      </c>
      <c r="J2441" s="3">
        <v>0</v>
      </c>
    </row>
    <row r="2442" spans="1:10" x14ac:dyDescent="0.25">
      <c r="A2442" s="2">
        <v>2471</v>
      </c>
      <c r="B2442" s="18">
        <v>45320.708287037036</v>
      </c>
      <c r="C2442" s="2" t="s">
        <v>340</v>
      </c>
      <c r="D2442" s="2" t="s">
        <v>272</v>
      </c>
      <c r="E2442" s="2" t="s">
        <v>369</v>
      </c>
      <c r="F2442" s="2" t="s">
        <v>77</v>
      </c>
      <c r="G2442" s="3">
        <v>35000</v>
      </c>
      <c r="H2442" s="8">
        <v>3</v>
      </c>
      <c r="I2442" s="3">
        <v>0</v>
      </c>
      <c r="J2442" s="3">
        <v>0</v>
      </c>
    </row>
    <row r="2443" spans="1:10" x14ac:dyDescent="0.25">
      <c r="A2443" s="2">
        <v>2472</v>
      </c>
      <c r="B2443" s="18">
        <v>45323.708287037036</v>
      </c>
      <c r="C2443" s="2" t="s">
        <v>341</v>
      </c>
      <c r="D2443" s="2" t="s">
        <v>276</v>
      </c>
      <c r="E2443" s="2" t="s">
        <v>369</v>
      </c>
      <c r="F2443" s="2" t="s">
        <v>61</v>
      </c>
      <c r="G2443" s="3">
        <v>890000</v>
      </c>
      <c r="H2443" s="8">
        <v>3</v>
      </c>
      <c r="I2443" s="3">
        <v>1869000</v>
      </c>
      <c r="J2443" s="3">
        <v>1869000</v>
      </c>
    </row>
    <row r="2444" spans="1:10" x14ac:dyDescent="0.25">
      <c r="A2444" s="2">
        <v>2473</v>
      </c>
      <c r="B2444" s="18">
        <v>45340.708287037036</v>
      </c>
      <c r="C2444" s="2" t="s">
        <v>341</v>
      </c>
      <c r="D2444" s="2" t="s">
        <v>294</v>
      </c>
      <c r="E2444" s="2" t="s">
        <v>369</v>
      </c>
      <c r="F2444" s="2" t="s">
        <v>19</v>
      </c>
      <c r="G2444" s="3">
        <v>590000</v>
      </c>
      <c r="H2444" s="8">
        <v>10</v>
      </c>
      <c r="I2444" s="3">
        <v>3540000</v>
      </c>
      <c r="J2444" s="3">
        <v>3540000</v>
      </c>
    </row>
    <row r="2445" spans="1:10" x14ac:dyDescent="0.25">
      <c r="A2445" s="2">
        <v>2474</v>
      </c>
      <c r="B2445" s="18">
        <v>45340.708287037036</v>
      </c>
      <c r="C2445" s="2" t="s">
        <v>341</v>
      </c>
      <c r="D2445" s="2" t="s">
        <v>294</v>
      </c>
      <c r="E2445" s="2" t="s">
        <v>369</v>
      </c>
      <c r="F2445" s="2" t="s">
        <v>89</v>
      </c>
      <c r="G2445" s="3">
        <v>390000</v>
      </c>
      <c r="H2445" s="8">
        <v>5</v>
      </c>
      <c r="I2445" s="3">
        <v>0</v>
      </c>
      <c r="J2445" s="3">
        <v>0</v>
      </c>
    </row>
    <row r="2446" spans="1:10" x14ac:dyDescent="0.25">
      <c r="A2446" s="2">
        <v>2475</v>
      </c>
      <c r="B2446" s="18">
        <v>45340.708287037036</v>
      </c>
      <c r="C2446" s="2" t="s">
        <v>341</v>
      </c>
      <c r="D2446" s="2" t="s">
        <v>294</v>
      </c>
      <c r="E2446" s="2" t="s">
        <v>369</v>
      </c>
      <c r="F2446" s="2" t="s">
        <v>29</v>
      </c>
      <c r="G2446" s="3">
        <v>590000</v>
      </c>
      <c r="H2446" s="8">
        <v>1</v>
      </c>
      <c r="I2446" s="3">
        <v>354000</v>
      </c>
      <c r="J2446" s="3">
        <v>354000</v>
      </c>
    </row>
    <row r="2447" spans="1:10" x14ac:dyDescent="0.25">
      <c r="A2447" s="2">
        <v>2476</v>
      </c>
      <c r="B2447" s="18">
        <v>45340.708287037036</v>
      </c>
      <c r="C2447" s="2" t="s">
        <v>341</v>
      </c>
      <c r="D2447" s="2" t="s">
        <v>72</v>
      </c>
      <c r="E2447" s="2" t="s">
        <v>364</v>
      </c>
      <c r="F2447" s="2" t="s">
        <v>29</v>
      </c>
      <c r="G2447" s="3">
        <v>590000</v>
      </c>
      <c r="H2447" s="8">
        <v>100</v>
      </c>
      <c r="I2447" s="3">
        <v>21500000.02</v>
      </c>
      <c r="J2447" s="3">
        <v>21500000.02</v>
      </c>
    </row>
    <row r="2448" spans="1:10" x14ac:dyDescent="0.25">
      <c r="A2448" s="2">
        <v>2477</v>
      </c>
      <c r="B2448" s="18">
        <v>45340.708287037036</v>
      </c>
      <c r="C2448" s="2" t="s">
        <v>341</v>
      </c>
      <c r="D2448" s="2" t="s">
        <v>90</v>
      </c>
      <c r="E2448" s="2" t="s">
        <v>365</v>
      </c>
      <c r="F2448" s="2" t="s">
        <v>29</v>
      </c>
      <c r="G2448" s="3">
        <v>590000</v>
      </c>
      <c r="H2448" s="8">
        <v>48</v>
      </c>
      <c r="I2448" s="3">
        <v>28320000</v>
      </c>
      <c r="J2448" s="3">
        <v>28320000</v>
      </c>
    </row>
    <row r="2449" spans="1:10" x14ac:dyDescent="0.25">
      <c r="A2449" s="2">
        <v>2478</v>
      </c>
      <c r="B2449" s="18">
        <v>45340.708287037036</v>
      </c>
      <c r="C2449" s="2" t="s">
        <v>341</v>
      </c>
      <c r="D2449" s="2" t="s">
        <v>90</v>
      </c>
      <c r="E2449" s="2" t="s">
        <v>365</v>
      </c>
      <c r="F2449" s="2" t="s">
        <v>29</v>
      </c>
      <c r="G2449" s="3">
        <v>590000</v>
      </c>
      <c r="H2449" s="8">
        <v>48</v>
      </c>
      <c r="I2449" s="3">
        <v>0</v>
      </c>
      <c r="J2449" s="3">
        <v>0</v>
      </c>
    </row>
    <row r="2450" spans="1:10" x14ac:dyDescent="0.25">
      <c r="A2450" s="2">
        <v>2479</v>
      </c>
      <c r="B2450" s="18">
        <v>45340.708287037036</v>
      </c>
      <c r="C2450" s="2" t="s">
        <v>341</v>
      </c>
      <c r="D2450" s="2" t="s">
        <v>90</v>
      </c>
      <c r="E2450" s="2" t="s">
        <v>365</v>
      </c>
      <c r="F2450" s="2" t="s">
        <v>19</v>
      </c>
      <c r="G2450" s="3">
        <v>590000</v>
      </c>
      <c r="H2450" s="8">
        <v>48</v>
      </c>
      <c r="I2450" s="3">
        <v>16992000</v>
      </c>
      <c r="J2450" s="3">
        <v>16992000</v>
      </c>
    </row>
    <row r="2451" spans="1:10" x14ac:dyDescent="0.25">
      <c r="A2451" s="2">
        <v>2480</v>
      </c>
      <c r="B2451" s="18">
        <v>45340.708287037036</v>
      </c>
      <c r="C2451" s="2" t="s">
        <v>341</v>
      </c>
      <c r="D2451" s="2" t="s">
        <v>90</v>
      </c>
      <c r="E2451" s="2" t="s">
        <v>365</v>
      </c>
      <c r="F2451" s="2" t="s">
        <v>89</v>
      </c>
      <c r="G2451" s="3">
        <v>390000</v>
      </c>
      <c r="H2451" s="8">
        <v>24</v>
      </c>
      <c r="I2451" s="3">
        <v>0</v>
      </c>
      <c r="J2451" s="3">
        <v>0</v>
      </c>
    </row>
    <row r="2452" spans="1:10" x14ac:dyDescent="0.25">
      <c r="A2452" s="2">
        <v>2481</v>
      </c>
      <c r="B2452" s="18">
        <v>45341.708287037036</v>
      </c>
      <c r="C2452" s="2" t="s">
        <v>341</v>
      </c>
      <c r="D2452" s="2" t="s">
        <v>293</v>
      </c>
      <c r="E2452" s="2" t="s">
        <v>369</v>
      </c>
      <c r="F2452" s="2" t="s">
        <v>29</v>
      </c>
      <c r="G2452" s="3">
        <v>590000</v>
      </c>
      <c r="H2452" s="8">
        <v>10</v>
      </c>
      <c r="I2452" s="3">
        <v>4425000</v>
      </c>
      <c r="J2452" s="3">
        <v>4425000</v>
      </c>
    </row>
    <row r="2453" spans="1:10" x14ac:dyDescent="0.25">
      <c r="A2453" s="2">
        <v>2482</v>
      </c>
      <c r="B2453" s="18">
        <v>45341.708287037036</v>
      </c>
      <c r="C2453" s="2" t="s">
        <v>341</v>
      </c>
      <c r="D2453" s="2" t="s">
        <v>293</v>
      </c>
      <c r="E2453" s="2" t="s">
        <v>369</v>
      </c>
      <c r="F2453" s="2" t="s">
        <v>29</v>
      </c>
      <c r="G2453" s="3">
        <v>590000</v>
      </c>
      <c r="H2453" s="8">
        <v>5</v>
      </c>
      <c r="I2453" s="3">
        <v>0</v>
      </c>
      <c r="J2453" s="3">
        <v>0</v>
      </c>
    </row>
    <row r="2454" spans="1:10" x14ac:dyDescent="0.25">
      <c r="A2454" s="2">
        <v>2483</v>
      </c>
      <c r="B2454" s="18">
        <v>45341.708287037036</v>
      </c>
      <c r="C2454" s="2" t="s">
        <v>341</v>
      </c>
      <c r="D2454" s="2" t="s">
        <v>88</v>
      </c>
      <c r="E2454" s="2" t="s">
        <v>367</v>
      </c>
      <c r="F2454" s="2" t="s">
        <v>29</v>
      </c>
      <c r="G2454" s="3">
        <v>590000</v>
      </c>
      <c r="H2454" s="8">
        <v>4</v>
      </c>
      <c r="I2454" s="3">
        <v>1770000</v>
      </c>
      <c r="J2454" s="3">
        <v>1770000</v>
      </c>
    </row>
    <row r="2455" spans="1:10" x14ac:dyDescent="0.25">
      <c r="A2455" s="2">
        <v>2484</v>
      </c>
      <c r="B2455" s="18">
        <v>45341.708287037036</v>
      </c>
      <c r="C2455" s="2" t="s">
        <v>341</v>
      </c>
      <c r="D2455" s="2" t="s">
        <v>88</v>
      </c>
      <c r="E2455" s="2" t="s">
        <v>367</v>
      </c>
      <c r="F2455" s="2" t="s">
        <v>29</v>
      </c>
      <c r="G2455" s="3">
        <v>590000</v>
      </c>
      <c r="H2455" s="8">
        <v>2</v>
      </c>
      <c r="I2455" s="3">
        <v>0</v>
      </c>
      <c r="J2455" s="3">
        <v>0</v>
      </c>
    </row>
    <row r="2456" spans="1:10" x14ac:dyDescent="0.25">
      <c r="A2456" s="2">
        <v>2485</v>
      </c>
      <c r="B2456" s="18">
        <v>45341.708287037036</v>
      </c>
      <c r="C2456" s="2" t="s">
        <v>341</v>
      </c>
      <c r="D2456" s="2" t="s">
        <v>88</v>
      </c>
      <c r="E2456" s="2" t="s">
        <v>367</v>
      </c>
      <c r="F2456" s="2" t="s">
        <v>89</v>
      </c>
      <c r="G2456" s="3">
        <v>390000</v>
      </c>
      <c r="H2456" s="8">
        <v>5</v>
      </c>
      <c r="I2456" s="3">
        <v>0</v>
      </c>
      <c r="J2456" s="3">
        <v>0</v>
      </c>
    </row>
    <row r="2457" spans="1:10" x14ac:dyDescent="0.25">
      <c r="A2457" s="2">
        <v>2486</v>
      </c>
      <c r="B2457" s="18">
        <v>45341.708287037036</v>
      </c>
      <c r="C2457" s="2" t="s">
        <v>341</v>
      </c>
      <c r="D2457" s="2" t="s">
        <v>88</v>
      </c>
      <c r="E2457" s="2" t="s">
        <v>367</v>
      </c>
      <c r="F2457" s="2" t="s">
        <v>19</v>
      </c>
      <c r="G2457" s="3">
        <v>590000</v>
      </c>
      <c r="H2457" s="8">
        <v>10</v>
      </c>
      <c r="I2457" s="3">
        <v>4130000</v>
      </c>
      <c r="J2457" s="3">
        <v>4130000</v>
      </c>
    </row>
    <row r="2458" spans="1:10" x14ac:dyDescent="0.25">
      <c r="A2458" s="2">
        <v>2487</v>
      </c>
      <c r="B2458" s="18">
        <v>45341.708287037036</v>
      </c>
      <c r="C2458" s="2" t="s">
        <v>341</v>
      </c>
      <c r="D2458" s="2" t="s">
        <v>427</v>
      </c>
      <c r="E2458" s="2" t="s">
        <v>367</v>
      </c>
      <c r="F2458" s="2" t="s">
        <v>19</v>
      </c>
      <c r="G2458" s="3">
        <v>590000</v>
      </c>
      <c r="H2458" s="8">
        <v>10</v>
      </c>
      <c r="I2458" s="3">
        <v>3540000</v>
      </c>
      <c r="J2458" s="3">
        <v>3540000</v>
      </c>
    </row>
    <row r="2459" spans="1:10" x14ac:dyDescent="0.25">
      <c r="A2459" s="2">
        <v>2488</v>
      </c>
      <c r="B2459" s="18">
        <v>45341.708287037036</v>
      </c>
      <c r="C2459" s="2" t="s">
        <v>341</v>
      </c>
      <c r="D2459" s="2" t="s">
        <v>427</v>
      </c>
      <c r="E2459" s="2" t="s">
        <v>367</v>
      </c>
      <c r="F2459" s="2" t="s">
        <v>89</v>
      </c>
      <c r="G2459" s="3">
        <v>390000</v>
      </c>
      <c r="H2459" s="8">
        <v>5</v>
      </c>
      <c r="I2459" s="3">
        <v>0</v>
      </c>
      <c r="J2459" s="3">
        <v>0</v>
      </c>
    </row>
    <row r="2460" spans="1:10" x14ac:dyDescent="0.25">
      <c r="A2460" s="2">
        <v>2489</v>
      </c>
      <c r="B2460" s="18">
        <v>45342.708287037036</v>
      </c>
      <c r="C2460" s="2" t="s">
        <v>341</v>
      </c>
      <c r="D2460" s="2" t="s">
        <v>272</v>
      </c>
      <c r="E2460" s="2" t="s">
        <v>369</v>
      </c>
      <c r="F2460" s="2" t="s">
        <v>29</v>
      </c>
      <c r="G2460" s="3">
        <v>590000</v>
      </c>
      <c r="H2460" s="8">
        <v>4</v>
      </c>
      <c r="I2460" s="3">
        <v>1770000</v>
      </c>
      <c r="J2460" s="3">
        <v>1770000</v>
      </c>
    </row>
    <row r="2461" spans="1:10" x14ac:dyDescent="0.25">
      <c r="A2461" s="2">
        <v>2490</v>
      </c>
      <c r="B2461" s="18">
        <v>45342.708287037036</v>
      </c>
      <c r="C2461" s="2" t="s">
        <v>341</v>
      </c>
      <c r="D2461" s="2" t="s">
        <v>272</v>
      </c>
      <c r="E2461" s="2" t="s">
        <v>369</v>
      </c>
      <c r="F2461" s="2" t="s">
        <v>29</v>
      </c>
      <c r="G2461" s="3">
        <v>590000</v>
      </c>
      <c r="H2461" s="8">
        <v>2</v>
      </c>
      <c r="I2461" s="3">
        <v>0</v>
      </c>
      <c r="J2461" s="3">
        <v>0</v>
      </c>
    </row>
    <row r="2462" spans="1:10" x14ac:dyDescent="0.25">
      <c r="A2462" s="2">
        <v>2491</v>
      </c>
      <c r="B2462" s="18">
        <v>45343.708287037036</v>
      </c>
      <c r="C2462" s="2" t="s">
        <v>341</v>
      </c>
      <c r="D2462" s="2" t="s">
        <v>293</v>
      </c>
      <c r="E2462" s="2" t="s">
        <v>369</v>
      </c>
      <c r="F2462" s="2" t="s">
        <v>35</v>
      </c>
      <c r="G2462" s="3">
        <v>525000</v>
      </c>
      <c r="H2462" s="8">
        <v>20</v>
      </c>
      <c r="I2462" s="3">
        <v>3919999.6499999994</v>
      </c>
      <c r="J2462" s="3">
        <v>3919999.6499999994</v>
      </c>
    </row>
    <row r="2463" spans="1:10" x14ac:dyDescent="0.25">
      <c r="A2463" s="2">
        <v>2492</v>
      </c>
      <c r="B2463" s="18">
        <v>45344.708287037036</v>
      </c>
      <c r="C2463" s="2" t="s">
        <v>341</v>
      </c>
      <c r="D2463" s="2" t="s">
        <v>84</v>
      </c>
      <c r="E2463" s="2" t="s">
        <v>369</v>
      </c>
      <c r="F2463" s="2" t="s">
        <v>29</v>
      </c>
      <c r="G2463" s="3">
        <v>590000</v>
      </c>
      <c r="H2463" s="8">
        <v>10</v>
      </c>
      <c r="I2463" s="3">
        <v>4425000</v>
      </c>
      <c r="J2463" s="3">
        <v>4425000</v>
      </c>
    </row>
    <row r="2464" spans="1:10" x14ac:dyDescent="0.25">
      <c r="A2464" s="2">
        <v>2493</v>
      </c>
      <c r="B2464" s="18">
        <v>45344.708287037036</v>
      </c>
      <c r="C2464" s="2" t="s">
        <v>341</v>
      </c>
      <c r="D2464" s="2" t="s">
        <v>84</v>
      </c>
      <c r="E2464" s="2" t="s">
        <v>369</v>
      </c>
      <c r="F2464" s="2" t="s">
        <v>29</v>
      </c>
      <c r="G2464" s="3">
        <v>590000</v>
      </c>
      <c r="H2464" s="8">
        <v>5</v>
      </c>
      <c r="I2464" s="3">
        <v>0</v>
      </c>
      <c r="J2464" s="3">
        <v>0</v>
      </c>
    </row>
    <row r="2465" spans="1:10" x14ac:dyDescent="0.25">
      <c r="A2465" s="2">
        <v>2494</v>
      </c>
      <c r="B2465" s="18">
        <v>45344.708287037036</v>
      </c>
      <c r="C2465" s="2" t="s">
        <v>341</v>
      </c>
      <c r="D2465" s="2" t="s">
        <v>84</v>
      </c>
      <c r="E2465" s="2" t="s">
        <v>369</v>
      </c>
      <c r="F2465" s="2" t="s">
        <v>19</v>
      </c>
      <c r="G2465" s="3">
        <v>590000</v>
      </c>
      <c r="H2465" s="8">
        <v>4</v>
      </c>
      <c r="I2465" s="3">
        <v>1534000</v>
      </c>
      <c r="J2465" s="3">
        <v>1534000</v>
      </c>
    </row>
    <row r="2466" spans="1:10" x14ac:dyDescent="0.25">
      <c r="A2466" s="2">
        <v>2495</v>
      </c>
      <c r="B2466" s="18">
        <v>45344.708287037036</v>
      </c>
      <c r="C2466" s="2" t="s">
        <v>341</v>
      </c>
      <c r="D2466" s="2" t="s">
        <v>84</v>
      </c>
      <c r="E2466" s="2" t="s">
        <v>369</v>
      </c>
      <c r="F2466" s="2" t="s">
        <v>89</v>
      </c>
      <c r="G2466" s="3">
        <v>390000</v>
      </c>
      <c r="H2466" s="8">
        <v>7</v>
      </c>
      <c r="I2466" s="3">
        <v>0</v>
      </c>
      <c r="J2466" s="3">
        <v>0</v>
      </c>
    </row>
    <row r="2467" spans="1:10" x14ac:dyDescent="0.25">
      <c r="A2467" s="2">
        <v>2496</v>
      </c>
      <c r="B2467" s="18">
        <v>45345.708287037036</v>
      </c>
      <c r="C2467" s="2" t="s">
        <v>341</v>
      </c>
      <c r="D2467" s="2" t="s">
        <v>111</v>
      </c>
      <c r="E2467" s="2" t="s">
        <v>370</v>
      </c>
      <c r="F2467" s="2" t="s">
        <v>29</v>
      </c>
      <c r="G2467" s="3">
        <v>590000</v>
      </c>
      <c r="H2467" s="8">
        <v>3</v>
      </c>
      <c r="I2467" s="3">
        <v>1274400</v>
      </c>
      <c r="J2467" s="3">
        <v>1274400</v>
      </c>
    </row>
    <row r="2468" spans="1:10" x14ac:dyDescent="0.25">
      <c r="A2468" s="2">
        <v>2497</v>
      </c>
      <c r="B2468" s="18">
        <v>45345.708287037036</v>
      </c>
      <c r="C2468" s="2" t="s">
        <v>341</v>
      </c>
      <c r="D2468" s="2" t="s">
        <v>111</v>
      </c>
      <c r="E2468" s="2" t="s">
        <v>370</v>
      </c>
      <c r="F2468" s="2" t="s">
        <v>19</v>
      </c>
      <c r="G2468" s="3">
        <v>590000</v>
      </c>
      <c r="H2468" s="8">
        <v>2</v>
      </c>
      <c r="I2468" s="3">
        <v>849600</v>
      </c>
      <c r="J2468" s="3">
        <v>849600</v>
      </c>
    </row>
    <row r="2469" spans="1:10" x14ac:dyDescent="0.25">
      <c r="A2469" s="2">
        <v>2498</v>
      </c>
      <c r="B2469" s="18">
        <v>45349.708287037036</v>
      </c>
      <c r="C2469" s="2" t="s">
        <v>341</v>
      </c>
      <c r="D2469" s="2" t="s">
        <v>428</v>
      </c>
      <c r="E2469" s="2" t="s">
        <v>366</v>
      </c>
      <c r="F2469" s="2" t="s">
        <v>29</v>
      </c>
      <c r="G2469" s="3">
        <v>590000</v>
      </c>
      <c r="H2469" s="8">
        <v>2</v>
      </c>
      <c r="I2469" s="3">
        <v>590000</v>
      </c>
      <c r="J2469" s="3">
        <v>590000</v>
      </c>
    </row>
    <row r="2470" spans="1:10" x14ac:dyDescent="0.25">
      <c r="A2470" s="2">
        <v>2499</v>
      </c>
      <c r="B2470" s="18">
        <v>45349.708287037036</v>
      </c>
      <c r="C2470" s="2" t="s">
        <v>341</v>
      </c>
      <c r="D2470" s="2" t="s">
        <v>428</v>
      </c>
      <c r="E2470" s="2" t="s">
        <v>366</v>
      </c>
      <c r="F2470" s="2" t="s">
        <v>19</v>
      </c>
      <c r="G2470" s="3">
        <v>590000</v>
      </c>
      <c r="H2470" s="8">
        <v>2</v>
      </c>
      <c r="I2470" s="3">
        <v>708000</v>
      </c>
      <c r="J2470" s="3">
        <v>708000</v>
      </c>
    </row>
    <row r="2471" spans="1:10" x14ac:dyDescent="0.25">
      <c r="A2471" s="2">
        <v>2500</v>
      </c>
      <c r="B2471" s="18">
        <v>45350.708287037036</v>
      </c>
      <c r="C2471" s="2" t="s">
        <v>341</v>
      </c>
      <c r="D2471" s="2" t="s">
        <v>293</v>
      </c>
      <c r="E2471" s="2" t="s">
        <v>369</v>
      </c>
      <c r="F2471" s="2" t="s">
        <v>19</v>
      </c>
      <c r="G2471" s="3">
        <v>590000</v>
      </c>
      <c r="H2471" s="8">
        <v>12</v>
      </c>
      <c r="I2471" s="3">
        <v>4248000</v>
      </c>
      <c r="J2471" s="3">
        <v>4248000</v>
      </c>
    </row>
    <row r="2472" spans="1:10" x14ac:dyDescent="0.25">
      <c r="A2472" s="2">
        <v>2501</v>
      </c>
      <c r="B2472" s="18">
        <v>45350.708287037036</v>
      </c>
      <c r="C2472" s="2" t="s">
        <v>341</v>
      </c>
      <c r="D2472" s="2" t="s">
        <v>293</v>
      </c>
      <c r="E2472" s="2" t="s">
        <v>369</v>
      </c>
      <c r="F2472" s="2" t="s">
        <v>29</v>
      </c>
      <c r="G2472" s="3">
        <v>590000</v>
      </c>
      <c r="H2472" s="8">
        <v>20</v>
      </c>
      <c r="I2472" s="3">
        <v>4400000.048000001</v>
      </c>
      <c r="J2472" s="3">
        <v>4400000.048000001</v>
      </c>
    </row>
    <row r="2473" spans="1:10" x14ac:dyDescent="0.25">
      <c r="A2473" s="2">
        <v>2502</v>
      </c>
      <c r="B2473" s="18">
        <v>45350.708287037036</v>
      </c>
      <c r="C2473" s="2" t="s">
        <v>341</v>
      </c>
      <c r="D2473" s="2" t="s">
        <v>20</v>
      </c>
      <c r="E2473" s="2" t="s">
        <v>370</v>
      </c>
      <c r="F2473" s="2" t="s">
        <v>19</v>
      </c>
      <c r="G2473" s="3">
        <v>590000</v>
      </c>
      <c r="H2473" s="8">
        <v>3</v>
      </c>
      <c r="I2473" s="3">
        <v>1274400</v>
      </c>
      <c r="J2473" s="3">
        <v>1274400</v>
      </c>
    </row>
    <row r="2474" spans="1:10" x14ac:dyDescent="0.25">
      <c r="A2474" s="2">
        <v>2503</v>
      </c>
      <c r="B2474" s="18">
        <v>45350.708287037036</v>
      </c>
      <c r="C2474" s="2" t="s">
        <v>341</v>
      </c>
      <c r="D2474" s="2" t="s">
        <v>20</v>
      </c>
      <c r="E2474" s="2" t="s">
        <v>370</v>
      </c>
      <c r="F2474" s="2" t="s">
        <v>29</v>
      </c>
      <c r="G2474" s="3">
        <v>590000</v>
      </c>
      <c r="H2474" s="8">
        <v>3</v>
      </c>
      <c r="I2474" s="3">
        <v>1274400</v>
      </c>
      <c r="J2474" s="3">
        <v>1274400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QEC review</vt:lpstr>
      <vt:lpstr>SKU review</vt:lpstr>
      <vt:lpstr>SKU - Customer review</vt:lpstr>
      <vt:lpstr>SKU customer review</vt:lpstr>
      <vt:lpstr>SKU review - Customer</vt:lpstr>
      <vt:lpstr>SKU review customer</vt:lpstr>
      <vt:lpstr>Data nguồn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QEC Export Builder</dc:creator>
  <dc:title/>
  <dc:subject/>
  <dc:description/>
  <cp:keywords/>
  <cp:category/>
  <cp:lastModifiedBy>Unknown</cp:lastModifiedBy>
  <dcterms:created xsi:type="dcterms:W3CDTF">2026-05-28T07:51:14Z</dcterms:created>
  <dcterms:modified xsi:type="dcterms:W3CDTF">2026-05-28T07:51:14Z</dcterms:modified>
</cp:coreProperties>
</file>